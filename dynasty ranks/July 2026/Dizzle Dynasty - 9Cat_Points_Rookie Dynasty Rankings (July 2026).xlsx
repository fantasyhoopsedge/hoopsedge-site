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26 Dynasty Ranks, 9Cat" sheetId="1" r:id="rId5"/>
    <sheet state="visible" name="July 2026 Dynasty Ranks, Points" sheetId="2" r:id="rId6"/>
    <sheet state="visible" name="July 2026 Rookie Ranks, 9Cat" sheetId="3" r:id="rId7"/>
    <sheet state="visible" name="July 2026 Rookie Ranks, Points" sheetId="4" r:id="rId8"/>
    <sheet state="visible" name="Pick Values" sheetId="5" r:id="rId9"/>
    <sheet state="hidden" name="March 2026, 9Cat" sheetId="6" r:id="rId10"/>
    <sheet state="hidden" name="January 2026, Points" sheetId="7" r:id="rId11"/>
    <sheet state="hidden" name="2025 9Cat Rookie Ranks 1.0" sheetId="8" r:id="rId12"/>
  </sheets>
  <definedNames>
    <definedName hidden="1" localSheetId="2" name="_xlnm._FilterDatabase">'July 2026 Rookie Ranks, 9Cat'!$A$2:$AA$2</definedName>
    <definedName hidden="1" localSheetId="3" name="_xlnm._FilterDatabase">'July 2026 Rookie Ranks, Points'!$A$2:$AA$2</definedName>
  </definedNames>
  <calcPr/>
</workbook>
</file>

<file path=xl/sharedStrings.xml><?xml version="1.0" encoding="utf-8"?>
<sst xmlns="http://schemas.openxmlformats.org/spreadsheetml/2006/main" count="8868" uniqueCount="2028">
  <si>
    <t>#</t>
  </si>
  <si>
    <t>Player</t>
  </si>
  <si>
    <t>Position</t>
  </si>
  <si>
    <t>Team</t>
  </si>
  <si>
    <t>DOB</t>
  </si>
  <si>
    <t>Age</t>
  </si>
  <si>
    <t>Prev. Rank</t>
  </si>
  <si>
    <t xml:space="preserve"> +/- Change</t>
  </si>
  <si>
    <t>Notes/Outlook (Updated 7/10/2026)</t>
  </si>
  <si>
    <t>Victor Wembanyama</t>
  </si>
  <si>
    <t>PF/C</t>
  </si>
  <si>
    <t>SAS</t>
  </si>
  <si>
    <t>It's only Year 3 of Wemby and he's already reached the Finals and was an MVP finalist. Unreal talent and the obvious 1.01 for a long time to come.</t>
  </si>
  <si>
    <t>Shai Gilgeous-Alexander</t>
  </si>
  <si>
    <t>PG/SG</t>
  </si>
  <si>
    <t>OKC</t>
  </si>
  <si>
    <t>More of the same from SGA as the two-time MVP. We know what to expect out of an elite performer and a unanimous top 2-3 dynasty pick in all formats.</t>
  </si>
  <si>
    <t>Luka Doncic</t>
  </si>
  <si>
    <t>LAL</t>
  </si>
  <si>
    <t>Luka has continued to dominate in the fantasy department. He's beginning to enter his prime with LeBron out the door.</t>
  </si>
  <si>
    <t>Nikola Jokic</t>
  </si>
  <si>
    <t>C</t>
  </si>
  <si>
    <t>DEN</t>
  </si>
  <si>
    <t>Jokic is still dominating at a high level. He's 31 now but his game will age like fine wine. Averaging anything close to a triple double is par for the course at this point.</t>
  </si>
  <si>
    <t>Cooper Flagg</t>
  </si>
  <si>
    <t>SF/PF</t>
  </si>
  <si>
    <t>DAL</t>
  </si>
  <si>
    <t>Flagg has looked as advertised despite some normal rookie struggles and he'll keep getting better quickly. Expect him to remain a consensus top 5-10 player.</t>
  </si>
  <si>
    <t>Cade Cunningham</t>
  </si>
  <si>
    <t>DET</t>
  </si>
  <si>
    <t>Cade Cunningham was awesome this past year and stayed firmly in the mix in the MVP race. Arguably the best guard in the East.</t>
  </si>
  <si>
    <t>Jayson Tatum</t>
  </si>
  <si>
    <t>BOS</t>
  </si>
  <si>
    <t>Tatum should be back to 100% coming into this season. Expect massive numbers with Jaylen Brown gone.</t>
  </si>
  <si>
    <t>TIER BREAK</t>
  </si>
  <si>
    <t>Anthony Edwards</t>
  </si>
  <si>
    <t>SG/SF</t>
  </si>
  <si>
    <t>MIN</t>
  </si>
  <si>
    <t xml:space="preserve">Ant gets himself a co-star with LaMelo Ball to run things with. Expect more of the same moving forward. </t>
  </si>
  <si>
    <t>Tyrese Maxey</t>
  </si>
  <si>
    <t>PHI</t>
  </si>
  <si>
    <t>Maxey has been stepping up as an elite fantasy player, but with the addition of Jaylen Brown and pending Joel Embiid's health, this will eat into his touches a bit.</t>
  </si>
  <si>
    <t>Jalen Johnson</t>
  </si>
  <si>
    <t>ATL</t>
  </si>
  <si>
    <t>Jalen Johnson came into his own this year as a fantasy performer. He remains the main man for Atlanta.</t>
  </si>
  <si>
    <t>Tyrese Haliburton</t>
  </si>
  <si>
    <t>IND</t>
  </si>
  <si>
    <t>I'm fully expecting to push Haliburton back into the top 10 this next season, just as I have with Tatum. We'll see when he's healthy. We know the ceiling when he's rolling.</t>
  </si>
  <si>
    <t>1.01 / Cameron Boozer</t>
  </si>
  <si>
    <t>MEM</t>
  </si>
  <si>
    <t>Don't overthink this one. Boozer is a blue chip talent and a clear top 10-15 dynasty asset from Day 1.</t>
  </si>
  <si>
    <t>Scottie Barnes</t>
  </si>
  <si>
    <t>TOR</t>
  </si>
  <si>
    <t>Scottie Barnes has been fantastic for Toronto this year and continues posting a steady, well-rounded fantasy game. Him and Kawhi should mesh real well.</t>
  </si>
  <si>
    <t>Alperen Sengun</t>
  </si>
  <si>
    <t>HOU</t>
  </si>
  <si>
    <t>Sengun was pretty disappointing in the playoffs. Lots of upside here, especially in the fantasy department. His value feels a bit fluid moving forward.</t>
  </si>
  <si>
    <t>1.02 / Darryn Peterson</t>
  </si>
  <si>
    <t>UTA</t>
  </si>
  <si>
    <t>Peterson goes where we expected in Utah, where he will commend a clear starting role from Day 1. Will the playmaking return to his HS levels?</t>
  </si>
  <si>
    <t>Chet Holmgren</t>
  </si>
  <si>
    <t>Chet has taken plenty of heat after the Thunder's WCF loss. I'm still expecting him to be a perennial All-Defense guy for a long time if he stays healthy.</t>
  </si>
  <si>
    <t>Giannis Antetokounmpo</t>
  </si>
  <si>
    <t>MIL -&gt; MIA</t>
  </si>
  <si>
    <t>Very little change here for Giannis as he heads over to the 305. He remains the clearcut best player for Miami and will continue delivering elite numbers.</t>
  </si>
  <si>
    <t>1.03 / AJ Dybantsa</t>
  </si>
  <si>
    <t>WAS</t>
  </si>
  <si>
    <t>For some, Dybantsa will be their 1.01. He's a real star talent, but there are questions needing answered in the fantasy department.</t>
  </si>
  <si>
    <t>Evan Mobley</t>
  </si>
  <si>
    <t>CLE</t>
  </si>
  <si>
    <t>I still believe in Evan Mobley and have hope for more here. This is a crucial year to show it if LeBron comes home for one last hurrah.</t>
  </si>
  <si>
    <t>Dylan Harper</t>
  </si>
  <si>
    <t>Harper has already been flashing plenty of star potential so far. He and Castle are the future alongside Wemby. He may need a little longer to be fully unleashed.</t>
  </si>
  <si>
    <t>Amen Thompson</t>
  </si>
  <si>
    <t>PG/SG/SF</t>
  </si>
  <si>
    <t>Frankly, I've been a little disappointed by Amen Thompson relative to the expectations coming in. Still an elite player and asset to hold onto, though.</t>
  </si>
  <si>
    <t>Jalen Williams</t>
  </si>
  <si>
    <t>SG/SF/PF</t>
  </si>
  <si>
    <t>JDub underwhelmed this year compared to last year's big jump, only playing 33 games and never looking 100%. I'm buying if he's valued for less than top 25 prices.</t>
  </si>
  <si>
    <t>Austin Reaves</t>
  </si>
  <si>
    <t xml:space="preserve">Unsurprisingly, Austin Reaves stays put in LA with a big contract in hand. Expect him to continue crushing and staying high in my ranks through his prime. </t>
  </si>
  <si>
    <t>Franz Wagner</t>
  </si>
  <si>
    <t>ORL</t>
  </si>
  <si>
    <t xml:space="preserve">More of the same from Franz Wagner, a continually good player with some team fit concerns and how him and Paolo mesh. </t>
  </si>
  <si>
    <t>Donovan Mitchell</t>
  </si>
  <si>
    <t>An ECF sweep will prompt normal doom and gloom, but Spida is approaching 30 and there are questions if he's on the decline soon. He got a massive payday from CLE.</t>
  </si>
  <si>
    <t>Josh Giddey</t>
  </si>
  <si>
    <t>CHI</t>
  </si>
  <si>
    <t xml:space="preserve">I'm still not the biggest fan of the Giddler, but I can't deny that he's been great for fantasy and this all feels sustainable. </t>
  </si>
  <si>
    <t>Kon Knueppel</t>
  </si>
  <si>
    <t>CHA</t>
  </si>
  <si>
    <t>Kon is the big benefactor of LaMelo Ball's departure. Expect the numbers to go up and the on-ball reps to send him to the moon.</t>
  </si>
  <si>
    <t>1.04 / Caleb Wilson</t>
  </si>
  <si>
    <t>Caleb Wilson is my current 1.04 and has a lot of juice to his fantasy game. Will need time to develop more on offense but has a ton of potential here in CHI.</t>
  </si>
  <si>
    <t>Deni Avdija</t>
  </si>
  <si>
    <t>POR</t>
  </si>
  <si>
    <t>Deni and Portland are in a weird spot right now with the addition of Ja Morant, but I imagine Deni will remain in about the same spot.</t>
  </si>
  <si>
    <t>Darius Garland</t>
  </si>
  <si>
    <t>LAC</t>
  </si>
  <si>
    <t>Since being traded to the Clippers, Garland is starting to return to being the All-Star we've seen when healthy. Very excited about him leading LAC moving forward.</t>
  </si>
  <si>
    <t>Jamal Murray</t>
  </si>
  <si>
    <t>Murray was great this past year as Denver's healthiest player on the roster. Expecting another strong year from him with DEN not likely to make many moves.</t>
  </si>
  <si>
    <t>LaMelo Ball</t>
  </si>
  <si>
    <t>CHA -&gt; MIN</t>
  </si>
  <si>
    <t>LaMelo joins Anthony Edwards in Minnesota to form one of the most fiery backcourts in the NBA. Don't think this changes a ton for LaMelo.</t>
  </si>
  <si>
    <t>Jalen Brunson</t>
  </si>
  <si>
    <t>NYK</t>
  </si>
  <si>
    <t>Congratulations to Jalen Brunson and the New York Knicks. He's still well within his prime but we will continue to monitor things as he turns 30 this next season.</t>
  </si>
  <si>
    <t>Jalen Duren</t>
  </si>
  <si>
    <t>Jalen Duren is currently looking at sign-and-trade scenarios out of Detroit. I don't see any big jumps in his value. Staying the same or dropping a little are my best guesses.</t>
  </si>
  <si>
    <t>Devin Booker</t>
  </si>
  <si>
    <t>PHO</t>
  </si>
  <si>
    <t>We know what to expect with Booker, but he's almost 30 and remains in the same Suns situation. Is a drop coming soon?</t>
  </si>
  <si>
    <t>Trey Murphy III</t>
  </si>
  <si>
    <t>NOP</t>
  </si>
  <si>
    <t>Murphy is on the trade block with a lot of suitors. I'd imagine most landing spots will keep his value fairly insulated, but I'm guessing he stays put in NOLA.</t>
  </si>
  <si>
    <t>Karl-Anthony Towns</t>
  </si>
  <si>
    <t>KAT was a crucial piece for the Knicks in winning a championship. After a lot of questions about trades, he feels secure on this roster moving forward.</t>
  </si>
  <si>
    <t>Paolo Banchero</t>
  </si>
  <si>
    <t>Paolo has still yet to flash a more fantasy-friendly game for categories. This is a crucial year for him and Orlando to make a splash.</t>
  </si>
  <si>
    <t>Jaren Jackson Jr.</t>
  </si>
  <si>
    <t>JJJ got traded to Utah in a deal that feels like it happened forever ago. He will be a core starter in a MASSIVE starting 5.</t>
  </si>
  <si>
    <t>Jaylen Brown</t>
  </si>
  <si>
    <t>BOS -&gt; PHI</t>
  </si>
  <si>
    <t>This Jaylen Brown trade is going to shake up both Boston and Philly. What will his role look like as the potential third guy behind Maxey and Embiid?</t>
  </si>
  <si>
    <t>Trae Young</t>
  </si>
  <si>
    <t>Trae Young can likely maintain fantasy value on some level, but I'm a bit concerned about the short-term splits for this Wizards squad with Dybantsa and AD.</t>
  </si>
  <si>
    <t>Bam Adebayo</t>
  </si>
  <si>
    <t>MIA</t>
  </si>
  <si>
    <t>Bam sticks around in Miami and will be their second best player next to Giannis. They'll have a lot on their shoulders this year pending more FA moves.</t>
  </si>
  <si>
    <t>VJ Edgecombe</t>
  </si>
  <si>
    <t>One big short-term loser of the Jaylen Brown trade: their young phenom VJ Edgecombe. Still in on him long-term, though.</t>
  </si>
  <si>
    <t>Stephon Castle</t>
  </si>
  <si>
    <t>Castle has continued to make strong progress in his second year with San Antonio. What does the ceiling look like with Dylan Harper and De'Aaron Fox in the mix?</t>
  </si>
  <si>
    <t>Brandon Miller</t>
  </si>
  <si>
    <t>Kon and Miller got handed the keys with LaMelo's departure. I've always been a bit skeptical of Miller, but this is his chance to show he can reach stardm.</t>
  </si>
  <si>
    <t>Donovan Clingan</t>
  </si>
  <si>
    <t>Despite some playoff struggles, Clingan had an amazing year and has taken a big leap developmentally. How much further can he go?</t>
  </si>
  <si>
    <t>Alex Sarr</t>
  </si>
  <si>
    <t>Sarr's outlook is not looking as good as it was early in the season with AD, Trae Young and the 1st overall pick coming in.</t>
  </si>
  <si>
    <t>Lauri Markkanen</t>
  </si>
  <si>
    <t>I'm not terribly worried about Lauri moving forward, either leaving via trade or with JJJ and Kessler in the frontcourt. Dude's just a good player.</t>
  </si>
  <si>
    <t>Zach Edey</t>
  </si>
  <si>
    <t>Edey is a dominant fantasy player when healthy, but his health has been a concern so far. Monitoring this, but comfortable with him in the top 50.</t>
  </si>
  <si>
    <t>Desmond Bane</t>
  </si>
  <si>
    <t>Bane has remained at a high level even in Orlando. He's been their mainstay all year with plenty of injuries up and down the roster.</t>
  </si>
  <si>
    <t>Keyonte George</t>
  </si>
  <si>
    <t>George has established he belongs as a longer term starter. in Utah. What does Darryn Peterson incoming mean for him?</t>
  </si>
  <si>
    <t>1.05 / Keaton Wagler</t>
  </si>
  <si>
    <t>Wagler was incredible for Illinois. He has some concern areas and needs to put on more weight, but the higher-level outcomes in LAC are very exciting.</t>
  </si>
  <si>
    <t>Onyeka Okongwu</t>
  </si>
  <si>
    <t xml:space="preserve">Okongwu continues to grow his game further as he expands his game from 3. Currently 37.9% from deep on 5.2 attempts. </t>
  </si>
  <si>
    <t>Walker Kessler</t>
  </si>
  <si>
    <t>UTA -&gt; LAL</t>
  </si>
  <si>
    <t>Walker Kessler lands in a very favorable situation in Los Angeles as the clearcut starter. Him, Luka and Reaves will make for a fun trio.</t>
  </si>
  <si>
    <t>Ivica Zubac</t>
  </si>
  <si>
    <t>Zubac is now locked into the Pacers as a starter. I have questions about the fit but we know the talent and fantasy game is rock-solid.</t>
  </si>
  <si>
    <t>1.06 / Mikel Brown Jr.</t>
  </si>
  <si>
    <t>BKN</t>
  </si>
  <si>
    <t>Mikel Brown has the makings of another star fantasy guard. He's not without his concerns but the upside is very strong.</t>
  </si>
  <si>
    <t>Brandon Ingram</t>
  </si>
  <si>
    <t>TOR -&gt; LAC</t>
  </si>
  <si>
    <t>Brandon Ingram takes a massive jump back to the top 50 in LAC. Tons of freedom and usage to soak up with Darius Garland as his PG. He's back to his NOLA days.</t>
  </si>
  <si>
    <t>Kel'el Ware</t>
  </si>
  <si>
    <t>MIA -&gt; MIL</t>
  </si>
  <si>
    <t>Kel'el Ware is obviously talented, but the motor has been a real concern from college to now. He joins a wide-open Bucks team and has a chance to break out.</t>
  </si>
  <si>
    <t>Domantas Sabonis</t>
  </si>
  <si>
    <t>SAC</t>
  </si>
  <si>
    <t>I have a lot of questions about Sabonis moving forward at age 30 and in a shaky Kings setting. Great fantasy player still.</t>
  </si>
  <si>
    <t>James Harden</t>
  </si>
  <si>
    <t>James Harden was... well, he was James Harden again, as expected. He'll presumably sign a multi-year deal to stick around in Cleveland.</t>
  </si>
  <si>
    <t>Kevin Durant</t>
  </si>
  <si>
    <t>KD and the Rockets have had some real turmoil this season, but it seems to have cooled out. How many more years does he have left at this level?</t>
  </si>
  <si>
    <t>De'Aaron Fox</t>
  </si>
  <si>
    <t>Fox was frankly awful during the playoffs for the Spurs. Castle and Harper ran circles around him. His days are very numbered.</t>
  </si>
  <si>
    <t>Stephen Curry</t>
  </si>
  <si>
    <t>GSW</t>
  </si>
  <si>
    <t>Steph Curry is still Steph Curry even at age 38, but there have been a lot of times he's looked human recently. Hold and enjoy the rest of the ride.</t>
  </si>
  <si>
    <t>Anthony Davis</t>
  </si>
  <si>
    <t>AD gets traded to Washington as they aim to speed up the rebuild. Curious how he and Sarr mesh.</t>
  </si>
  <si>
    <t>OG Anunoby</t>
  </si>
  <si>
    <t>We know what to expect with OG Anunoby at this point. He's clearly made his mark on the Knicks and is such a winning connective piece.</t>
  </si>
  <si>
    <t>1.07 / Darius Acuff Jr.</t>
  </si>
  <si>
    <t>PG</t>
  </si>
  <si>
    <t>Acuff has been a straight-up star for Arkansas and there's no telling just how much further he can keep going. Concerns are obvious and there is a chance he's a bust.</t>
  </si>
  <si>
    <t>Derrick White</t>
  </si>
  <si>
    <t xml:space="preserve">Derrick White has been incredible this year. It's amazing how good he's been for fantasy despite the uncharacteristic sub-40 FG%. </t>
  </si>
  <si>
    <t>Matas Buzelis</t>
  </si>
  <si>
    <t>There will be some concern about Caleb Wilson in town, but I'm not worried much about Buzelis. He, Giddey and Wilson are the long-term future and should mesh well.</t>
  </si>
  <si>
    <t>Zion Williamson</t>
  </si>
  <si>
    <t>It wasn't noticed as much this past year with how bad NOLA is, but Zion quietly had another strong season. Injuries remain a concern.</t>
  </si>
  <si>
    <t>Pascal Siakam</t>
  </si>
  <si>
    <t>To me, Siakam is one of the more underrated top-end dynasty players and he feels very undervalued relative to the production. Still, he is now 32.</t>
  </si>
  <si>
    <t>Collin Murray-Boyles</t>
  </si>
  <si>
    <t>CMB has looked like a fantasy star in the making and was excellent for the Raptors in the playoffs. Super excited for his development.</t>
  </si>
  <si>
    <t>Tyler Herro</t>
  </si>
  <si>
    <t>Despite going back home to Milwaukee, Herro ends up in a bit of a messy guard room. Not sure what to expect from him.</t>
  </si>
  <si>
    <t>Jaden McDaniels</t>
  </si>
  <si>
    <t>McDaniels continues to flash fantasy upside as he gets better in this career year he's having. Great two-way player and is building up a reputation as an iron man.</t>
  </si>
  <si>
    <t>Jalen Suggs</t>
  </si>
  <si>
    <t>Suggs needs to stay healthy for Orlando to be at their best. Very impactful player on the whole.</t>
  </si>
  <si>
    <t>Kyrie Irving</t>
  </si>
  <si>
    <t>Kyrie is coming back to Dallas with a great situation for him and Cooper Flagg. Injuries and missed time remain a concern.</t>
  </si>
  <si>
    <t>Dyson Daniels</t>
  </si>
  <si>
    <t>Dyson Daniels remains an all-world defender for Atlanta, but he took a slight step back from last year's breakout candidate.</t>
  </si>
  <si>
    <t>Kawhi Leonard</t>
  </si>
  <si>
    <t>LAC -&gt; TOR</t>
  </si>
  <si>
    <t>He's baaaaack. Kawhi returns to Toronto for another run at a championship on a very interesting Raptors team. Health (and the Aspiration scandal) remain a concern.</t>
  </si>
  <si>
    <t>1.08 / Kingston Flemings</t>
  </si>
  <si>
    <t xml:space="preserve">Flemings ends up in a very favorable situation with Atlanta. He could easily work his way up to a long-term starting role. </t>
  </si>
  <si>
    <t>Cedric Coward</t>
  </si>
  <si>
    <t>As expected, Coward has been up and down, but the highs have been very exciting. I remain high on him moving forward.</t>
  </si>
  <si>
    <t>Ryan Rollins</t>
  </si>
  <si>
    <t>MIL</t>
  </si>
  <si>
    <t>Rollins has had an awesome breakout year in MIL. There's a lot of guards here now, but he is very clearly the most talented.</t>
  </si>
  <si>
    <t>Joel Embiid</t>
  </si>
  <si>
    <t xml:space="preserve">Missed time remains a massive concern from Joel Embiid. He's only played 96 of 246 possible regular season games in the last three seasons. </t>
  </si>
  <si>
    <t>Ja Morant</t>
  </si>
  <si>
    <t>MEM -&gt; POR</t>
  </si>
  <si>
    <t>This MEM-POR trade is fascinating. If Ja really wants to turn things around, this is his chance, but he comes into a very weird lineup (Scoot, Dame, Jrue).</t>
  </si>
  <si>
    <t>Kyshawn George</t>
  </si>
  <si>
    <t>George might see a slight squeeze on opportunities with Dybantsa here, but he has a lot of good malleability as a role player. I'm keeping him high.</t>
  </si>
  <si>
    <t>Jarrett Allen</t>
  </si>
  <si>
    <t>Jarrett Allen continues to be Jarrett Allen. He's always younger than you'd think. Could he be a trade target with the market on bigs staying hot?</t>
  </si>
  <si>
    <t>Ausar Thompson</t>
  </si>
  <si>
    <t>Ausar Thompson has been an otherworldly defender in the playoffs. Is there hope the offensive breakout comes this year?</t>
  </si>
  <si>
    <t>Reed Sheppard</t>
  </si>
  <si>
    <t>We've seen some good stuff out of Sheppard that remind us why he went so high in drafts, but the concerns are still there, especially on defense.</t>
  </si>
  <si>
    <t>Isaiah Hartenstein</t>
  </si>
  <si>
    <t>Hartenstein ends up staying in OKC on a more cap-friendly deal. Him, Mara and Sorber make for an intriguing big man rotation.</t>
  </si>
  <si>
    <t>Nickeil Alexander-Walker</t>
  </si>
  <si>
    <t>NAW rightfully won Most Improved Player this year and risen into such a high-level player under Quin Synder.</t>
  </si>
  <si>
    <t>Derik Queen</t>
  </si>
  <si>
    <t>Queen flashed very high potential so far in his rookie season. The defense remains a major concern, but I'm still bought in on some level.</t>
  </si>
  <si>
    <t>Mikal Bridges</t>
  </si>
  <si>
    <t>Mikal Bridges took a step back this year despite the Knicks winning the championship. We'll see how he bounces back.</t>
  </si>
  <si>
    <t>1.09 / Morez Johnson Jr.</t>
  </si>
  <si>
    <t>Love Morez Johnson's potential fantasy game. There's a lot of pathways to becoming an elite asset for years to come. Ceiling is much higher than you think.</t>
  </si>
  <si>
    <t>Coby White</t>
  </si>
  <si>
    <t>Coby White returns to Charlotte with a big contract in hand and a starting job with LaMelo gone. Are we going to see a possible return to his Chicago peak?</t>
  </si>
  <si>
    <t>Scoot Henderson</t>
  </si>
  <si>
    <t xml:space="preserve">Scoot missed a lot of the season. He's had some hit-or-miss performances but he really turned it on in the playoffs. Lot of questions about POR's guards. </t>
  </si>
  <si>
    <t>Ace Bailey</t>
  </si>
  <si>
    <t>Ace Bailey is one of the losers of Utah adding Darryn Peterson. He'll likely play the 6th man role this year if Walker Kessler sticks around.</t>
  </si>
  <si>
    <t>Payton Pritchard</t>
  </si>
  <si>
    <t>Pritchard is primed for the breakout with Jaylen Brown gone. How far can he scale up with more freedom than ever before in Joe Mazzulla's offense?</t>
  </si>
  <si>
    <t>Nic Claxton</t>
  </si>
  <si>
    <t>BKN -&gt; CHI</t>
  </si>
  <si>
    <t>Claxton has trended down towards the end of the Nets years, but he's in a great place to return to form in Chicago with a clearcut role.</t>
  </si>
  <si>
    <t>Michael Porter Jr.</t>
  </si>
  <si>
    <t>MPJ takes a hit in the short term with Julius Randle now in town. Watching them play basketball on the same side of the court will be... interesting?</t>
  </si>
  <si>
    <t>Naz Reid</t>
  </si>
  <si>
    <t>MIN -&gt; CHA</t>
  </si>
  <si>
    <t>Naz Reid is due for a potential breakout with LaMelo Ball gone and looking like a look for a starting job.</t>
  </si>
  <si>
    <t>Tari Eason</t>
  </si>
  <si>
    <t>Tari Eason lost tens of millions of dollars this past year, but on a relatively cheap deal, he's due for a solid year.</t>
  </si>
  <si>
    <t>Peyton Watson</t>
  </si>
  <si>
    <t>Watson is a solid all-around player who could be a long-term staple for Denver. He's taken a huge leap over the last few months.</t>
  </si>
  <si>
    <t>Immanuel Quickley</t>
  </si>
  <si>
    <t>As always, Quickley is streaky and can run hot or cold depending on the night, but he's locked into TOR for the long haul and playing well.</t>
  </si>
  <si>
    <t>Ajay Mitchell</t>
  </si>
  <si>
    <t>Ajay has been incredible this year and in the playoffs. Unreal find by OKC. The leap next year could be special.</t>
  </si>
  <si>
    <t>Egor Demin</t>
  </si>
  <si>
    <t>I am not one who tends to overreact to Summer League, but Egor has been extremely good. Sophomore year jump incoming.</t>
  </si>
  <si>
    <t>1.10 / Aday Mara</t>
  </si>
  <si>
    <t>Aday Mara has a lot of high-end fantasy upside, but managers are going to need to be patient to see it emerge.</t>
  </si>
  <si>
    <t>Julius Randle</t>
  </si>
  <si>
    <t>PF</t>
  </si>
  <si>
    <t>MIN -&gt; BKN</t>
  </si>
  <si>
    <t>Dubious Handle goes back to the Big Apple. He and Michael Porter Jr. are going to chuck up plenty of tour dates this year.</t>
  </si>
  <si>
    <t xml:space="preserve">Anthony Black </t>
  </si>
  <si>
    <t>The Magic need Anthony Black to be more consistent and closer to his strong stretch of play this past season.</t>
  </si>
  <si>
    <t>1.11 / Brayden Burries</t>
  </si>
  <si>
    <t xml:space="preserve">Burries has played himself firmly into lottery status and possesses a lot of the winning, two-way traits you want to see in a long-term NBA starter. </t>
  </si>
  <si>
    <t>Jalen Green</t>
  </si>
  <si>
    <t>Jalen Green had a really rough first season with the Suns with all the missed time with his hamstring. Hopefully he builds momentum going into next season.</t>
  </si>
  <si>
    <t>Jeremiah Fears</t>
  </si>
  <si>
    <t>Fears has, unsurprisingly, not been all that good or conducive to winning. The advanced numbers are bad. This is pretty normal for guards. I'm staying the course.</t>
  </si>
  <si>
    <t>Joan Beringer</t>
  </si>
  <si>
    <t>Joan is rising in a big way this offseason. He gets a big time vote of confidence from Minnesota as the center of the future when Rudy Gobert's time is up.</t>
  </si>
  <si>
    <t>Mark Williams</t>
  </si>
  <si>
    <t xml:space="preserve">Not that it ever felt super likely he'd leave, but Mark Williams does return to Phoenix on a pretty team-friendly deal. </t>
  </si>
  <si>
    <t>Keegan Murray</t>
  </si>
  <si>
    <t>I've been low on Keegan Murray for years. I just don't know that I buy him being much more than this. Clean stat profile, but nothing too exciting.</t>
  </si>
  <si>
    <t>Jabari Smith Jr.</t>
  </si>
  <si>
    <t>Jabari's career to date has been really disappointing. He's been a good role player with a lot of inconsistency. Very good in the playoffs though.</t>
  </si>
  <si>
    <t>Dejounte Murray</t>
  </si>
  <si>
    <t>I've raised Murray a decent bit up here as he's coming back and looking OK following the Achilles tear. I'm skeptical still about his long-term outlook but deserves the bump.</t>
  </si>
  <si>
    <t>Miles Bridges</t>
  </si>
  <si>
    <t>CHA -&gt; PHO</t>
  </si>
  <si>
    <t>Miles Bridges is the new starting PF for Phoenix and gives them a clearer piece to rely on in the frontcourt.</t>
  </si>
  <si>
    <t>Cason Wallace</t>
  </si>
  <si>
    <t>It feels like Cason Wallace's fantasy upside is limited, but I still like him enough long-term with his elite defense, especially if he goes elsewhere.</t>
  </si>
  <si>
    <t>Zach LaVine</t>
  </si>
  <si>
    <t>I think we know by now that LaVine is not super conducive to winning as a leading scorer, but the stats are stats all the same in a fantasy setting.</t>
  </si>
  <si>
    <t>1.12 / Yaxel Lendeborg</t>
  </si>
  <si>
    <t>If you're looking for a ready-to-go rookie with a juicy fantasy profile and tons of skills that NBA teams look for in role players, Yaxel is your man.</t>
  </si>
  <si>
    <t>Andrew Nembhard</t>
  </si>
  <si>
    <t xml:space="preserve">Despite a career-PPG year, Nembhard didnt step up like we hoped he would. A step back is likely coming when Haliburton is back to form. </t>
  </si>
  <si>
    <t>Josh Hart</t>
  </si>
  <si>
    <t>Hart has shot well from 3 this year and continues to deliver on the do-everything role he's made his bread off of.</t>
  </si>
  <si>
    <t>Khaman Malauch</t>
  </si>
  <si>
    <t>Malauch was always going to require patience. If you have him, you need to understand what you signed up for. Some flashes have been interesting so far.</t>
  </si>
  <si>
    <t>Devin Vassell</t>
  </si>
  <si>
    <t>Vassell has really struggled recently compared to these last few years. Still has plenty of potential to tap into, but he may be expendable soon.</t>
  </si>
  <si>
    <t>Myles Turner</t>
  </si>
  <si>
    <t>Turner has been pretty disappointing this year for Milwaukee. Will be interesting what the plan is with him if Giannis is traded.</t>
  </si>
  <si>
    <t>Day'Ron Sharpe</t>
  </si>
  <si>
    <t>Day'Ron Sharpe takes a big jump as the incumbent starting center. Personally, I feel that the contract (2yr/$20m) screams sell-high with such a lack of commitment.</t>
  </si>
  <si>
    <t>Toumani Camara</t>
  </si>
  <si>
    <t>I'm expecting a good year out of Camara with Portland lacking in their forward depth. Good role player who can do a bit of everything.</t>
  </si>
  <si>
    <t>1.13 / Ebuka Okorie</t>
  </si>
  <si>
    <t>Okorie was a star for Stanford this year. Is he the star Cade Cunningham has always needed next to him? Time will tell, but there are star signs here.</t>
  </si>
  <si>
    <t>Paul George</t>
  </si>
  <si>
    <t>PHI -&gt; BOS</t>
  </si>
  <si>
    <t>I've been a bit lower on PG13 for a while now, but with landing in Boston, he's taking a big step.</t>
  </si>
  <si>
    <t>Tre Johnson</t>
  </si>
  <si>
    <t>We need to be patient and see what happens with Tre Johnson, but he will take one of the biggest hits from everything Washington has done since the trade deadline.</t>
  </si>
  <si>
    <t>Carter Bryant</t>
  </si>
  <si>
    <t>Carter Bryant is a bit of a mystery box in terms of upside. The fantasy game is meh so far but the upside and phyiscal tools are very intriguing.</t>
  </si>
  <si>
    <t>PJ Washington</t>
  </si>
  <si>
    <t>PJ Washington ends up in an interesting situation with Lively hurt, Gafford on the block and having an interesting fit with Morez Johnson.</t>
  </si>
  <si>
    <t>Shaedon Sharpe</t>
  </si>
  <si>
    <t>I've been underwhelmed by Sharpe, who just doesn't possess much of a fantasy game besides scoring and hasn't played all that well relative to his high usage.</t>
  </si>
  <si>
    <t>Norman Powell</t>
  </si>
  <si>
    <t>MIA -&gt; CHI</t>
  </si>
  <si>
    <t>Norman Powell has been on a heater this past year for Miami in their tinkered offense. He signs with Chicago where he'll continue to have a green light.</t>
  </si>
  <si>
    <t>Jakob Poeltl</t>
  </si>
  <si>
    <t>Poeltl's back may be cooked. Wondering if he ends up getting salary dumped but there is still hope for him.</t>
  </si>
  <si>
    <t>1.14 / Dailyn Swain</t>
  </si>
  <si>
    <t>I have a lot of questions about Swain and how his game translates to the NBA in a new role, but the appeal as a do-everything wing/forward is all there.</t>
  </si>
  <si>
    <t>1.15 / Hannes Steinbach</t>
  </si>
  <si>
    <t>Hannes is the best rebounder in the class, bar none. The athleticism and lack of defense remains a concern but the measurements at the Combine are a big positive.</t>
  </si>
  <si>
    <t>Rudy Gobert</t>
  </si>
  <si>
    <t>More of the same as usual for Rudy Gobert, who delivers on his normal. LaMelo's playmaking will help him.</t>
  </si>
  <si>
    <t>Kristaps Porzingis</t>
  </si>
  <si>
    <t>Kristaps Porzingis continues to suffer from POTS and may miss time here and there. Very solid fantasy performer when he does play.</t>
  </si>
  <si>
    <t>Ty Jerome</t>
  </si>
  <si>
    <t>I'm not making much of the 15-game sample from last year, but in a starting/key 6th man role, I'm hopeful in seeing Jerome have a nice year.</t>
  </si>
  <si>
    <t>1.16 / Bennett Stirtz</t>
  </si>
  <si>
    <t>Stirtz has some question marks, but the fantasy appeal should come with zero questions. Great shooter and is an iron man.</t>
  </si>
  <si>
    <t>Fred VanVleet</t>
  </si>
  <si>
    <t>With FVV, expect him to return to form on some level post-ACL tear. He'll be crucial to Houston's success this year.</t>
  </si>
  <si>
    <t>Santi Aldama</t>
  </si>
  <si>
    <t>MEM -&gt; DAL</t>
  </si>
  <si>
    <t>I still like Aldama, but it's hard to really know what MEM looks like at their best. I think he's a key rotation piece, but Boozer, Lopez and Stewart hurt his value.</t>
  </si>
  <si>
    <t>John Collins</t>
  </si>
  <si>
    <t>LAC -&gt; DET</t>
  </si>
  <si>
    <t>John Collins heads to Detroit to replace Tobias Harris. Frankly, it's a bit of a step-down for Detroit, but it is a lateral move for Collins' fantasy value.</t>
  </si>
  <si>
    <t>Aaron Gordon</t>
  </si>
  <si>
    <t>Gordon has missed some time at different points of this year. With everyone on the table, will someone try and trade for him?</t>
  </si>
  <si>
    <t>Neemias Queta</t>
  </si>
  <si>
    <t>Queta looked like a very solid starter for Boston this past year. Despite landing a big payday, he and Mitchell Robinson will split time.</t>
  </si>
  <si>
    <t>Thomas Sorber</t>
  </si>
  <si>
    <t xml:space="preserve">I'm still willing to be patient with Thomas Sorber even though OKC's center depth looks weird right now. Very fantasy-friendly profile. </t>
  </si>
  <si>
    <t>LeBron James</t>
  </si>
  <si>
    <t>LAL -&gt; FA</t>
  </si>
  <si>
    <t>I'm fully expecting LeBron's final year to be 2026-2027, and by default, his value is pretty much deflated from here. We'll see where he ends up.</t>
  </si>
  <si>
    <t>Jared McCain</t>
  </si>
  <si>
    <t>McCain loses some value on the whole after going to OKC, but he's been playing extremely well with the opportunities given to him so far.</t>
  </si>
  <si>
    <t>Jaime Jaquez Jr.</t>
  </si>
  <si>
    <t>Jaquez's strong 6MOY campaign ends with him a bit buried in Milwaukee. Expecting he gets moved if he doesn't take up a big role.</t>
  </si>
  <si>
    <t>Bilal Coulibaly</t>
  </si>
  <si>
    <t>I think Bilal is done as far as any higher level outcomes, but he's had a good season and has some good role player outcomes here. Still very young.</t>
  </si>
  <si>
    <t>Dereck Lively II</t>
  </si>
  <si>
    <t>This next season is a make-or-break one for me with Lively. I'm largely out on him being a top 100 player again if the foot injuries continue.</t>
  </si>
  <si>
    <t>Maxime Raynaud</t>
  </si>
  <si>
    <t>Raynaud has been excelling so far in Sacramento. Despite questions around the center position, he should remain a core piece.</t>
  </si>
  <si>
    <t>Ron Holland</t>
  </si>
  <si>
    <t>I'm not sure Holland's true potential will ever be realized in Detroit. He's just not able to contribute much yet.</t>
  </si>
  <si>
    <t>1.17 / Christian Anderson</t>
  </si>
  <si>
    <t>NEW</t>
  </si>
  <si>
    <t>Anderson is a great shooter and playmaker who offers a lot of solid skills from a fantasy perspective. What does his role look like without LaMelo?</t>
  </si>
  <si>
    <t>Daniel Gafford</t>
  </si>
  <si>
    <t>I expected Gafford to get traded, but with Lively's status continually up in the air, we'll see what happens.</t>
  </si>
  <si>
    <t>RJ Barrett</t>
  </si>
  <si>
    <t>RJ Barrett stays behind in Toronto and will likely remain a starter. His scoring will likely take a dip.</t>
  </si>
  <si>
    <t>Jaylon Tyson</t>
  </si>
  <si>
    <t>Tyson has evolved into a clear foundational piece for Cleveland. Not sure what the ceiling is but the highs this past year have been solid.</t>
  </si>
  <si>
    <t>De'Andre Ayton</t>
  </si>
  <si>
    <t>LAL -&gt; WAS</t>
  </si>
  <si>
    <t>Unsurprisingly, Ayton has looked better than expected because of Luka and Reaves. Numbers are typical but I don't see more long-term upside.</t>
  </si>
  <si>
    <t>Ayo Dosumnu</t>
  </si>
  <si>
    <t>Grown folks online tried saying Ayo is a bottom 10 role player in the NBA. Minnesota dropped a bag on him this offseason.</t>
  </si>
  <si>
    <t>Moussa Diabate</t>
  </si>
  <si>
    <t>As expected, Charlotte got some frontcourt help behind Moussa with Hannes Steinbach aned Nas Reid, but I think he should remain a steady piece.</t>
  </si>
  <si>
    <t>Damian Lillard</t>
  </si>
  <si>
    <t>Dame Time returns this fall, but how much do we get coming off the achilles tear and the heavy guard rotation (Morant, Henderson, Holiday)?</t>
  </si>
  <si>
    <t>Brandin Podziemski</t>
  </si>
  <si>
    <t>Podz had a career-high in scoring this year, but it feels like he's never going to get much respect online. Still a decent player.</t>
  </si>
  <si>
    <t>Aaron Nesmith</t>
  </si>
  <si>
    <t>Nesmith only played about half the season with Indiana's tanking antics. He'll be back to his normal defined 3&amp;D role this season.</t>
  </si>
  <si>
    <t>Naji Marshall</t>
  </si>
  <si>
    <t>I've been a longtime Marshall truther and he's been surging recently. One of the more undervalued win-now fantasy targets out there.</t>
  </si>
  <si>
    <t>Christian Braun</t>
  </si>
  <si>
    <t xml:space="preserve">I'm still in on Christian Braun being a good player in his career despite Peyton Watson running away as the better player. </t>
  </si>
  <si>
    <t>Hugo Gonzalez</t>
  </si>
  <si>
    <t>This offseason has given us numerous signs that Hugo is a very valuable player that Boston really believes in. Is the sophomore breakout coming?</t>
  </si>
  <si>
    <t>Quentin Grimes</t>
  </si>
  <si>
    <t>PHI -&gt; LAL</t>
  </si>
  <si>
    <t>Name value and the Lakers tax on Grimes is going to lead to him being overvalued. Fine player but got paid too much in free agency.</t>
  </si>
  <si>
    <t>Will Riley</t>
  </si>
  <si>
    <t>Will Riley has had some ridiculous stretches of play for Washington. AJ Dybantsa hurts him short term. It's on him to improve this year to stick.</t>
  </si>
  <si>
    <t>Kasparas Jakucionis</t>
  </si>
  <si>
    <t>Kasparas ends up in a situation where he can commend more minutes in a rebuild. Still hopeful he can pan out despite the short term logjam in the backcourt.</t>
  </si>
  <si>
    <t>1.18 / Cameron Carr</t>
  </si>
  <si>
    <t>Carr is in a great situation to play a good role as a rookie. He should've never fallen to the mid-20s in real life.</t>
  </si>
  <si>
    <t>1.19 / Allen Graves</t>
  </si>
  <si>
    <t>Graves is a statistical darling with a lot to like about his player. I have a lot of questions about his long term upside.</t>
  </si>
  <si>
    <t>Andrew Wiggins</t>
  </si>
  <si>
    <t>Andrew Wiggins comes back to Miami on a more team-friendly deal. They'll need a lot of him with Miami's depleted depth post-Giannis.</t>
  </si>
  <si>
    <t>Isaiah Stewart</t>
  </si>
  <si>
    <t>DET -&gt; MEM</t>
  </si>
  <si>
    <t>Stewart ends up going to a pretty favorable situation in Memphis as the backup big to Zach Edey. I think he'll be more fantasy relevant than people might expect.</t>
  </si>
  <si>
    <t>Collin Gillespie</t>
  </si>
  <si>
    <t>Gillespie has been excellent this year for Phoenix. I expect him to get a nice payday to stay with the Suns this summer.</t>
  </si>
  <si>
    <t>Julian Champagnie</t>
  </si>
  <si>
    <t>Champagnie has had a much more impactful season/playoffs than the counting stats might tell you. Is there more coming for him?</t>
  </si>
  <si>
    <t>Mitchell Robinson</t>
  </si>
  <si>
    <t>NYK -&gt; BOS</t>
  </si>
  <si>
    <t>Mitchell Robinson finds a new home in Boston. Injuries remain a concern for him but him and Neemias Queta should maintain solid roles.</t>
  </si>
  <si>
    <t>Jonathan Kuminga</t>
  </si>
  <si>
    <t>ATL -&gt; FA</t>
  </si>
  <si>
    <t>I think we've figured out who Jonathan Kuminga is by now and isn't going to hit those high upside marks we hoped for. Fascinated to see where he signs.</t>
  </si>
  <si>
    <t>Wendell Carter Jr.</t>
  </si>
  <si>
    <t>One of the more consistently undervalued big men, WCJ had a bit of a resurgence after a bad 2024-2025 season. He and Vuc will split time.</t>
  </si>
  <si>
    <t>Noa Essengue</t>
  </si>
  <si>
    <t>Essengue is far from a complete product and has a lot to work on still after missing his entire rookie year. He'll have to work his way into a reserve role.</t>
  </si>
  <si>
    <t>1.20 / Labaron Philon</t>
  </si>
  <si>
    <t>Philon is going to require some serious patience. He's currently the fourth guard in the pecking order for Philadelphia.</t>
  </si>
  <si>
    <t>1.21 / Nate Ament</t>
  </si>
  <si>
    <t>There's a lot of red flags in Nate Ament's profile, especially for categories leagues, but he should get plenty of run in Milwaukee.</t>
  </si>
  <si>
    <t>Dillon Brooks</t>
  </si>
  <si>
    <t>Brooks had an electric year with Phoenix and scoring 20+ PPG for the first time. I don't expect this to continue but he should continue playing a steady role.</t>
  </si>
  <si>
    <t>Kevin Porter Jr.</t>
  </si>
  <si>
    <t>KPJ returns to Milwaukee on a player option with a very muddled backcourt. He'll likely still get minutes.</t>
  </si>
  <si>
    <t>Herbert Jones</t>
  </si>
  <si>
    <t>Despite years of trade rumors, Herb is still in New Orleans and will continue anchoring their entire defense.</t>
  </si>
  <si>
    <t>Max Christie</t>
  </si>
  <si>
    <t>Remember Max Christie's hot run early into his Dallas tenure? Still remains a good player but he's not going much further than this.</t>
  </si>
  <si>
    <t>Davion Mitchell</t>
  </si>
  <si>
    <t>Miami gutting their depth chart definitely helps Davion Mitchell's case, but I don't expect him to keep a firm starting job after free agency.</t>
  </si>
  <si>
    <t>Gui Santos</t>
  </si>
  <si>
    <t>One of the more underdiscussed Warriors storylines is that Santos has found his way into the rotation and had some good looks. Interesting hold going into next season.</t>
  </si>
  <si>
    <t>Cameron Johnson</t>
  </si>
  <si>
    <t>The wheels have started to fall off for Cam in Denver. We'll see if he can bounce back this year (preferably if Peyton Watson is gone).</t>
  </si>
  <si>
    <t>Kyle Filipowski</t>
  </si>
  <si>
    <t>Kyle Filipowski finds himself in a good position to continue maintaining a solid role with Utah. This could be a key year for him.</t>
  </si>
  <si>
    <t>Malik Monk</t>
  </si>
  <si>
    <t>Monk had a down year after starting to get phased out of Sacramento. I have to believe someone legitimately wants to trade for him.</t>
  </si>
  <si>
    <t>1.22 / Karim Lopez</t>
  </si>
  <si>
    <t>Karim Lopez is going to be a work in progress, but if he hits, he's going to be a solid player that NBA teams will pay a lot of money for.</t>
  </si>
  <si>
    <t>Nikola Topic</t>
  </si>
  <si>
    <t>With the addition of Bennett Stirtz, this largely kills the Topic hype. I'm guessing he needs a trade to make it happen at this point.</t>
  </si>
  <si>
    <t>Noah Penda</t>
  </si>
  <si>
    <t>I love what I've seen from Penda so far and I'm high on him potentially earning a consistent role in 2026-2027.</t>
  </si>
  <si>
    <t>Jimmy Butler</t>
  </si>
  <si>
    <t>Jimmy Butler suffered a devastating ACL tear this January. He's a psycho and will aim to return soon, but will he ever be the same player again at age 37?</t>
  </si>
  <si>
    <t>CJ McCollum</t>
  </si>
  <si>
    <t>CJ's still kind of got it. He's in for probably one more year with Atlanta with a high-scoring role.</t>
  </si>
  <si>
    <t>Paul Reed</t>
  </si>
  <si>
    <t>I realize that this is a massive jump for BBall Paul, but the way he's played in these playoffs should guarantee him a multi-year offer and a more clearcut role.</t>
  </si>
  <si>
    <t>Jamal Shead</t>
  </si>
  <si>
    <t>Shead has been a solid NBA player to date and really proven me wrong. He's going to be in the NBA for a long time.</t>
  </si>
  <si>
    <t>Bennedict Mathurin</t>
  </si>
  <si>
    <t>LAC -&gt; FA</t>
  </si>
  <si>
    <t>Mathurin remains unsigned to date, and the Clippers-Aspiration investigation might hold them up longer.</t>
  </si>
  <si>
    <t>Daniss Jenkins</t>
  </si>
  <si>
    <t>Jenkins looks to be a long-term staple for Detroit moving forward. He and Ebuka Okorie will be the main guards off the bench.</t>
  </si>
  <si>
    <t>Draymond Green</t>
  </si>
  <si>
    <t>We know who Green is at this point. He'll stick around in GSW until the wheels fall off. His fantasy game isn't what it used to be but he's still a great and valuable player.</t>
  </si>
  <si>
    <t>Danny Wolf</t>
  </si>
  <si>
    <t>Wolf has a very appealing fantasy game, but he's not a good player at the NBA level yet and has a ways to go. Still definitely worth an investment in dynasty.</t>
  </si>
  <si>
    <t>1.23 / Sergio De Larrea</t>
  </si>
  <si>
    <t>Sergio has a ton to like as a 6'6 point guard with good craftiness, passing and shooting. Dusty May will really like and try to weaponize his size.</t>
  </si>
  <si>
    <t>1.24 / Jayden Quaintance</t>
  </si>
  <si>
    <t>There is zero question that JQ looks like an elite athlete and defender from Day 1 in the NBA, but the offensive development is the big swing.</t>
  </si>
  <si>
    <t>1.25 / Tarris Reed Jr.</t>
  </si>
  <si>
    <t>Tarris Reed and JQ make the backup big spot a little weird, but Reed is a different flavor with some muscle that should work great with Wemby.</t>
  </si>
  <si>
    <t>Jrue Holiday</t>
  </si>
  <si>
    <t>Jrue Holiday showed us that he's still got it this past year. With the Blazers' guard spots looking weird, what we can we expect for him?</t>
  </si>
  <si>
    <t>Sandro Mamukelashvili</t>
  </si>
  <si>
    <t>TOR -&gt; LAL</t>
  </si>
  <si>
    <t>Mamu got a big time payday to head to the Lakers where he'll face a ton of pressure as the presumed starting power forward.</t>
  </si>
  <si>
    <t>Josh Minott</t>
  </si>
  <si>
    <t>Minott has looked solid when getting the looks in Boston and moves onto Brooklyn in a clearer role. We'll see if that sustains this coming season.</t>
  </si>
  <si>
    <t>Kobe Sanders</t>
  </si>
  <si>
    <t>The Clippers should be jumping for joy with the scam contract they gave Kobe Sanders. Fully expecting him to outplay it and impact LAC in a big way.</t>
  </si>
  <si>
    <t>Walter Clayton Jr.</t>
  </si>
  <si>
    <t>Hope to see Clayton have a mini sophomore breakout in Memphis. He'll definitely shoot better this next season. He's been dealt a weird hand so far.</t>
  </si>
  <si>
    <t>Grayson Allen</t>
  </si>
  <si>
    <t>PHO -&gt; CHA</t>
  </si>
  <si>
    <t>Allen had his best year and popped off for Phoenix with their need for scorers. He'll play a bench role for Charlotte and hope to keep it up.</t>
  </si>
  <si>
    <t>Nique Clifford</t>
  </si>
  <si>
    <t xml:space="preserve">I've really liked what I've seen of Nique in his best moments this season in Sacramento. Hoping to see more this next year as he remains a key piece. </t>
  </si>
  <si>
    <t>Scotty Pippen Jr.</t>
  </si>
  <si>
    <t xml:space="preserve">Pippen is one of the forgotten guards of this group who has flashed really strong play at times (especially in the playoffs). </t>
  </si>
  <si>
    <t>Aaron Wiggins</t>
  </si>
  <si>
    <t>OKC -&gt; ATL</t>
  </si>
  <si>
    <t>Aaron Wiggins is one of OKC's consolidation victims and heads to Atlanta to keep up in a solid role.</t>
  </si>
  <si>
    <t>Nolan Traore</t>
  </si>
  <si>
    <t>Traore has had some flashes of being a potentially good player in Brooklyn. Will likely play a good bench role this next season behind Mikel and Egor.</t>
  </si>
  <si>
    <t>Cam Spencer</t>
  </si>
  <si>
    <t>Cam Spencer is a testament to how stacked Memphis is with good-not-great guards. Who emerges of this group?</t>
  </si>
  <si>
    <t>1.26 / Koa Peat</t>
  </si>
  <si>
    <t>Peat is very much a mystery box player with loads of athleticism. He'll need help getting fit into a role. Could be a solid defender at the NBA level.</t>
  </si>
  <si>
    <t>Terrance Shannon Jr.</t>
  </si>
  <si>
    <t>TSJ has taken a step up when called upon in the playoffs and he should be looking at a better role this year, if Chris Finch stops being such a stickler.</t>
  </si>
  <si>
    <t>Tre Jones</t>
  </si>
  <si>
    <t>Despite his size, Tre Jones has showed he belongs in the NBA still and can sustain a decent backup role in Chicago.</t>
  </si>
  <si>
    <t>Bobby Portis</t>
  </si>
  <si>
    <t>Portis has dropped off the map a little this year and it remains to be seen if he'll tick back up into a more normal role for him. He lands in a good spot in Miami.</t>
  </si>
  <si>
    <t>De'Andre Hunter</t>
  </si>
  <si>
    <t>After a one-year wonder performance in Atlanta/Cleveland, Hunter was dumped to Sacramento where he'll expect to take up a decent-sized role.</t>
  </si>
  <si>
    <t>Robert Williams III</t>
  </si>
  <si>
    <t>Timelord gets a nice 4-year deal to remain the backup center to Donovan Clingan. He was really good when healthy this year, as per usual.</t>
  </si>
  <si>
    <t>Jaylen Wells</t>
  </si>
  <si>
    <t>Wells is a better real-life player than fantasy as a 3&amp;D wing. He'll keep playing good minutes for Memphis.</t>
  </si>
  <si>
    <t>Rui Hachimura</t>
  </si>
  <si>
    <t>LAL -&gt; LAC</t>
  </si>
  <si>
    <t>Rui Hachimura didn't have to go far to his next team. He stays in town in LA and will have a similar enough role for the Clippers with less pressure than his Lakers gig.</t>
  </si>
  <si>
    <t>Tobias Harris</t>
  </si>
  <si>
    <t>DET -&gt; SAS</t>
  </si>
  <si>
    <t>Detroit is really going to feel the loss of Tobias Harris. I like the addition for the Spurs and expect him to continue playing a decent role.</t>
  </si>
  <si>
    <t>Sam Hauser</t>
  </si>
  <si>
    <t>Sam Hauser doesn't have much true upside, but he is a good 3&amp;D player and can pop off for 9 3s now and again. He's an important cheap piece for Boston.</t>
  </si>
  <si>
    <t>Jerami Grant</t>
  </si>
  <si>
    <t>POR -&gt; MEM</t>
  </si>
  <si>
    <t>Grant was one of the pieces traded in the Ja Morant deal. He's making absurd money and will get some minutes.</t>
  </si>
  <si>
    <t>Anfernee Simons</t>
  </si>
  <si>
    <t>CHI -&gt; PHI</t>
  </si>
  <si>
    <t>Simons has fallen out of favor in the NBA and will settle for a bench role in a stacked Philly squad.</t>
  </si>
  <si>
    <t>1.27 / Bruce Thornton</t>
  </si>
  <si>
    <t>I'm a big Bruce Thornton fan. I think this fit is fantastic and could really allow him to shine. Could be a major steal in a few years.</t>
  </si>
  <si>
    <t>1.28 / Chris Cenac Jr.</t>
  </si>
  <si>
    <t>If you draft Cenac, proceed with caution in knowing he is a development project. He will need time to make it happen in Boston, but the ceiling could be very high.</t>
  </si>
  <si>
    <t>1.29 / Zuby Ejiofor</t>
  </si>
  <si>
    <t>Zuby will get some run with Atlanta. I have questions about the fit but they've needed more energy and size at the center position for some time now.</t>
  </si>
  <si>
    <t>1.30 / Joshua Jefferson</t>
  </si>
  <si>
    <t>Jefferson will fit right in with this Brooklyn Nets identity built around passing at all positions. Good fantasy profile.</t>
  </si>
  <si>
    <t>Justin Champagnie</t>
  </si>
  <si>
    <t>These Champagnie twin are good, man.  Really impressed by Justin's hard work in securing a full-time NBA role. High-percentile rebounder for his position.</t>
  </si>
  <si>
    <t>Ousmane Dieng</t>
  </si>
  <si>
    <t>If/when Giannis is traded, Dieng could have a chance to be MIL's next big breakout star after Ryan Rollins for the rebuild. Keep an eye on him this summer.</t>
  </si>
  <si>
    <t>De'Anthony Melton</t>
  </si>
  <si>
    <t>Melton returns to Golden State on a team-friendly deal. He'll continue playing a rotation role with a good fantasy game.</t>
  </si>
  <si>
    <t>Rob Dillingham</t>
  </si>
  <si>
    <t>I normally try and give some grace to young guards, but I'm pretty concerned with how things went in MIN and the fantasy game being pretty poor in CHI.</t>
  </si>
  <si>
    <t>Zaccharie Risacher</t>
  </si>
  <si>
    <t>Risacher's value is crashing hard right now and it remains to be seen if/how he can get it back.</t>
  </si>
  <si>
    <t>DeMar DeRozan</t>
  </si>
  <si>
    <t>SAC -&gt; FA</t>
  </si>
  <si>
    <t xml:space="preserve">All signs point to DeMar heading back to Toronto, staying close to home in LA or going to Miami. </t>
  </si>
  <si>
    <t>Saddiq Bey</t>
  </si>
  <si>
    <t>Saddiq Bey was scoring like crazy this year with 17.7 per game. This is pretty obviously not going to stay at this level.</t>
  </si>
  <si>
    <t>Jordan Poole</t>
  </si>
  <si>
    <t>It'd be a surprise if Jordan Poole was done as an NBA player yet, but he was downright awful this year and got a lot of DNPs.</t>
  </si>
  <si>
    <t>Jusuf Nurkic</t>
  </si>
  <si>
    <t>Despite Walker Kessler going down, Nurkic has been playing with a little gas left in the tank. Not expecting much after this season.</t>
  </si>
  <si>
    <t>Dylan Cardwell</t>
  </si>
  <si>
    <t>Cardwell has flashed some really interesting play for Sacramento as an old-school rim protecting big. Great innings eater/backup to Sabonis and Raynaud.</t>
  </si>
  <si>
    <t>Isaiah Collier</t>
  </si>
  <si>
    <t>The shooting is still far from ever being close to average, but the playmaking, pace and feel are pretty good for a young guard. How will he, George and Clayton mesh?</t>
  </si>
  <si>
    <t>Yanic Konan Niederhauser</t>
  </si>
  <si>
    <t>LAC has not addressed the current big man situation at all through the draft or free agency as of yet. This is a great sign of their confidence in YKN.</t>
  </si>
  <si>
    <t>Nikola Vucevic</t>
  </si>
  <si>
    <t>BOS -&gt; ORL</t>
  </si>
  <si>
    <t>Vucevic's value has continued to fall since leaving Chicago. He heads back home to Orlando where he'll play a bench role.</t>
  </si>
  <si>
    <t>Ryan Kalkbrenner</t>
  </si>
  <si>
    <t>Kalkbrenner went from looking at a starting job to being the potential 4th best big on this Hornets squad. He needs a trade to make it happen.</t>
  </si>
  <si>
    <t>Tristan Da Silva</t>
  </si>
  <si>
    <t>Not much more upside for the Magic to extract from Da Silva, but as a rotation player, I think he's good and should have a lengthy career in the NBA.</t>
  </si>
  <si>
    <t>2.01 / Meleek Thomas</t>
  </si>
  <si>
    <t>SG</t>
  </si>
  <si>
    <t>With a 4-year guaranteed deal in hand, Thomas has a chance to be a core piece for Cleveland with some more fine-tuning.</t>
  </si>
  <si>
    <t>Collin Sexton</t>
  </si>
  <si>
    <t>CHI -&gt; LAL</t>
  </si>
  <si>
    <t>I couldn't think of a worse fit for Collin Sexton if I tried. He'll get some mileage with the Lakers but I'm not confident he looks all that good.</t>
  </si>
  <si>
    <t>Donte DiVincenzo</t>
  </si>
  <si>
    <t>Awful news as we find out Donte DiVincenzo tore his achilles during the playoffs. We won't see him at all next year.</t>
  </si>
  <si>
    <t>Sam Merrill</t>
  </si>
  <si>
    <t>Merrill is one of the very best shooters in the entire world. The upside isn't high but Sammy Buckets will get you, well, buckets.</t>
  </si>
  <si>
    <t>Pelle Larsson</t>
  </si>
  <si>
    <t>Larsson will need to step up for Miami with a lot of missing depth. Spo trusts him and he can play different roles as a glue guy.</t>
  </si>
  <si>
    <t>Kelly Oubre Jr.</t>
  </si>
  <si>
    <t>PHI -&gt; IND</t>
  </si>
  <si>
    <t>We know what Oubre is and what his game looks like. He's a bucket but doesn't offer a ton of strong fantasy appeal besides that.</t>
  </si>
  <si>
    <t>Oso Ighodaro</t>
  </si>
  <si>
    <t>Ighodaro was impactful this year for Phoenix. Curious how things shake out with Maluach improving, Miles Bridges coming in, and Rasheer Fleming and Koa Peat.</t>
  </si>
  <si>
    <t>Alex Caruso</t>
  </si>
  <si>
    <t>Caruso in OKC is making for some terrifying defense. He's a winning player, but spending the remainder of his prime on a deep contender is not A+ for fantasy.</t>
  </si>
  <si>
    <t>Keldon Johnson</t>
  </si>
  <si>
    <t>Just as he's walking away with his 6MOY award, Keldon suddenly feels like an odd man out with San Antonio's recent string of moves, plus Carter Bryant rising.</t>
  </si>
  <si>
    <t>2.02 / Richie Saunders</t>
  </si>
  <si>
    <t>I don't care that Richie Saunders is almost 25 years old. Dude is a demon and has a real route to being a successful NBA player that outplays his draft position.</t>
  </si>
  <si>
    <t>Kris Dunn</t>
  </si>
  <si>
    <t>Not much upside for Dunn at this point in his career, but I expect him to play a key role in LAC either starting next to Darius Garland or coming off the bench.</t>
  </si>
  <si>
    <t>Kyle Kuzma</t>
  </si>
  <si>
    <t>Finally, pure mid. We know who Kyle Kuzma is and that he's a bad fantasy player. Don't much expect here in Milwaukee post-Giannis.</t>
  </si>
  <si>
    <t>Taylor Hendricks</t>
  </si>
  <si>
    <t>Hendricks struggled to make it happen in Utah, but there are signs of life in Memphis. Keeping an eye here.</t>
  </si>
  <si>
    <t>Miles McBride</t>
  </si>
  <si>
    <t>Deuce McBride scored more points than I anticipated this past year despite only playing half the season. I don't expect 12 PPG to remain the norm.</t>
  </si>
  <si>
    <t>Keon Ellis</t>
  </si>
  <si>
    <t>CLE -&gt; BKN</t>
  </si>
  <si>
    <t xml:space="preserve">Ellis was very disappointing this past year in Sacramento and Cleveland. We'll see what kind of year he has for Brooklyn. </t>
  </si>
  <si>
    <t>Brice Sensabaugh</t>
  </si>
  <si>
    <t>Once again, we've seen some flashes from Brice Sensabaugh, but with Darryn Peterson and Ace Bailey in town, I think he needs a new team to make it happen.</t>
  </si>
  <si>
    <t>Bradley Beal</t>
  </si>
  <si>
    <t>LAC -&gt; MIA</t>
  </si>
  <si>
    <t>Beal could be an interesting bargain bin player to stash if you're a contender and think he can come back to some form next year.</t>
  </si>
  <si>
    <t>2.03 / Alex Karaban</t>
  </si>
  <si>
    <t>Karaban has some connective pieces to his game that should give him some fantasy appeal. Good leader and jack-of-all-trades.</t>
  </si>
  <si>
    <t>Jordan Miller</t>
  </si>
  <si>
    <t>Jordan Miller had a nice season with the Clippers. There's sure to be questions in their rotation and how he fits in. I'm not a strong believer but there is potential.</t>
  </si>
  <si>
    <t>Javon Small</t>
  </si>
  <si>
    <t>Small's fantasy game has continued to pop when he plays for Memphis. Could be a real sleeper hit for deeper leagues here.</t>
  </si>
  <si>
    <t>Yang Hansen</t>
  </si>
  <si>
    <t>Yang was completely unplayable as a rookie. Never thought much of him, but given the profile and the capital spent on him, you have to hold or buy low.</t>
  </si>
  <si>
    <t>Adou Thiero</t>
  </si>
  <si>
    <t>The offense remains a work in progress, but if you want to bet on the tools, athleticism, and two-way appeal, Thiero has a lot to love.</t>
  </si>
  <si>
    <t>Dean Wade</t>
  </si>
  <si>
    <t>CLE -&gt; PHI</t>
  </si>
  <si>
    <t>Wade was a great undrafted gem for the Cavs and plays a steady bench role. Really good IRL player but essentially a cardio guy for fantasy purposes.</t>
  </si>
  <si>
    <t>Baylor Scheierman</t>
  </si>
  <si>
    <t>Scheierman took a step forward this year for Boston. With Jaylen Brown gone, expect him and Hugo Gonzalez to pick up some slack.</t>
  </si>
  <si>
    <t>Ryan Nembhard</t>
  </si>
  <si>
    <t>Ryan Nembhard finding a role as an UDFA was one of the bright spots of Dallas's season. Can he secure a solid long term contract this year?</t>
  </si>
  <si>
    <t>Jay Huff</t>
  </si>
  <si>
    <t>Huff was not efficient this year, but there's a lot to like as a 3-point shooting center who racks up blocks. Hoping he returns to form in a backup role behind Zubac.</t>
  </si>
  <si>
    <t>Luguentz Dort</t>
  </si>
  <si>
    <t>Lu Dort remains in OKC as one of their core defenders. Will he stay here much longer?</t>
  </si>
  <si>
    <t>Quentin Post</t>
  </si>
  <si>
    <t>GSW -&gt; MEM</t>
  </si>
  <si>
    <t>There's some real upside with Post here. Memphis made an interesting move to steal him away from Memphis as their third big.</t>
  </si>
  <si>
    <t>Isaiah Joe</t>
  </si>
  <si>
    <t>OKC -&gt; DET</t>
  </si>
  <si>
    <t>Isaiah Joe was one of OKC's victims for consolidation. He heads to Detroit to bolster their shooting.</t>
  </si>
  <si>
    <t>Obi Toppin</t>
  </si>
  <si>
    <t>We barely saw Obi Toppin this year (24 games played). We'll hope to see him keep things back to '24-'25 form when Haliburton returns.</t>
  </si>
  <si>
    <t>Asa Newell</t>
  </si>
  <si>
    <t>I'm closely watching Asa Newell after some fiery games when he gets real minutes. Holding and buying if I can.</t>
  </si>
  <si>
    <t>Marcus Smart</t>
  </si>
  <si>
    <t>LAL -&gt; HOU</t>
  </si>
  <si>
    <t>Somehow, I've forgotten to add Marcus Smart over into multiple updates. He's back now, and has been playing a good role for LA.</t>
  </si>
  <si>
    <t>2.04 / Henri Veesaar</t>
  </si>
  <si>
    <t>Henri Veesaar forced his way into a long fall down draft boards to secure a guaranteed deal with the Hawks. He remains a priority 30s target.</t>
  </si>
  <si>
    <t>Jalen Smith</t>
  </si>
  <si>
    <t>We know what it is with Jalen Smith. He'll likely back up Nic Claxton at the 5 and should continue playing a decent role in Chicago.</t>
  </si>
  <si>
    <t>Bogoljbub Markovic</t>
  </si>
  <si>
    <t>This is quite a jump for Markovic, but after a great year of improvement that won him the ABA MVP and a nice-sized 4 year contract, he's absolutely a priority pickup.</t>
  </si>
  <si>
    <t>Jordan Walsh</t>
  </si>
  <si>
    <t>Walsh is still young and needs time, but upside is still there in his physical tools and the advanced numbers this season. Curious if he can carve out more in Year 3.</t>
  </si>
  <si>
    <t>Ja'Kobe Walter</t>
  </si>
  <si>
    <t>I didn't respect Ja'Kobe Walter enough this past year. Curious how much further he's going into this next year.</t>
  </si>
  <si>
    <t>Mohamed Diawara</t>
  </si>
  <si>
    <t>Diawara has impressed me in his flashes this year. He's on a deep team and minutes may be tough to come by, but I like him as a long-term stash.</t>
  </si>
  <si>
    <t>2.05 / Baba Miller</t>
  </si>
  <si>
    <t>Baba Miller got a big ol' payday with the Clippers on a 4-year deal. This is super notable and could be a great sign of what's to come.</t>
  </si>
  <si>
    <t>2.06 / Isaiah Evans</t>
  </si>
  <si>
    <t>Isaiah Evans doesn't have a strong fantasy game, but the hope is the shooting is something to build on.</t>
  </si>
  <si>
    <t>2.07 / Ryan Conwell</t>
  </si>
  <si>
    <t>Conwell has a pro-ready game built to help the Heat's bench from the jump. Expect him to start climbing in your drafts.</t>
  </si>
  <si>
    <t>TJ McConnell</t>
  </si>
  <si>
    <t>TJ McConnell continues trucking along as a key piece in Indiana as a backup guard. We know what to expect at this point.</t>
  </si>
  <si>
    <t>Royce O'Neale</t>
  </si>
  <si>
    <t>Royce heads to Charlotte after a career-high year in points. Expect him to play like his usual self we've seen at Utah, Brooklyn and Phoenix.</t>
  </si>
  <si>
    <t>Cody Williams</t>
  </si>
  <si>
    <t>I still don't know what Cody Williams is supposed to be, but I think the growth we've seen is notable. I'm giving him a chance on a 3rd year breakout despite the drop.</t>
  </si>
  <si>
    <t>Jase Richardson</t>
  </si>
  <si>
    <t xml:space="preserve">The talent is still there for Jase Richardson, but the opportunities haven't been and his height and role are at odds. Hoping their next head coach sees the vision. </t>
  </si>
  <si>
    <t>Duncan Robinson</t>
  </si>
  <si>
    <t>Duncan Robinson gets a little bit more competition for touches with Isaiah Joe, but he remains the best shooter of the team.</t>
  </si>
  <si>
    <t>Moussa Cisse</t>
  </si>
  <si>
    <t>DAL -&gt; FA</t>
  </si>
  <si>
    <t>I'm keeping a close eye on Cisse moving forward. Really intriguing advanced numbers. Could be a great player hiding in plain sight.</t>
  </si>
  <si>
    <t>Jamir Watkins</t>
  </si>
  <si>
    <t>Watkins has shown he has some juice to be a good rotation player for Washington. He fits their defensive identity well. He might play more than you think this year.</t>
  </si>
  <si>
    <t>DaRon Holmes II</t>
  </si>
  <si>
    <t>This year may be Holmes' last chance at securing a role with Denver. He'll face competition with Marvin Bagley III in the frontcourt.</t>
  </si>
  <si>
    <t>Will Richard</t>
  </si>
  <si>
    <t>Richard has proven to be a notable role player for Golden State. The minutes are always going to be screwy, but maybe there's more of a chance this year.</t>
  </si>
  <si>
    <t>Noah Clowney</t>
  </si>
  <si>
    <t>Clowney has gross percentages, but he's certainly improved overall this year. I don't think he's ever going to be a good NBA player, frankly.</t>
  </si>
  <si>
    <t>Vit Krejci</t>
  </si>
  <si>
    <t>Following the Ja trade, Krejci is very quietly a winner. The Blazers have lackluster wing/forward depth. Keep an eye here for deep leagues.</t>
  </si>
  <si>
    <t>Jarace Walker</t>
  </si>
  <si>
    <t>Entering the last year of his rookie contract, we still really don't know what Walker is going to be. Good tanking year numbers, but can he show anything this year?</t>
  </si>
  <si>
    <t>Rasheer Fleming</t>
  </si>
  <si>
    <t>Fleming will remain in a reserve role following the Suns' trade for Miles Bridges. Still hopeful he can pan out as him and Koa Peat fight for PF minutes.</t>
  </si>
  <si>
    <t>GG Jackson</t>
  </si>
  <si>
    <t>Some people are going to be annoyed about this placement. I just don't know what to say about GG. Can score but not much else. Only gets run when MEM is bad.</t>
  </si>
  <si>
    <t>Jake LaRavia</t>
  </si>
  <si>
    <t>LaRavia has impressed on occasion in LA. He's settled into a career as a role player moving forward.</t>
  </si>
  <si>
    <t>Jaylin Williams</t>
  </si>
  <si>
    <t>JWill probably deserves to be higher than this because he's legitimately solid as a rotation piece, but it's hard to trust he has a role of much size at all.</t>
  </si>
  <si>
    <t>2.08 / Emanuel Sharp</t>
  </si>
  <si>
    <t>There's plenty to like about Emanuel Sharp as an off-ball 3&amp;D player and a culture setter. Very hard worker and got a guaranteed contract.</t>
  </si>
  <si>
    <t>AJ Green</t>
  </si>
  <si>
    <t>AJ Green is one of the bigger losers of the Giannis trade with a ton of guards in the rotation now. He probably needs a trade to return to relevancy.</t>
  </si>
  <si>
    <t>Nikola Jovic</t>
  </si>
  <si>
    <t>Jovic has been downright awful this year. No clue what happened, but good chance he gets salary dumped or used in filler for a trade soon.</t>
  </si>
  <si>
    <t>Marvin Bagley III</t>
  </si>
  <si>
    <t>DAL -&gt; DEN</t>
  </si>
  <si>
    <t>Bagley's been playing some decent ball recently in Washington and Dallas. He'll be tasked with backing up Nikola Jokic this year.</t>
  </si>
  <si>
    <t>Leonard Miller</t>
  </si>
  <si>
    <t>I'm very skeptical of all this, but Leonard Miller has been showing some real signs of life in Chicago. Will be keeping an eye on this in the offseason.</t>
  </si>
  <si>
    <t>Dominick Barlow</t>
  </si>
  <si>
    <t>Barlow has played a surprising amount for Philly, starting more games than you'd think. Not a ton of fantasy upside here, at least from recent returns.</t>
  </si>
  <si>
    <t>Liam McNeeley</t>
  </si>
  <si>
    <t>McNeeley hasn't popped much yet, but he's shown a little in Charlotte that suggest more could come when he gets a consistent role.</t>
  </si>
  <si>
    <t>Luke Kennard</t>
  </si>
  <si>
    <t>ATL -&gt; PHO</t>
  </si>
  <si>
    <t>Kennard is playing a 3-point specialist role for the Lakers. I expect him to pick up some slack until Luka and Reaves are back.</t>
  </si>
  <si>
    <t>Moses Moody</t>
  </si>
  <si>
    <t>Moody was really coming up strong before a brutal patellar tendon tear. He has a lenthy road to recovery.</t>
  </si>
  <si>
    <t>Max Strus</t>
  </si>
  <si>
    <t>Strus barely played in 2025-2026 (12 GP). Expect him to remain in a decent role and keep hitting 3s.</t>
  </si>
  <si>
    <t>Steven Adams</t>
  </si>
  <si>
    <t>Adams was badly missed this season and in the playoffs during Sengun's lowlights. He'll maintain a key role when healthy for '26-'27.</t>
  </si>
  <si>
    <t>Ryan Dunn</t>
  </si>
  <si>
    <t>Ryan Dunn hasn't progressed much besides some 3PT strides, but he remains a bad offensive player and hasn't shown much in the stocks department.</t>
  </si>
  <si>
    <t>2.09 / Ugonna Onyenso</t>
  </si>
  <si>
    <t>With a lot of questions about centers in Detroit, there is a real chance Ugonna Oyenso takes up a solid role as a backup.</t>
  </si>
  <si>
    <t>Jock Landale</t>
  </si>
  <si>
    <t>Landale has played some decent ball for Atlanta and will likely stick around as a backup/3rd stringer.</t>
  </si>
  <si>
    <t>Goga Bitadze</t>
  </si>
  <si>
    <t>Goga continues to flash on occasion, but I don't think he'll ever fully put it all together unless some desparate team swipes him up this summer.</t>
  </si>
  <si>
    <t>Amari Williams</t>
  </si>
  <si>
    <t>Amari Williams has some real potential here in Boston with MitchRob's injury issues. Good passer, could be a serious diamond in the rough.</t>
  </si>
  <si>
    <t>Brook Lopez</t>
  </si>
  <si>
    <t>Brook Lopez is almost done in the NBA, but he's still got some juice and will play a decent chunk of minutes with YKN still recovering from his Lisfranc injury.</t>
  </si>
  <si>
    <t>Devin Carter</t>
  </si>
  <si>
    <t>SAC -&gt; ATL</t>
  </si>
  <si>
    <t>The Kings salary dumped Devin Carter to the Hawks. There is a chance he can figure it out here as a bench guy.</t>
  </si>
  <si>
    <t>Derrick Jones Jr.</t>
  </si>
  <si>
    <t>With the recent Clippers moves with adding Rui, it feels like DJJ could be one of the odd men out. He's still got some juice, so we'll see what happens.</t>
  </si>
  <si>
    <t>Jose Alvarado</t>
  </si>
  <si>
    <t xml:space="preserve">Grand Theft Alvrado has been a solid contributor with the Knicks. He signed a team-friendly deal to stick around the champions. </t>
  </si>
  <si>
    <t>Dennis Schroder</t>
  </si>
  <si>
    <t>Schroder has bounced around for a while. He's still got legs in the NBA depending on what Cleveland does with him.</t>
  </si>
  <si>
    <t>Ron Harper Jr.</t>
  </si>
  <si>
    <t>Ron Harper Jr. has had some nice flashes for Boston. I'm not sure if he's much of a long-term NBA player but I'm keeping an eye on him.</t>
  </si>
  <si>
    <t>Tidjane Salaun</t>
  </si>
  <si>
    <t>This next year might be a make-or-break one for Salaun as Charlotte gears up with more frontcourt pieces in this upcoming draft.</t>
  </si>
  <si>
    <t>Tim Hardaway Jr.</t>
  </si>
  <si>
    <t>DEN -&gt; MIA</t>
  </si>
  <si>
    <t>THJ was a 6th Man of the Year Finalist and played a key role for Denver. Expecting him to re-sign here.</t>
  </si>
  <si>
    <t>Bogdan Bogdanovic</t>
  </si>
  <si>
    <t>LAC -&gt; HOU</t>
  </si>
  <si>
    <t>It wasn't long ago that Bogdan was still a good player. Could he return to form here in Houston?</t>
  </si>
  <si>
    <t>Drake Powell</t>
  </si>
  <si>
    <t xml:space="preserve">Powell still has a lot of potential as a 3&amp;D wing with Brooklyn, but he hasn't showed much to date. </t>
  </si>
  <si>
    <t>Brandon Williams</t>
  </si>
  <si>
    <t>I still believe there could be something there for Brandon Williams despite finishing below the top 250 in 9Cat on the year.</t>
  </si>
  <si>
    <t>Kentavious Caldwell-Pope</t>
  </si>
  <si>
    <t>KCP is likely to be bought out or make some agreement with MEM to find a new team. Could he return to being a decent role player?</t>
  </si>
  <si>
    <t>Luke Kornet</t>
  </si>
  <si>
    <t>Kornet has shown some stuff for fantasy, but the fact that San Antonio drafted two centers in the first round speaks volumes about his future here.</t>
  </si>
  <si>
    <t>Jaylen Clark</t>
  </si>
  <si>
    <t>Despite playing on lesser minutes, Clark is a legitimately great defender. Could he secure a bigger role this next year?</t>
  </si>
  <si>
    <t>Yves Missi</t>
  </si>
  <si>
    <t>Missi is unfortunately buried in New Orleans given their current big situation with Derik Queen. He'll need a trade to be relevant again.</t>
  </si>
  <si>
    <t>Adem Bona</t>
  </si>
  <si>
    <t>Bona played a similar low-minute role again for the 76ers. Still a nice long-term bench piece to look at, but Andre Drummond is still good for the backup role.</t>
  </si>
  <si>
    <t>Gradey Dick</t>
  </si>
  <si>
    <t>Gradey Dick struggled for Toronto and now gets a clean slate with the Clippers. This is has chance to find a role and salvage his career.</t>
  </si>
  <si>
    <t>Isaiah Jackson</t>
  </si>
  <si>
    <t>I don't buy IJax much as an NBA player still. Still, with YKN out indefinitely, he could snag a short-term role.</t>
  </si>
  <si>
    <t>Kevin Huerter</t>
  </si>
  <si>
    <t>I don't really know why Trajan Langdon gave Kevin Huerter that contract. Hopefully he has a little juice left.</t>
  </si>
  <si>
    <t>Harrison Barnes</t>
  </si>
  <si>
    <t>Barnes still has some juice even in San Antonio. We know what he is as a boring forward who can pop on occasion.</t>
  </si>
  <si>
    <t>Tarik Biberovic</t>
  </si>
  <si>
    <t>Tarik has been long rumored to want to make the NBA jump, and here he comes on a two-year deal in Dallas. 3PT shooting is the name of the game.</t>
  </si>
  <si>
    <t>2.10 / Braden Smith</t>
  </si>
  <si>
    <t>In theory, Braden Smith is a perfect fit for Indiana and could find something here. The issue is that Indiana's guard depth is completely full.</t>
  </si>
  <si>
    <t>Al Horford</t>
  </si>
  <si>
    <t xml:space="preserve">At 40 years old, Al Horford is somehow still kicking. With Quinten Post gone, there will be hope for him to keep playing at a good level. </t>
  </si>
  <si>
    <t>Grant Williams</t>
  </si>
  <si>
    <t>Grant Williams tore his ACL this past year and is expected to make a full recovery. He's not a priority piece, but he might play more than we think this year.</t>
  </si>
  <si>
    <t>Jordan Goodwin</t>
  </si>
  <si>
    <t>Goodwin has had some nice moments over the year and continues to look interesting for a deep bench guy.</t>
  </si>
  <si>
    <t>Bruce Brown</t>
  </si>
  <si>
    <t>DEN -&gt; FA</t>
  </si>
  <si>
    <t>Brown has not been as good as I'd hoped returning to Denver, but he's at least playing a role again and might earn more burn as the year goes on.</t>
  </si>
  <si>
    <t>Moritz Wagner</t>
  </si>
  <si>
    <t>ORL -&gt; BKN</t>
  </si>
  <si>
    <t>Mo Wagner returns from his ACL injury to play a backup role in Brooklyn. He'll definitely get some run in the short term.</t>
  </si>
  <si>
    <t>Luka Garza</t>
  </si>
  <si>
    <t>As always with Luka Garza, he's got some juice on offense, but he continues to have issues on defense that make him a liability.</t>
  </si>
  <si>
    <t>Karlo Matkovic</t>
  </si>
  <si>
    <t>Karlo has some interesting appeal as a floor spacer that can block shots. There's just a lot of big men in New Orleans and his opportunities are not all there.</t>
  </si>
  <si>
    <t>Justin Edwards</t>
  </si>
  <si>
    <t>Edwards could see a bump during the season with the 76ers' lackluster depth. He's occasionally shown flashes but I don't see a consistent role player here.</t>
  </si>
  <si>
    <t>Dorian Finney-Smith</t>
  </si>
  <si>
    <t>HOU -&gt; CHA</t>
  </si>
  <si>
    <t>DFS lives! He was in a rough situation with injuries and a contract that aged like milk immediately. Could he bounce back this year in Charlotte?</t>
  </si>
  <si>
    <t>Carlton Carrington</t>
  </si>
  <si>
    <t>Bub is still playing poorly to close out the season and is teetering on top 300 per-game value. It might be curtains for him soon.</t>
  </si>
  <si>
    <t>Khris Middleton</t>
  </si>
  <si>
    <t>DAL -&gt; WAS</t>
  </si>
  <si>
    <t>Middleton is reaching the end of his career and was dumped to Dallas in the AD trade. He re-signed in Washington to keep mentoring their youngsters.</t>
  </si>
  <si>
    <t>Russell Westbrook</t>
  </si>
  <si>
    <t>Russ went from almost being done as an NBA player to being the starter in Sacramento. It is Sacramento, but he does look revitalized on a bad team like this.</t>
  </si>
  <si>
    <t>Craig Porter Jr.</t>
  </si>
  <si>
    <t>CPJ is actually one of the more interesting role players out there that could be a hit if Cleveland's bench wasn't so deep. Worth a watch to see what happens.</t>
  </si>
  <si>
    <t>Ben Saraf</t>
  </si>
  <si>
    <t>I'm not overwhelmingly confident that Ben Saraf will evolve into a good shooter, or a clearcut NHA player long term, but there is some appeal as a big guard.</t>
  </si>
  <si>
    <t>Caleb Love</t>
  </si>
  <si>
    <t>POR -&gt; PHI</t>
  </si>
  <si>
    <t>Caleb Love burst onto the scene early for Portland with some great scoring stretches. Doesn't do much other than chuck up shots. Can he do more in Philly?</t>
  </si>
  <si>
    <t>Johnny Furphy</t>
  </si>
  <si>
    <t>Furphy tore his ACL in late February. There is still some upside here but missing much-needed development time is going to hurt.</t>
  </si>
  <si>
    <t>Julian Strawther</t>
  </si>
  <si>
    <t>Strawther's fantasy game is pretty weak, but he can shoot and could see marginal opportunities if Peyton Watson goes elsewhere.</t>
  </si>
  <si>
    <t>Precious Achiuwa</t>
  </si>
  <si>
    <t>Achiuwa was struggling to make it in the NBA, but seemed to find a role with Sacramento and will stick around on a multi-year deal.</t>
  </si>
  <si>
    <t>Tyrese Proctor</t>
  </si>
  <si>
    <t xml:space="preserve">Proctor is waiting behind Craig Porter Jr. for NBA minutes. Likely won't happen for him this year unless there's injuries. </t>
  </si>
  <si>
    <t>Caris LeVert</t>
  </si>
  <si>
    <t>DET -&gt; MIL</t>
  </si>
  <si>
    <t>Caris LeVert has been awful for a while and I'm guessing his NBA career is nearing its end after his current contract.</t>
  </si>
  <si>
    <t>Simone Fontecchio</t>
  </si>
  <si>
    <t>With the Heat's lack of depth, Fontecchio has a little something to tap into off the bench.</t>
  </si>
  <si>
    <t>Spencer Jones</t>
  </si>
  <si>
    <t>Spencer Jones is an innings eater (complimentary) and his fantasy output has been inconsistent, but he's playing a nice amount of minutes. Continuing to monitor him.</t>
  </si>
  <si>
    <t>Bones Hyland</t>
  </si>
  <si>
    <t>Bones Hyland revived his career with Minnesota after nearly falling out of the NBA. The team feels a bit too deep at guard for him to make much sense.</t>
  </si>
  <si>
    <t>Landry Shamet</t>
  </si>
  <si>
    <t>Shamet signed a deal to return to the Knicks. He stepped up this year to play a decent role.</t>
  </si>
  <si>
    <t>Patrick Williams</t>
  </si>
  <si>
    <t>There's a very compelling case that Patrick Williams is one of the worst players in the NBA right now.</t>
  </si>
  <si>
    <t>Marcus Sasser</t>
  </si>
  <si>
    <t>DET -&gt; DAL</t>
  </si>
  <si>
    <t>I was kind of out on Sasser before the Dallas trade. Now? I might be a liiiittle moved and will be watching this.</t>
  </si>
  <si>
    <t>Isaac Okoro</t>
  </si>
  <si>
    <t>Okoro is what he is at this stage in his career. Chicago will use him some but don't expect anything for fantasy.</t>
  </si>
  <si>
    <t>Sion James</t>
  </si>
  <si>
    <t>Charlotte has found a potential multi-year role player in Sion James. He's mostly an empty calories/innings eater type.</t>
  </si>
  <si>
    <t>Andre Drummond</t>
  </si>
  <si>
    <t>PHI -&gt; FA</t>
  </si>
  <si>
    <t xml:space="preserve">I don't know how he does it, but Andre Drummond continues to survive and deliver some quality play in philly. </t>
  </si>
  <si>
    <t>Gary Payton II</t>
  </si>
  <si>
    <t>GSW -&gt; FA</t>
  </si>
  <si>
    <t>We know what it is with GP2 at this point. Solid IRL rotation guy but he can't do much of anything for fantasy aside from the steals.</t>
  </si>
  <si>
    <t>Jamal Cain</t>
  </si>
  <si>
    <t>Jamal Cain was genuinely very good for Orlando in the playoffs and has bought himself a few more years in the NBA as an energy guy.</t>
  </si>
  <si>
    <t>Jonas Valančiūnas</t>
  </si>
  <si>
    <t>There is a strong possibility that JV is leaving the NBA this or next year. If he stays, he remains a deep league hold for contenders as Jokic's backup.</t>
  </si>
  <si>
    <t>Jordan Hawkins</t>
  </si>
  <si>
    <t>Hawkins is mostly just a 3PT specialist and nothing more. He's mainly just a rotation piece at this point.</t>
  </si>
  <si>
    <t>Kevon Looney</t>
  </si>
  <si>
    <t>NOP -&gt; LAL</t>
  </si>
  <si>
    <t>Kevon Looney is seemingly pretty washed after last year in New Orleans. Not loving him as the primary backup at center if the Knicks lose MitchRob.</t>
  </si>
  <si>
    <t>Jamaree Bouyea</t>
  </si>
  <si>
    <t>Bouyea is locked into the Suns for this next season. Phoenix has a lot of depth, but is there a possible Bouyea breakout here?</t>
  </si>
  <si>
    <t>Myron Gardner</t>
  </si>
  <si>
    <t>The Heat always manage to find one of these guys who breaks the undrafted mold. Is Myron Gardner one? He's had some OK moments.</t>
  </si>
  <si>
    <t>Mouhamed Gueye</t>
  </si>
  <si>
    <t>Gueye has been a nerd favorite in years' past, but I don't see much for him moving forward unless he takes a jump or is traded.</t>
  </si>
  <si>
    <t>Josh Green</t>
  </si>
  <si>
    <t>There is a chance Josh Green could play a meaningful role in Minnesota if there's injuries to their other wings, but he's essentially just a cardio guy with little to offer.</t>
  </si>
  <si>
    <t>Jeremy Sochan</t>
  </si>
  <si>
    <t>NYK -&gt; FA</t>
  </si>
  <si>
    <t>Sochan was waived by San Antonio and picked up by New York. He'll have to hope someone takes a cheap flier on him this summer, but it's not looking good.</t>
  </si>
  <si>
    <t>Tyler Kolek</t>
  </si>
  <si>
    <t>In the Pantheon of quirked up white boys, Kolek is decently up there in the NBA section. To date though, he's yet to earn a consistent role with the Knicks.</t>
  </si>
  <si>
    <t>Jarred Vanderbilt</t>
  </si>
  <si>
    <t>SF/PF/C</t>
  </si>
  <si>
    <t>Vanderbilt is a way better IRL player than fantasy, and even then, he's not doing much on either front.</t>
  </si>
  <si>
    <t>Daeqwon Plowden</t>
  </si>
  <si>
    <t xml:space="preserve">Plowden showed some real stuff for Sacramento, and I don't think it was just Silly Season stuff. </t>
  </si>
  <si>
    <t>Matisse Thybulle</t>
  </si>
  <si>
    <t>POR -&gt; FA</t>
  </si>
  <si>
    <t>We know who Matisse Thybulle as a defender. Remains to be seen if a contender picks him up.</t>
  </si>
  <si>
    <t>Jaxson Hayes</t>
  </si>
  <si>
    <t>LAL -&gt; UTA</t>
  </si>
  <si>
    <t>Hayes and Walker Kessler basically swap spots. Hayes will be a backup big to Jusuf Nurkic. I'm hoping there's another trade coming here.</t>
  </si>
  <si>
    <t>Johni Broome</t>
  </si>
  <si>
    <t xml:space="preserve">Broome was a brutal pick for Philly. Didn't like it at the time, makes it even worse as the 4th big behind Embiid, Bona and Hukporti. </t>
  </si>
  <si>
    <t>Gary Trent Jr.</t>
  </si>
  <si>
    <t>MIL -&gt; FA</t>
  </si>
  <si>
    <t>The hope is that Gary Trent Jr. ends up on a decent team that gives him a one-year flier. He might be about done in the NBA.</t>
  </si>
  <si>
    <t>Taurean Prince</t>
  </si>
  <si>
    <t>MIL -&gt; DET</t>
  </si>
  <si>
    <t>Prince got traded to Detroit to clear up roster space in Milwaukee. Real chance he plays an actual, albeit small, role.</t>
  </si>
  <si>
    <t>Trendon Watford</t>
  </si>
  <si>
    <t>Watford has been a bench piece with occasional flashes this year. Nothing crazy but can pop off and has some good passing to his game.</t>
  </si>
  <si>
    <t>Rayan Rupert</t>
  </si>
  <si>
    <t>MEM -&gt; PHI</t>
  </si>
  <si>
    <t>Rupert showed some legit flashes at a lot of points in his career. Him and Caleb Love had good synergy in Portland. Could he be something here in Philly?</t>
  </si>
  <si>
    <t>Tristan Vukcevic</t>
  </si>
  <si>
    <t>As usual, Vukcevic continues to tease good fantasy play here and there. He may not ever be a full-time NBA player.</t>
  </si>
  <si>
    <t>Terance Mann</t>
  </si>
  <si>
    <t>Mann is one of the quintessential master of none who can do a couple things OK. Not much to say about him.</t>
  </si>
  <si>
    <t>Kam Jones</t>
  </si>
  <si>
    <t>IND -&gt; CHI - MIL</t>
  </si>
  <si>
    <t>I think it's telling that Indiana was ready to move on from Kam Jones so fast. Milwaukee could be an interesting spot for him.</t>
  </si>
  <si>
    <t>Alijah Martin</t>
  </si>
  <si>
    <t>Martin is smaller and lacks a clear high-end NBA skill to make up for size, but his energy and pure athleticism is solid. He got himself a guaranteed deal this summer.</t>
  </si>
  <si>
    <t>Charles Bassey</t>
  </si>
  <si>
    <t>He's baaaack. Bassey heads to Golden State where he could potentially snatch a role as a third big.</t>
  </si>
  <si>
    <t>Nae'Qwan Tomlin</t>
  </si>
  <si>
    <t>Tomlin really impressed me at Summer League and is starting to break into CLE's rotation a bit. Keep an eye on him.</t>
  </si>
  <si>
    <t>Micah Peavy</t>
  </si>
  <si>
    <t>Peavy has some good role player stuff despite being a poor shooter/offensive player to date. Could be something to watch in deep leagues.</t>
  </si>
  <si>
    <t>Dru Smith</t>
  </si>
  <si>
    <t>Not much to say here about Dru Smith. Can't shoot, can defend. Don't know how he fits into the equation in Miami.</t>
  </si>
  <si>
    <t>Klay Thompson</t>
  </si>
  <si>
    <t>Klay's time in the NBA is nearing its end after a career-worst year. He's just 74 away from overtaking Ray Allen with the 3rd most 3's all-time.</t>
  </si>
  <si>
    <t>Josh Okogie</t>
  </si>
  <si>
    <t>HOU -&gt; UTA</t>
  </si>
  <si>
    <t>An interesting move for Utah as Okogie heads out to SLC with a 2-year deal in hand. Good defender. Could we see him get any run?</t>
  </si>
  <si>
    <t>Ochai Agbaji</t>
  </si>
  <si>
    <t>BKN -&gt; FA</t>
  </si>
  <si>
    <t>Ochai isn't anything special on the court, but we might see him get a one-year minimum and contribute something. Might just be an end-of-bench or G Leaguer.</t>
  </si>
  <si>
    <t>Buddy Hield</t>
  </si>
  <si>
    <t>Buddy is mega washed at this point. He shot poorly last season and looks like he has no chance to be anything but salary trade filler in ATL.</t>
  </si>
  <si>
    <t>Aaron Holiday</t>
  </si>
  <si>
    <t>The guard room in Houston got pretty deep, but Aaron Holiday has managed to hang around for a bit.</t>
  </si>
  <si>
    <t>Jericho Sims</t>
  </si>
  <si>
    <t>Jericho Sims is buried in Milwaukee and their weird depth chart. Don't see him ever being relevant again.</t>
  </si>
  <si>
    <t>Mike Conley</t>
  </si>
  <si>
    <t>MIN -&gt; BOS</t>
  </si>
  <si>
    <t>Old Man Conley's still kicking, long after the NBA has moved on from his archetype. He ends up in Boston for (probably) one last ride.</t>
  </si>
  <si>
    <t>Rocco Zikarsky</t>
  </si>
  <si>
    <t>Rocco needs a ton of time to keep developing, but early G League returns have been pretty good so far. I just don't know if he's ever a full-time NBA player.</t>
  </si>
  <si>
    <t>D'Angelo Russell</t>
  </si>
  <si>
    <t>WAS -&gt; MEM</t>
  </si>
  <si>
    <t>DLo is on what might be his last chance to keep the career and name recognition standing. He's been dumped to two different teams so far in 2026.</t>
  </si>
  <si>
    <t>Cam Thomas</t>
  </si>
  <si>
    <t>FA</t>
  </si>
  <si>
    <t xml:space="preserve">Thomas found his way out of the NBA pretty quickly after being waived by Brooklyn. Get ready to learn Chinese, buddy. </t>
  </si>
  <si>
    <t>Ariel Hukporti</t>
  </si>
  <si>
    <t>NYK -&gt; PHI</t>
  </si>
  <si>
    <t>Hukporti heads to Philly to be the third big behind Joel Embiid and Adem Bona. He'll get some burn if Embiid gets hurt.</t>
  </si>
  <si>
    <t>Ziaire Williams</t>
  </si>
  <si>
    <t>Ziaire's time in Brooklyn is coming to an end. The hope is someone desperate like the Lakers give him a shot and he finds a role, but I'm not sure it happens.</t>
  </si>
  <si>
    <t>Zach Collins</t>
  </si>
  <si>
    <t>Zach Collins got himself another payday in Chicago, to my surprise. He'll be the third big behind Nic Claxton and Jalen Smith.</t>
  </si>
  <si>
    <t>Pat Spencer</t>
  </si>
  <si>
    <t>GSW -&gt; PHO</t>
  </si>
  <si>
    <t>I love Spencer's landing spot in Phoenix, but can he get some run here with how deep their guard room is?</t>
  </si>
  <si>
    <t>Kyle Anderson</t>
  </si>
  <si>
    <t>MIN -&gt; TOR</t>
  </si>
  <si>
    <t>SloMo heads to Toronto as an end-of-bench piece. Not a ton left in the tank these days.</t>
  </si>
  <si>
    <t>Brooks Barnhizer</t>
  </si>
  <si>
    <t>I think Brooks Barnhizer has shown some good fantasy appeal. I don't think he's got a big chance of being a full-time NBA player but there is something here.</t>
  </si>
  <si>
    <t>Jordan Clarkson</t>
  </si>
  <si>
    <t>Clarkson played a role for New York this year and got rewarded with a multi-year contract.</t>
  </si>
  <si>
    <t>Julian Reese</t>
  </si>
  <si>
    <t>Julian Reese has been a Silly Season hero with how he's played for Washington. Could he end up as a longer term deep bench guy?</t>
  </si>
  <si>
    <t>Jaden Ivey</t>
  </si>
  <si>
    <t>After the whole Jaden Ivey debacle, the important thing is that he's healthy physically and mentally. A journey back into the NBA is possible.</t>
  </si>
  <si>
    <t>Bronny James</t>
  </si>
  <si>
    <t>Bronny's shown some occasional NBA stuff, but I don't see much for him. Guessing he's traded wherever LeBron goes.</t>
  </si>
  <si>
    <t>Kenrich Williams</t>
  </si>
  <si>
    <t>Kenny Hustle returns to OKC with the good vibes. End-of-bench guy at this point, but he's still got some juice.</t>
  </si>
  <si>
    <t>Corey Kispert</t>
  </si>
  <si>
    <t>Corey Kispert is running out of time as an NBA player and I don't see much of a relevant role for him in Atlanta moving forward.</t>
  </si>
  <si>
    <t>Ben Sheppard</t>
  </si>
  <si>
    <t>Ben Sheppard has showed some stuff here and there for Indiana. Unfortunately, I don't think he's much more than an end-of-bench guy.</t>
  </si>
  <si>
    <t>Javonte Green</t>
  </si>
  <si>
    <t>Green has played a small role for Detroit almost all year and looked OK doing so. Almost no upside here.</t>
  </si>
  <si>
    <t>Dalton Knecht</t>
  </si>
  <si>
    <t>Knecht is arguably one of the worst players in the NBA and his career might be close to over at 25 (his second season).</t>
  </si>
  <si>
    <t>Nick Richards</t>
  </si>
  <si>
    <t>CHI -&gt; FA</t>
  </si>
  <si>
    <t>Nick Richards has flashed at different spots over the year. I think he's worth a spin on a one-year minimum.</t>
  </si>
  <si>
    <t>Chaz Lanier</t>
  </si>
  <si>
    <t xml:space="preserve">Lanier is a pretty meh fantasy player for me. Mostly will just be shooting 3s and not much else. He'll be a better IRL player than a fantasy player. </t>
  </si>
  <si>
    <t>Vince Williams Jr.</t>
  </si>
  <si>
    <t>Vince has had a tough run recently with the trade to Utah, tearing his ACL and getting waived. I'm still hopeful for him breaking back in when healthy.</t>
  </si>
  <si>
    <t>Jonathan Isaac</t>
  </si>
  <si>
    <t>Jonathan Isaac was waived and subsequently picked back up in Orlando on a cheap deal. Don't think there's much here.</t>
  </si>
  <si>
    <t>Quenton Jackson</t>
  </si>
  <si>
    <t>Jackson has flashed plenty for Indiana over the years. Unfortunately, they're so deep at guard that Jackson is unlikely to ever get his fair shot here.</t>
  </si>
  <si>
    <t>Elijah Harkless</t>
  </si>
  <si>
    <t>UTA -&gt; DET</t>
  </si>
  <si>
    <t>I was shocked to find out that Elijah Harkless left Utah and signed a two-way deal with Detroit. He's a sleeper to watch.</t>
  </si>
  <si>
    <t>Alex Toohey</t>
  </si>
  <si>
    <t>Toohey had a bad start to his NBA career following an ACL tear, but I still have hope he can be an NBA player.</t>
  </si>
  <si>
    <t>Jahmai Mashack</t>
  </si>
  <si>
    <t>Mashack is stuck and buried deep in Memphis. He definitely seems like he could be a legit NBA player.</t>
  </si>
  <si>
    <t>Koby Brea</t>
  </si>
  <si>
    <t>Koby Brea might be a role player that can't do a ton offensively, but he more than makes up for it as a pure 3PT specialist who's shot 43.4% from 3 in his CBB career.</t>
  </si>
  <si>
    <t>Thomas Bryant</t>
  </si>
  <si>
    <t xml:space="preserve">We know what it is with Thomas Bryant. Dude is not very good, but as a third big, sure, I guess. </t>
  </si>
  <si>
    <t>Larry Nance Jr.</t>
  </si>
  <si>
    <t>CLE -&gt; IND</t>
  </si>
  <si>
    <t>Nance heads to Indiana as just a likely locker room guy. Always wondering if he's got any of his vintage game left.</t>
  </si>
  <si>
    <t>Pacome Dadiet</t>
  </si>
  <si>
    <t>Pacome Dadiet has yet to show anything yet for the Knicks. The hope is he can be traded and show some signs of life.</t>
  </si>
  <si>
    <t>Trayce Jackson-Davis</t>
  </si>
  <si>
    <t>TJD has fallen off the map this past year and barely played for either of Toronto or Golden State. Does he still have a shot to be an NBA player?</t>
  </si>
  <si>
    <t>Jonathan Mogbo</t>
  </si>
  <si>
    <t>TOR -&gt; SAC</t>
  </si>
  <si>
    <t xml:space="preserve">I had hopes for Jonathan Mogbo finding a role in the NBA despite being a funky fitting player. Following his waiving from Toronto, I don't see him being a full-time NBA player again. </t>
  </si>
  <si>
    <t>Cam Whitmore</t>
  </si>
  <si>
    <t>SF</t>
  </si>
  <si>
    <t xml:space="preserve">Whitmore fell out of favor in Washington this past year and was diagnosed with DVT. He'll have one last year to prove himself as an NBA player. </t>
  </si>
  <si>
    <t>Jaden Hardy</t>
  </si>
  <si>
    <t>WAS -&gt; LAL</t>
  </si>
  <si>
    <t xml:space="preserve">Jaden Hardy got sent to LA in the DeAndre Ayton. Before anyone asks: No, I don't think this is a diamond in the rough for the Lakers. </t>
  </si>
  <si>
    <t>AJ Johnson</t>
  </si>
  <si>
    <t>DAL -&gt; MEM</t>
  </si>
  <si>
    <t>I hate giving up on players we've just barely seen play, but AJ Johnson is unlikely to ever be a full-time NBA player. He still has so much rawness to his game.</t>
  </si>
  <si>
    <t>Kris Murray</t>
  </si>
  <si>
    <t>Murray was just in the Ja Morant trade to make the money work. I don't expect him to play much here (if at all).</t>
  </si>
  <si>
    <t>Jett Howard</t>
  </si>
  <si>
    <t>ORL -&gt; FA</t>
  </si>
  <si>
    <t>If you want to hold out any hope for another second team opportunity guy, maybe Jett Howard can be one. He's struggled to do anything for Orlando.</t>
  </si>
  <si>
    <t>Caleb Martin</t>
  </si>
  <si>
    <t>Caleb Martin has barely played and been bad when he has for Dallas. Another masterful gambit, Nico Harrison.</t>
  </si>
  <si>
    <t>Svi Mykhailuk</t>
  </si>
  <si>
    <t>Svi has flashed pretty often for Utah in his time there, but with Utah gearing up in a big way, I don't see him playing much for them again.</t>
  </si>
  <si>
    <t>Juan Nunez</t>
  </si>
  <si>
    <t>It remains to be seen if and when Nunez ever comes over. He has had some concerning knee injuries that I'm keeping an eye on.</t>
  </si>
  <si>
    <t>Tre Mann</t>
  </si>
  <si>
    <t>Unfortunately, aura can't save your career. Tre Mann's full-time NBA career is pretty much done.</t>
  </si>
  <si>
    <t>Taelon Peter</t>
  </si>
  <si>
    <t>Taelon Peter hasn't shown much yet for the Pacers after snagging him in the late 2nd round in 2025. His shooting could get him some looks still.</t>
  </si>
  <si>
    <t>Clint Capela</t>
  </si>
  <si>
    <t>Clint Capela is mostly just an end-of-bench player at this point (which is wild to say). Not likely to be much in the NBA again.</t>
  </si>
  <si>
    <t>Lonzo Ball</t>
  </si>
  <si>
    <t>Lonzo Ball might be done as an NBA player, unfortunately. He has a case for one of the worst players in the NBA playing real minutes last year.</t>
  </si>
  <si>
    <t>Olivier Maxence-Prosper</t>
  </si>
  <si>
    <t>OMax flashed some stuff this past season during Silly Season. Not sure he's ever going to be a full-time NBA guy.</t>
  </si>
  <si>
    <t>Jalen Wilson</t>
  </si>
  <si>
    <t xml:space="preserve">Jalen Wilson will be looking for a new team this summer after Brooklyn declined his QO. </t>
  </si>
  <si>
    <t>1.02 / AJ Dybantsa</t>
  </si>
  <si>
    <t>1.03 / Darryn Peterson</t>
  </si>
  <si>
    <t>1.05 / Darius Acuff Jr.</t>
  </si>
  <si>
    <t>1.06 / Keaton Wagler</t>
  </si>
  <si>
    <t>1.07 / Mikel Brown Jr.</t>
  </si>
  <si>
    <t>1.09 / Brayden Burries</t>
  </si>
  <si>
    <t>1.10 / Yaxel Lendeborg</t>
  </si>
  <si>
    <t>1.11 / Aday Mara</t>
  </si>
  <si>
    <t>1.12 / Morez Johnson Jr.</t>
  </si>
  <si>
    <t>1.14 / Hannes Steinbach</t>
  </si>
  <si>
    <t>Norman Powell has been on a heater this past year for Miami in their tinkered offense. He signs with Chicago where he'll continue to have a good green light.</t>
  </si>
  <si>
    <t>Jabari's career to date has been really disappointing. He's been a good role player with a lot of inconsistency.</t>
  </si>
  <si>
    <t>1.15 / Bennett Stirtz</t>
  </si>
  <si>
    <t>1.16 / Dailyn Swain</t>
  </si>
  <si>
    <t>1.17 / Cameron Carr</t>
  </si>
  <si>
    <t>1.18 / Christian Anderson</t>
  </si>
  <si>
    <t>1.19 / Labaron Philon</t>
  </si>
  <si>
    <t>1.20 / Nate Ament</t>
  </si>
  <si>
    <t>Deandre Ayton</t>
  </si>
  <si>
    <t>CJ's still got it. He's in for probably one more year with Atlanta with a high-scoring role.</t>
  </si>
  <si>
    <t>1.21 / Karim Lopez</t>
  </si>
  <si>
    <t>1.22 / Tarris Reed Jr.</t>
  </si>
  <si>
    <t>1.23 / Allen Graves</t>
  </si>
  <si>
    <t>1.24 / Bruce Thornton</t>
  </si>
  <si>
    <t>Portis has dropped off the map a little this year and it remains to be seen if he'll tick back up into a more normal role for him.</t>
  </si>
  <si>
    <t>1.25 / Sergio De Larrea</t>
  </si>
  <si>
    <t>1.26 / Zuby Ejiofor</t>
  </si>
  <si>
    <t>1.27 / Koa Peat</t>
  </si>
  <si>
    <t>1.28 / Meleek Thomas</t>
  </si>
  <si>
    <t>1.29 / Chris Cenac Jr.</t>
  </si>
  <si>
    <t>2.01 / Jayden Quaintance</t>
  </si>
  <si>
    <t>2.02 / Isaiah Evans</t>
  </si>
  <si>
    <t>2.03 / Richie Saunders</t>
  </si>
  <si>
    <t>2.04 / Alex Karaban</t>
  </si>
  <si>
    <t>2.05 / Ryan Conwell</t>
  </si>
  <si>
    <t>2.06 / Henri Veesaar</t>
  </si>
  <si>
    <t>2.07 / Baba Miller</t>
  </si>
  <si>
    <t>Jordan Miller had a nice season with the Clippers. There's sure to be questions in their rotation and how he fits in. I'm not a strong believer.</t>
  </si>
  <si>
    <t>Caleb Love burst onto the scene early for Portland with some great scoring stretches. Doesn't do much other than chuck up shots.</t>
  </si>
  <si>
    <t>Achiuwa is struggling to make it in the NBA. He's currently with Sacramento but already bounced around multiple teams this season.</t>
  </si>
  <si>
    <t xml:space="preserve">I had hopes for Jonathan Mogbo finding a role in the NBA despite being a funky fitting player. I don't see him being a full-time NBA player again. </t>
  </si>
  <si>
    <t xml:space="preserve"> +/-</t>
  </si>
  <si>
    <t>Tier</t>
  </si>
  <si>
    <t>Projected Position(s)</t>
  </si>
  <si>
    <t>Position Rank</t>
  </si>
  <si>
    <t>NBA Team</t>
  </si>
  <si>
    <t>Draft Pick</t>
  </si>
  <si>
    <t>Contract Details</t>
  </si>
  <si>
    <t>Class</t>
  </si>
  <si>
    <t>Previous Rank</t>
  </si>
  <si>
    <t>Notes/Outlook, Updated 7/10/2026</t>
  </si>
  <si>
    <t>GP</t>
  </si>
  <si>
    <t>MP</t>
  </si>
  <si>
    <t>FG%</t>
  </si>
  <si>
    <t>PTS</t>
  </si>
  <si>
    <t>3PTA</t>
  </si>
  <si>
    <t>3PTM</t>
  </si>
  <si>
    <t>REB</t>
  </si>
  <si>
    <t>AST</t>
  </si>
  <si>
    <t>STL</t>
  </si>
  <si>
    <t>BLK</t>
  </si>
  <si>
    <t>TO</t>
  </si>
  <si>
    <t>FT%</t>
  </si>
  <si>
    <t>-</t>
  </si>
  <si>
    <t>Cameron Boozer</t>
  </si>
  <si>
    <t>PF1</t>
  </si>
  <si>
    <t>Rookie Scale</t>
  </si>
  <si>
    <t>FR</t>
  </si>
  <si>
    <t xml:space="preserve">As expected, Cam Boozer is now in Memphis and has been given the keys to the franchise. Boozer turned in one of the statistical best freshmen seasons in modern NCAA history. To me, this is the clearcut "don't overthink it" pick at 1st overall in every league type, and if you can get him any lower, that's a massive win. He's a fantasy superstar and immediately enters the NBA as a top 15 dynasty asset. </t>
  </si>
  <si>
    <t>Darryn Peterson</t>
  </si>
  <si>
    <t>SG/PG</t>
  </si>
  <si>
    <t>SG1</t>
  </si>
  <si>
    <t>1.02 will be a toss-up between Dybantsa and Peterson in dynasty leagues. Peterson's lingering injuries that hurt his play and lackluster playmaking at Kansas will concern some, but I remain of the opinion that he's an elite guard prospect. The playmaking will improve. I'm not worried about how loaded Utah is and I heavily buy the talent. Will Hardy will turn him into a real weapon.</t>
  </si>
  <si>
    <t>AJ Dybantsa</t>
  </si>
  <si>
    <t>SF1</t>
  </si>
  <si>
    <t xml:space="preserve">Dybantsa may not have as strong of a theoretical fantasy game as Peterson or Boozer, but he is still an elite prospect all the same. He's a big-time shotmaker, slasher and scorer with all of the tools and potential to be an All-NBA player one day like the guys above him. The defense is the big point of improvement. Washington has given him the keys. </t>
  </si>
  <si>
    <t>Caleb Wilson</t>
  </si>
  <si>
    <t>PF2</t>
  </si>
  <si>
    <t xml:space="preserve">Caleb Wilson has the potential to be the best player from this class. For fantasy, the steals and blocks will be a big sell for him. He also could really get you points and rebounds on solid efficiency. There is a case to be made that you could take him over Darryn or AJ, but there's a significantly lower floor than all three of these players if they hit their low end outcomes. Caleb is a psychotic competitor who we fullyexpect to exceed his lower end outcomes. </t>
  </si>
  <si>
    <t>Keaton Wagler</t>
  </si>
  <si>
    <t>SG2</t>
  </si>
  <si>
    <t>There are some concerns about Wagler that many believe should bump him down from a top spot, but make no mistake: This is the closest thing to an Austin Reaves or Tyrese Haliburton type of prospect we've seen. High-end shooting, playmaking and great positional size. When he bulks up more, he could be special. I love the landing spot in LAC even though I know people may be skeptical of him as a prospect.</t>
  </si>
  <si>
    <t>Mikel Brown Jr.</t>
  </si>
  <si>
    <t>PG2</t>
  </si>
  <si>
    <t>Mikel Brown has had a disappointing year on the whole, but I remain high on him and his range of outcomes with that combination of size, shotmaking and bounciness as a lead guard at about 6'5 in shoes. His fantasy profile off this year is sketchy and he is a polarizing prospect, but I'm willing to believe he'll shoot much better at the NBA level. He's the future for the Nets and is comfortably their best prospect.</t>
  </si>
  <si>
    <t>Darius Acuff Jr.</t>
  </si>
  <si>
    <t>PG3</t>
  </si>
  <si>
    <t>Acuff has been playing like a straight-up star for Arkansas. He has looked the part of a possible offensive engine and fantasy star, but can he be one in the modern NBA? The Kings are wide open, it's certainly possible and the fantasy upside is solid. The defensive concerns are massive but his size (6'2, 6'7 WS) was better than expected. He is the biggest risk-reward of this entire class.</t>
  </si>
  <si>
    <t>Kingston Flemings</t>
  </si>
  <si>
    <t>PG1</t>
  </si>
  <si>
    <t xml:space="preserve">Kingston Flemings should be able to come in and be solid across the board early on in his career. There could be a real potential jump with the shooting. There could be an upside swing with the scoring given that he has an elite first step. He'll likely have some good steals and block numbers. It might take a year with CJ McCollum there but should be solid long term. </t>
  </si>
  <si>
    <t>Morez Johnson Jr.</t>
  </si>
  <si>
    <t>PF4/C2</t>
  </si>
  <si>
    <t>SO</t>
  </si>
  <si>
    <t>Dallas went out and got one of new HC Dusty May's guys. The rate of improvement for Morez over the past few years is impressive. There's a growing offensive game and 3PT shot, a motor that never turns off, standout athleticism, and he's a high level defender. He's going to be a really good fantasy player and the IRL and fantasy upside is higher than you might think.</t>
  </si>
  <si>
    <t>Aday Mara</t>
  </si>
  <si>
    <t>C1</t>
  </si>
  <si>
    <t>JR</t>
  </si>
  <si>
    <t>Aday Mara is going to be a hot topic in your dynasty drafts. The fantasy game is rock-solid and the overall talent is obvious, but being drafted to OKC is going to scare people off. Personally, I'm not all that concerned. You may have to be patient for the rotation to shake out, but when he gets the minutes, he's going to make an impact. I'm staying put here and trusting the talent will shine through.</t>
  </si>
  <si>
    <t>Brayden Burries</t>
  </si>
  <si>
    <t>SG3</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</si>
  <si>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as him being a long-term building block next to Ryan Rollins.</t>
  </si>
  <si>
    <t>Yaxel Lendeborg</t>
  </si>
  <si>
    <t>PF3</t>
  </si>
  <si>
    <t>SR</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</si>
  <si>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and may not come immediately, but there are routes to being a very good starter in this league.</t>
  </si>
  <si>
    <t>Ebuka Okorie</t>
  </si>
  <si>
    <t>PG5</t>
  </si>
  <si>
    <t>Boy, am I high on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</si>
  <si>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Dailyn Swain</t>
  </si>
  <si>
    <t>SF2</t>
  </si>
  <si>
    <t>Bryson Graham was in New Orleans when they unlocked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If he hits, you've got a real prize on your hands.</t>
  </si>
  <si>
    <t>Hannes Steinbach</t>
  </si>
  <si>
    <t>C4/PF5</t>
  </si>
  <si>
    <t>Steinbach is the best rebounder in the class and has flashed some fantasy juice. Some of my size concerns were quelled with his Combine measurements, but I really need to see improvement on defense. I think Charlotte is a good spot for him to maximize his skillset and improve. He and Moussa Diabate should be able to balance each other really well, especially if Hannes can shoot.</t>
  </si>
  <si>
    <t>Bennett Stirtz</t>
  </si>
  <si>
    <t>PG4</t>
  </si>
  <si>
    <t xml:space="preserve">This is one of the most OKC-coded picks you can imagine. Dribble-pass-shoot archetype, can make quick decisions, wins and dominates wherever he's gone, and is a great human being and leader. The fantasy game is very strong. It might take a bit for him given OKC's depth, but I don't think it takes as long as some others may think. Some ideal outcomes for him: Malcolm Brogdon and Ty Jerome. </t>
  </si>
  <si>
    <t>Christian Anderson Jr.</t>
  </si>
  <si>
    <t>This LaMelo Ball trade could make things interesting for Anderson. He is a great shooter and playmaker who offers a lot of solid skills from a fantasy perspective. The concerns here are his size, defense and whether he's capped as a backup guard or not. There could be a good role with him and Coby White in the mix. Don't overreact too hard and overdraft Anderson yet. Stock is up, but let's see what happens.</t>
  </si>
  <si>
    <t>Cameron Carr</t>
  </si>
  <si>
    <t>SG5</t>
  </si>
  <si>
    <t>Cameron Carr ended up falling further in the draft than what many people were expecting. This was partly due to frame and weight, but there's no denying that the fantasy skillset is enticing. There's a real upside swing if he can put on more weight (think something like Isaiah Joe or Devin Vassell-ish). The fit with Luka and the Lakers is exceptional and he may be asked to take up a decent sized role as a rookie.</t>
  </si>
  <si>
    <t>Allen Graves</t>
  </si>
  <si>
    <t>PF8</t>
  </si>
  <si>
    <t>Most of you following our work know our team is incredibly skeptical of Allen Graves. He is an analytical darling and with more development, he could really be something. I have my share of concerns, but if there's one team that could use him effectively, it's Toronto. Darko Rajakovic is going to have a lot of fun with him. The range probably starts in the early 10s and this is likely the lowest end for him.</t>
  </si>
  <si>
    <t>LaBaron Philon</t>
  </si>
  <si>
    <t>PG6</t>
  </si>
  <si>
    <t>Philon took a big leap as a sophomore. Very good guard profile for fantasy and shows a lot of capability if he can play well off-ball. The landing spot in Philadelphia caps the long term upside behind Maxey and Edgecombe, but I’m willing to bet on the talent with bench scoring being a key need. He'll have some bottleneck with Jaylen Brown and Anfernee Simons now here as well.</t>
  </si>
  <si>
    <t>Nate Ament</t>
  </si>
  <si>
    <t>PF6</t>
  </si>
  <si>
    <t>The Milwaukee Bucks get their guy at 13. If you're drafting Nate Ament, I would be very hesitant on expecting much high level production as the fantasy game isn't too strong. While he will likely get some run as one of the key pieces in the Giannis trade, this is a risk if you take him too high. While he is good with points and rebounds, everything else can be a little lackluster. Draft him at your own risk and level of patience.</t>
  </si>
  <si>
    <t>Karim Lopez</t>
  </si>
  <si>
    <t>SF4</t>
  </si>
  <si>
    <t>N/A</t>
  </si>
  <si>
    <t>Karim Lopez doesn't have the most appealing fantasy skillset, but he was a productive player in Australia the past couple seasons. He is pretty theoretical with his current abilities, but if Memphis thinks they can utilize his strengths as a cutter, he could be someone that has a solid statline while not doing anything at a high level. Could be a great buy next offseason if he starts out slow.</t>
  </si>
  <si>
    <t>Sergio De Larrea</t>
  </si>
  <si>
    <t>PG7</t>
  </si>
  <si>
    <t>Sergio de Larrea was one of the best players on one of the best teams in Europe. He enters into a situation in Dallas with a coach who really values positional size and quick decision makers. Sergio could become a core piece quicker than you might think. He can play on and off the ball. He can shoot 3's. The defense and off-ball play will need some work, but the upside is very strong here.</t>
  </si>
  <si>
    <t>Jayden Quaintance</t>
  </si>
  <si>
    <t>C3</t>
  </si>
  <si>
    <t>It's no secret that Quaintance is an elite defender, but his knee issues have made him tumble down boards. It's going to be a bit concerning that San Antonio added two bigs with him and Tarris Reed, but I think there's worlds for both to exist. I'm expecting JQ will miss most of, if not all of this season. He's a risky pick, so if you worry about the injuries or are an impatient manager, STAY AWAY.</t>
  </si>
  <si>
    <t>Tarris Reed Jr.</t>
  </si>
  <si>
    <t>C6</t>
  </si>
  <si>
    <t>Tarris Reed is a different style of big man, and as I said above, there are worlds where he and Quaintance can coexist. Reed is your more traditional, albeit technically skilled, big man and is built like a bowling ball. The stats reflect that. Long term, this is going to be a depth chart to heavily monitor depending on Quaintance's health, but early on, expect Reed to take on a role early as Luke Kornet is phased out.</t>
  </si>
  <si>
    <t>Koa Peat</t>
  </si>
  <si>
    <t>PF9</t>
  </si>
  <si>
    <t xml:space="preserve">Koa Peat fits a lot of what Matt Ishbia's desired culture is. He plays hard, he's physical, and he's willing to buy into a role. Phoenix has a handful of these interesting forwards that are works in progress to some degree. Koa is a better decision maker than all of them, but he could possibly end up as a worse shooter than Dunn. Ultimately, it will come down to the shot for the hometown kid. </t>
  </si>
  <si>
    <t>Bruce Thornton</t>
  </si>
  <si>
    <t>PG9</t>
  </si>
  <si>
    <t>4 Years/$9.3 Million</t>
  </si>
  <si>
    <t>Thornton was a high octane offensive player at Ohio State. He's a strong driver and rebounder. Ultimately, the biggest concerns are that he probably needs to slim down to play in the NBA, and he's reliant on having the ball. If he can learn how to play off the ball, it will work very well. I expect Ime Udoka will like him as a player as well. We love this fit in Houston.</t>
  </si>
  <si>
    <t>Chris Cenac Jr.</t>
  </si>
  <si>
    <t>PF7/C5</t>
  </si>
  <si>
    <t>Chris Cenac Jr. is your prototypical modern-day big in the mold of an Alex Sarr or Evan Mobley type of player. He's very raw and has a lot of growing to do on both sides of the ball, but the flashes suggest he's got a lot to build on at the NBA level that teams will like and fantasy managers should be patient with. Boston is certainly an ideal landing spot, but he's going to need a lot of time to earn Mazzulla's trust.</t>
  </si>
  <si>
    <t>Zuby Ejiofor</t>
  </si>
  <si>
    <t>PF10/C7</t>
  </si>
  <si>
    <t xml:space="preserve">Zuby's got some real juice to his fantasy game that may make him an appealing target in your fantasy drafts. Real junkyard dog, scrappy energy guy type. The fantasy profile is solid, no doubt about it, but frankly, I'm just not a big fan of the fit in Atlanta. I need to see more to really be more convinced on his outlook playing with Onyeka Okongwu. </t>
  </si>
  <si>
    <t>Baba Miller</t>
  </si>
  <si>
    <t>PF13</t>
  </si>
  <si>
    <t>TBD</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</si>
  <si>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that development track on a cost-controlled contract should be fun.</t>
  </si>
  <si>
    <t>Joshua Jefferson</t>
  </si>
  <si>
    <t>It makes perfect sense that Sean Marks and Jordi Fernandez really like Joshua Jefferson. He's a malleable role player who checks their boxes as a solid passer and has shown he can be an offensive hub on a good Iowa State team. The fantasy profile could be very good, even for a young rebuilder like Brooklyn despite the landing spot not being super ideal.</t>
  </si>
  <si>
    <t>Meleek Thomas</t>
  </si>
  <si>
    <t>SG7</t>
  </si>
  <si>
    <t>4 Years/$9.26 Million</t>
  </si>
  <si>
    <t xml:space="preserve">Meleek Thomas's AST/TO would indicate he's a fine decision maker. Frankly, he might be the absolute worst decision maker in this draft. He's a very good shooter with potential to have the ball in his hands and score. The defense was really bad at times this year even though he's got the tools. Do not expect him to play much in Year 1 and maybe not even in Year 2 unless there's rapid improvement in his weaknesses. </t>
  </si>
  <si>
    <t>Richie Saunders</t>
  </si>
  <si>
    <t>SG12</t>
  </si>
  <si>
    <t>Look, Richie Saunders might be on the older side and has a torn ACL that likely forces him out for most if not the whole year, but Memphis spending an early 2nd round pick on him should tell you everything. He was a real first round talent at BYU and has a very complete profile. I'm confident he's going to yield very good ROI in this range.</t>
  </si>
  <si>
    <t>Alex Karaban</t>
  </si>
  <si>
    <t>SF5</t>
  </si>
  <si>
    <t>Karaban is a jack-of-all-trades forward that has some interesting fantasy appeal as a connective piece and shooter. There are no star outcomes here and the upside is not super high, but there are good role player outcomes and it really speaks volumes that Sacramento has to spend first round capital to ensure they got him. Good leader, winning player and is a key part of Sacramento aiming to bolster their culture.</t>
  </si>
  <si>
    <t>Henri Veesaar</t>
  </si>
  <si>
    <t>C8</t>
  </si>
  <si>
    <t>Henri Veesaar's draft capital might make some people worry, but this was pretty clearly agent manipulation to get him to a desired landing spot. He ends up in Atlanta and his rank ends up largely the same. Despite being 7 feet tall, he's very skinny and could get pushed around at the next level. Still, he can shoot and bigs like him are worth the fantasy gamble.</t>
  </si>
  <si>
    <t>Isaiah Evans</t>
  </si>
  <si>
    <t>SG8</t>
  </si>
  <si>
    <t>I'm skeptical of Isaiah Evans' fantasy upside. He may ultimately project as a one-dimensional shooting specialist, but the landing spot is certainly interesting in Minnesota to inject some 3&amp;D juice into the rotation. We know Chris Finch doesn't trust young guys easily, so if Evans can improve as a defender and make the most of his Year 1 opportunities, there could be something here.</t>
  </si>
  <si>
    <t>Ryan Conwell</t>
  </si>
  <si>
    <t>SG9</t>
  </si>
  <si>
    <t>3 Years/$6.5 Million</t>
  </si>
  <si>
    <t>Ryan Conwell heading to Miami is interesting on a lot of levels. Their depth is depleted after the Giannis trade. They have made these tweener, hard working guards work before. There is a bit of Kendrick Nunn to his game. The question is whether or not he can create his on shot in the NBA. As of right now, the projection just looks like a slightly undersized spot shooter.</t>
  </si>
  <si>
    <t>Emanuel Sharp</t>
  </si>
  <si>
    <t>SG11</t>
  </si>
  <si>
    <t xml:space="preserve">Much like the Alex Karaban pick, Emanuel Sharp is another one of Sacramento's types of guys this front office is seeking: Off-ball players who are unselfish with good BBIQ. High motor and character guys who lead and keep their heads up. 3&amp;D skills. With Sharp, they're getting an off-ball 2 that can come off the bench and hit from range. Can he do much else in the NBA? We'll see. </t>
  </si>
  <si>
    <t>Ugonna Onyenso</t>
  </si>
  <si>
    <t>C9</t>
  </si>
  <si>
    <t>Two-Way (2 Year Deal)</t>
  </si>
  <si>
    <t>Ugonna Onyenso is a high-level shot blocker with some good defensive skills to build on. Despite the draft capital, he comes into Detroit following the Isaiah Stewart trade and could end up as the 3rd string big man behind Jalen Duren and Paul Reed. Keep an eye on Onyenso here. There could be a sneaky add here, especially if he does get a guaranteed deal.</t>
  </si>
  <si>
    <t>Braden Smith</t>
  </si>
  <si>
    <t>PG10</t>
  </si>
  <si>
    <t>Two-Way (1 Year Deal)</t>
  </si>
  <si>
    <t>It's not going to be easy for a guard at 5'10.25 barefoot to work in the NBA. Luckily, Braden Smith ends up in possibly the best team situation that could make him work. He's a fiery competitor and one of the top point guards coming out of Purdue last season. It's going to be tough for him, but if it works, the fantasy game is there as a pass-first type of player.</t>
  </si>
  <si>
    <t>Izaiyah Nelson</t>
  </si>
  <si>
    <t>C10/PF11</t>
  </si>
  <si>
    <t xml:space="preserve">I'm a big, big fan of Izaiyah Nelson staying in Florida and thought Orlando made a great choice in taking him in the late 2nd even if he wasn't a primary need. Despite being slightly undersized for a big man, he more than makes up for it on defense with length, physicality and a very high motor. I think this is a player that could really make a splash and surprise people this year. </t>
  </si>
  <si>
    <t>Ja'Kobi Gillespie</t>
  </si>
  <si>
    <t>PG14</t>
  </si>
  <si>
    <t>The biggest riser on my first post-draft ranks is Ja'Kobi Gillespie, who I was admittedly lower on IRL/in dynasty. San Antonio isn't exactly a great place for a deep rotation guard to find a role, but Gillespie is a blistering scorer, shooter and passer who doesn't make many mistakes. I'm interested in seeing if he could ever find a role. He could end up being a G League star.</t>
  </si>
  <si>
    <t>Dillon Mitchell</t>
  </si>
  <si>
    <t>PF16</t>
  </si>
  <si>
    <t>I've come around a lot more on Dillon Mitchell, and it's encouraging to see him end up in an interesting situation with Boston. He's got some appeal in the fantasy game and has a handful of NBA-worthy skills that could make him a lot of money. Big time hustle guy and defender. It really just comes down to the 3-point shot for the ideal outcomes, but I'm willing to take a flier on the full package here.</t>
  </si>
  <si>
    <t>Trevon Brazile</t>
  </si>
  <si>
    <t>PF14/C14</t>
  </si>
  <si>
    <t>After multiple disappointing seasons with Arkansas where he struggled to find consistency, Brazile had the best season of his career and got himself an early 2nd round selection. The fantasy profile is interesting if the shooting can be expanded on at this level. I question how much he's able to get on the court with such low feel but Nikola Jokic and Jamal Murray as your creators does help make life easy.</t>
  </si>
  <si>
    <t>Jaden Bradley</t>
  </si>
  <si>
    <t>PG12</t>
  </si>
  <si>
    <t>The Raptors really like this archetype of glue guards (see: Jamal Shead, Alijah Martin). Toronto is getting good at finding these players that are scrappy defenders and using them effectively. Bradley is not a shooter but he can pass, set the table for teams like he did at Arizona and plays really tough. He’s a great locker room guy at worst and that absolutely matters.</t>
  </si>
  <si>
    <t>Nick Martinelli</t>
  </si>
  <si>
    <t>SF7</t>
  </si>
  <si>
    <t>Nick Martinelli is tough as nails and put Northwestern on his back this year. He's a solid scorer that's been efficient on both 2s and 3s and can do the little things role players need to do. Without much defense and lackluster athleticism, it's not an easy sell at the NBA level, but the Clippers are good at making funky players like him work. There could definitely be something here.</t>
  </si>
  <si>
    <t>Maliq Brown</t>
  </si>
  <si>
    <t>PF20</t>
  </si>
  <si>
    <t>It's hard to really know what to do with pure defensive bets like Maliq Brown. The defense is excellent and he's a wickedly smart, super high-motor player. He's a very valuable asset for San Antonio and could fit into some terrifying defensive rotations. The lack of offense is a big-time concern, but if it can ever come around, this could be a good fantasy player.</t>
  </si>
  <si>
    <t>Otega Oweh</t>
  </si>
  <si>
    <t>SG17</t>
  </si>
  <si>
    <t>Fitting that the Thunder drafted the guy whose ideal outcome is Lu Dort. Oweh's calling card is going to be his defense, and while we're not likely to see him play much if at all this year with OKC, he is a good piece to have in the system to see if he sticks. He was disappointing on the whole this year with Kentucky despite looking sharp in SEC play.</t>
  </si>
  <si>
    <t>Bryce Hopkins</t>
  </si>
  <si>
    <t>SG20</t>
  </si>
  <si>
    <t xml:space="preserve">There's some definite appeal here for Denver and Hopkins. He's got some do-it-all wing stuff in his profile that I tend to like in late-round fliers. He can handle the ball, rebound, defend, has some good size for his position. The biggest swing to making this all work is the shooting with more volume, and as he showed at times that he can shoot a bit. Keep an eye on him. </t>
  </si>
  <si>
    <t>Aaron Nkrumah</t>
  </si>
  <si>
    <t>SG10</t>
  </si>
  <si>
    <t>UDFA</t>
  </si>
  <si>
    <t>Exhibit-10</t>
  </si>
  <si>
    <t>The reporting on Nkrumah as an early second rounder was way off, as he went completely undrafted. I'm far from out, though. At 6'6 with a 6'10 WS, Nkrumah has a lot to like as a do-it-all wing with great defense, a balanced fantasy game and positive shooting indicators. He gets an Exhibit 10 contract with Denver, but personally, I firmly believe he's walking away from Summer League with a two-way contract.</t>
  </si>
  <si>
    <t>Jack Kayil</t>
  </si>
  <si>
    <t>Overseas Stash</t>
  </si>
  <si>
    <t>Jack Kayil was a stash for the New York Knicks as one of their many draft rights they own, but this is definitely the most notable one. Kayil projects to be a real-deal shooter, and considering he's still only 19, he has plenty of time to stay overseas and grow his game if New York ever decides to bring him stateside. This is a deep-league only pickup if you have the roster space to hold him.</t>
  </si>
  <si>
    <t>Lajae Jones</t>
  </si>
  <si>
    <t>SG21</t>
  </si>
  <si>
    <t>TBD (Possible Stash)</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</si>
  <si>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</si>
  <si>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Felix Okpara</t>
  </si>
  <si>
    <t>C13</t>
  </si>
  <si>
    <t>Okpara is a very offensively limited big man and I don't think he's going to shine much for fantasy at the moment. He is purely a bet on the defense and a hot-running motor that can get him on the floor in the NBA. I do think there are routes to minutes in Washington, but there's a lot of names for Okpara to work around in that depth chart to become relevant.</t>
  </si>
  <si>
    <t>Tyler Bilodeau</t>
  </si>
  <si>
    <t>PF18</t>
  </si>
  <si>
    <t xml:space="preserve">Tyler Bilodeau is the newest Brooklyn Net and is a bit different from what they usually target in this rebuild. Bilodeau is a scorer who's got some old and new school mash-up to his game. The athleticism and defense could very likely hold him back, but there is definitely enough here with high-level shooting to find possible rotation roles in the NBA. </t>
  </si>
  <si>
    <t>Tyler Nickel</t>
  </si>
  <si>
    <t>SF6</t>
  </si>
  <si>
    <t>Nickel was one of the most important pieces to Vanderbilt's success. He's your quintessential high-feel shooting specialist. He has a lot of real-life skills to get him on the floor in the NBA. He shoots well, moves well off the ball, good frame at 6'7", and has sound mechanics. It makes perfect sense why the Knicks would be looking for a guy like him coming off a championship. You can never have too much shooting.</t>
  </si>
  <si>
    <t>Tobi Lawal</t>
  </si>
  <si>
    <t>PF15</t>
  </si>
  <si>
    <t>There's never been a question that Tobi Lawal is a fantastic athlete with tons of verticality and flair, but he has some real concerns elsewhere. At 6'8, he's limited as a power forward who just wasn't made for these times. Without an outside shot, it may never work, but there are worlds where he can be a plug-and-play energy spark. Maybe the big man whisperer, Dusty May, knows how to use him.</t>
  </si>
  <si>
    <t>Rafael Castro</t>
  </si>
  <si>
    <t>C12</t>
  </si>
  <si>
    <t>I was a bit surprised to see Rafael Castro go undrafted, as I thought he would warrant a late swing considering how many bigs went in Round 2. Castro's got really standout athleticism and hops plus the defensive tools that could make him an intriguing 2-way contract guy in the NBA. I like the fit in Milwaukee as a more traditional deep bench piece with some bulk.</t>
  </si>
  <si>
    <t>Vsevolod Ishchenko</t>
  </si>
  <si>
    <t>Word on the street is Ishchenko wants to jump into the NBA immediately. Despite not getting a ton of pre-draft hype, there is a lot to like with Ishchenko as a big, wiry 6'8 wing. He's got some plus skills to like as a passer and some shooting that may come along well. Dallas and Dusty May will likely play pretty big, so I can see the vision here. Very intriguing player that I will likely push higher if he signs a two-way deal.</t>
  </si>
  <si>
    <t>Quadir Copeland</t>
  </si>
  <si>
    <t>PG8</t>
  </si>
  <si>
    <t xml:space="preserve">The Quad God came away as an undrafted free agent, but ends up in a good spot on a two-way in Houston. He's a junkyard dog with a lot to like with his 6'6", 200-pound stature that passes the ball and defends well. The shooting will hold him back if it doesn't end up being real, but he's someone who can really create rim pressure effectively. </t>
  </si>
  <si>
    <t>Duke Miles</t>
  </si>
  <si>
    <t xml:space="preserve">Another one of my mid 2nd round sleepers that went undrafted. Don't be like the NBA teams that slept on Duke Miles if he shows out this summer. He's got a solid connective profile and has a lot to like in his profile as a tenacious defender. Very good piece for Vanderbilt this year. Could he be a Keon Ellis sort of player in the NBA? I think it's possible, for sure. </t>
  </si>
  <si>
    <t>Trey Kaufman-Renn</t>
  </si>
  <si>
    <t>PF21</t>
  </si>
  <si>
    <t>TKR has a lot of that old school big to him as a post-up heavy undersized center. I don't really see his style translating to the NBA, but the numbers are certainly interesting. He's got some passing to his game and the rebounding is good, but he's basically a cone on D. If the shooting proves to be anything, there are possible NBA player outcomes here, but don't get your hopes up.</t>
  </si>
  <si>
    <t>Jaron Pierre Jr.</t>
  </si>
  <si>
    <t xml:space="preserve">Jaron Pierre Jr. is not going to be everyone's cup of tea. He's very Caris LeVert-coded. He is a good scorer with some solid athleticism that gives him some above the rim flash. I think he may have something here that could help him become an NBA player one day, if he becomes much more efficient and buys in more on defense. </t>
  </si>
  <si>
    <t>Nate Bittle</t>
  </si>
  <si>
    <t>C11</t>
  </si>
  <si>
    <t>The fact that Nate Bittle went undrafted with his skillset and profile must mean the medicals were not pretty. However, there is something here fantasy wise and he could have a chance to show out for Toronto to get a contract. 7-footers who play like he does on offense with a 7'5 wingspan aren't exactly easy to find. He was disappointing at Oregon this year.</t>
  </si>
  <si>
    <t>Keyshawn Hall</t>
  </si>
  <si>
    <t>SG15</t>
  </si>
  <si>
    <t>The Keyshawn Hall-Miami pairing just makes too much sense. Keyshawn Hall has a lot of intriguing role player skills in his repitoire that could make him a big riser post-Summer League. He's got scability both on and off the ball, and when called upon like he was at Auburn, he showed a lot of flash. Miami needs some depth and they always seem to conjure role players out of thin air. Is Hall the next one?</t>
  </si>
  <si>
    <t>Peter Suder</t>
  </si>
  <si>
    <t>SG14</t>
  </si>
  <si>
    <t>Suder might be a bit undersized and have some athletic limitations, but he's got a lot of flash and connective skills that make me think he could have a chance. He had a ton of predraft workouts and I'm wondering if he passed on being drafted so LAL could pick him up. If he can prove to be a good, sustainable shooter like he was as a senior, there are plug-and-play rotation player outcomes here.</t>
  </si>
  <si>
    <t>Kylan Boswell</t>
  </si>
  <si>
    <t>PG11</t>
  </si>
  <si>
    <t>Kylan Boswell was a key piece for Illinois this year next to Keaton Wagler. He doesn't boast a clearcut elite NBA skill, but he is a good defender and ballhandler that can play a complementary role. He's not afraid to get physical on either end of the floor. The swing for him to become a full-time NBA player is the shooting. Him going to CHA following the LaMelo trade is notable if you're looking at undrafted pickups.</t>
  </si>
  <si>
    <t>Jaylin Sellers</t>
  </si>
  <si>
    <t>Sellers is a lights-out shooter and can get to the rim effectively. He's going to have some key areas to improve on if he's really going to translate at the next level, especially on defense. The scoring and shooting is certainly worthy of banking on higher. He got a two-way contract with Chicago. Will have an eye on him for Summer League.</t>
  </si>
  <si>
    <t>Nick Boyd</t>
  </si>
  <si>
    <t>PG15</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</si>
  <si>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here and secure himself a two-way deal?</t>
  </si>
  <si>
    <t>Tamin Lipsey</t>
  </si>
  <si>
    <t>PG13</t>
  </si>
  <si>
    <t>In theory, Tamin Lipsey could be an NBA player, and his measurements from Portsmouth coming back OK help his case. He's a great table setter that doesn't turn the ball over and a tenacious defender. I'm not sure about the translation, but could this be a potential Jamal Shead-like surge if he hits for Indiana at Summer League? This team is way deep at point guard, so it'll be tough.</t>
  </si>
  <si>
    <t>Donovan Atwell</t>
  </si>
  <si>
    <t>Atwell is a real-deal shooter out of Texas Tech whose sole job was to knock down 3s. Spot-up shooting, transition, off screens, off handoffs, doesn't matter, he makes them efficiently (45.8% on the year). The fundamental flaw is he absolutely cannot create his own shot and needs a point guard to set him up, and he doesn't attempt shots at the rim. The shooting might still be good enough for there to be a path.</t>
  </si>
  <si>
    <t>Notes/Outlook, Updated 7/7/2026</t>
  </si>
  <si>
    <t>As expected, Cam Boozer is now in Memphis and has been given the keys to the franchise. To me, this is the clearcut "don't overthink it" pick at 1st overall in every league type, and if you can get him any lower, that's a massive win. He's a fantasy superstar and immediately enters the NBA as a top 15 dynasty asset. The box score stuffing is going to be very, very fun.</t>
  </si>
  <si>
    <t>There are some concerns about Wagler that many believe should bump him down from a top spot, but make no mistake: This is the closest to a Tyrese Haliburton type of prospect we've seen. High-end shooting, playmaking and great positional size. When he bulks up more, he could be special. I love the landing spot in LAC even though I know people may be skeptical of him as a prospect.</t>
  </si>
  <si>
    <t>The first of Milwaukee's draft picks in the post-Giannis era is Brayden Burries, a high-floor prospect with a higher ceiling than many might believe. Burries has a good complementary skillset and off-ball appeal, and with more on-ball reps in Milwaukee, he could absolutely explode. Big fan of this fit and him being a long-term building block next to Ryan Rollins.</t>
  </si>
  <si>
    <t>There's going to be a lot of people that are iffy about drafting a rookie turning 24 before his regular season debut, but Yaxel is really like that. Great do-it-all glue guy who can stuff the sheets like crazy and should be a worthwhile piece for Golden State. I think it will take a little time to work his way up as a bench piece, but there are routes to being a very good starter in this league.</t>
  </si>
  <si>
    <t>Aday Mara is going to be a hot topic in your dynasty drafts. The fantasy game is rock-solid and the potential is very good, but being drafted to OKC is going to scare people off. Personally, I'm not all that concerned. You may have to be patient for the rotation to shake out, but when he gets the minutes, he's going to make an impact. I'm sticking to my guns here and trusting the talent will shine through.</t>
  </si>
  <si>
    <t>Dallas went out and got one of new HC Dusty May's guys. The rate of improvement for Morez over the past few years is impressive. There's a growing offensive game, a motor that never turns off, and he's a high level defender. He was one of the biggest winners at the Combine and consistently, teams and players were wowed by him. He's going to be a really good fantasy player and the upside is higher than you think.</t>
  </si>
  <si>
    <t>Boy, am I super high this fit. Despite not playing against a ton of impressive competition at Stanford, there is a great deal to like with Okorie's profile. If you're looking for possible star indicators, Okorie definitely has one of those with his high-caliber slashing. Cade Cunningham has badly needed a secondary creator and slasher next to him, so this could be a match made in heaven.</t>
  </si>
  <si>
    <t xml:space="preserve">This is one of the most OKC coded picks you can imagine. Super smart, can make quick decisions, wins wherever he's gone, has dominated wherever he's gone, and is a great human being. High level shooter and playmaker. Can get steals in bunches. It might take a bit given OKC's depth, but I don't think it takes as long as some others may think. Best case comparisons for him: Malcolm Brogdon and Ty Jerome. </t>
  </si>
  <si>
    <t>Bryson Graham was in New Orleans when they signed Naji Marshall. He hired Tiago Splitter who coached Deni Avdija. Those are the outcomes we can see for Dailyn Swain. Now, he's not as good of a passer as the raw assist numbers would indicate. There's a lot of messy turnovers. The shot is a massive work in progress. This is a real boom or bust swing. Proceed at your own risk.</t>
  </si>
  <si>
    <t xml:space="preserve">Cameron Carr ended up falling in the draft further than what many people were expecting. This was partly due to frame and weight, but there's no denying that the fantasy skillset is enticing. There's a real upside swing if he can put on more weight (think something Devin Vassell-esque). If not, he's probably more like Isaiah Joe. The fit with Luka and the Lakers is exceptional as well. </t>
  </si>
  <si>
    <t>This LaMelo Ball trade could get really interesting for Anderson's outlook. Anderson is a great shooter and playmaker who offers a lot of solid skills from a fantasy perspective. The concerns here are his size, defense and whether he's capped as a backup guard or not. There could be a good role with him and Coby White in the mix. Don't overreact and overdraft Anderson yet; stock up, but let's see what happens.</t>
  </si>
  <si>
    <t>Labaron Philon took a big leap as a sophomore this year. Very good guard profile for fantasy and shows a lot of capability if he can play well off-ball. His improvement from 3 this year is a huge help. The landing spot in Philadelphia caps the long term upside behind Maxey and Edgecombe, but I’m willing to bet on the talent with bench scoring being a key need.</t>
  </si>
  <si>
    <t>The Milwaukee Bucks get their guy at 13. If you're drafting Nate Ament, I would be very hesitant on expecting much high level production. While he will likely get some run as one of the key pieces in the Giannis trade, this is a risk if you take him too high. While he is good with points and rebounds, everything else can be a little lackluster. Draft him at your own risk and level of patience.</t>
  </si>
  <si>
    <t>Karim Lopez doesn't have the most appealing fantasy skillset, but he was a productive player in Australia the past couple seasons. He can be pretty theoretical with his current abilities, but if Memphis thinks they can utilize his strengths as a cutter, he could be someone that has a solid statline while not doing anything at a high level. Could be a great buy next offseason.</t>
  </si>
  <si>
    <t>Most of you following our work know our team is incredibly skeptical of Allen Graves. He is an analytical darling and Spreadsheet FC loves him, and I get why, especially if he can develop more. I have my share of concerns, but if there's one team that could use him effectively, it's Toronto. Darko Rajakovic is going to have a lot of fun with him. The range probably starts in the early 10s and this is likely the lowest end for him.</t>
  </si>
  <si>
    <t>Sergio de Larrea was one of the best players on one of the best teams in Europe. He enters into a situation in Dallas where his coach really values positional size and quick decision makers. Sergio could quickly become a core piece. He can play on and off the ball. He can shoot 3's. The defense and off-ball play will need work, but the upside is very strong here.</t>
  </si>
  <si>
    <t xml:space="preserve">Koa Peat fits a lot of what Matt Ishbia's desired culture is. He plays hard, he's physical, and he's willing to buy into a role. Phoenix has a lot of these interesting forwards that are all somewhat interesting. Koa is a better decision maker than all of them, but he couls possibly end up as a worse shooter than Dunn. Ultimately, it will come down to the shot for the hometown kid. </t>
  </si>
  <si>
    <t>The Sheep lands in LA! Baba Miller has been on draft radars for a while and had a nice breakout season. Very good rebounder, lanky, good defender, can pass. The fantasy appeal is all there. The biggest thing is the shooting and how he will score at the NBA level. Getting a similar player to John Collins on a cost-controlled contract could be fun.</t>
  </si>
  <si>
    <r>
      <rPr>
        <rFont val="Arial"/>
        <color rgb="FF000000"/>
        <sz val="11.0"/>
      </rPr>
      <t xml:space="preserve">If the standout thing that gets later 2nd round players' feet in the door is defense, Lajae Jones has got something to unlock here at Golden State. Jones is a strong, phyiscal and tenacious wing. The rebounding, defense and athleticism are definitely NBA-caliber, but can he be a positive shooter at the next level? </t>
    </r>
    <r>
      <rPr>
        <rFont val="Arial"/>
        <b/>
        <color rgb="FF000000"/>
        <sz val="11.0"/>
      </rPr>
      <t xml:space="preserve">Worth noting: He holds an Israeli passport, so we may see him get stashed. </t>
    </r>
  </si>
  <si>
    <t>Suder might be a bit undersized and have some athletic limitations, but he's got a lot of flash and connective skills that make me think he could have a chance. He had a ton of predraft workouts and I'm wondering if he passed on being drafted so GSW could pick him up. If he can prove to be a good, sustainable shooter like he was as a senior, there are plug-and-play rotation player outcomes here.</t>
  </si>
  <si>
    <t>Nick Boyd is a quality shotmaker who may not be solid enough to hang on D at 6'1, but he can handle the ball and play the point pretty well to be worth a real look. Golden State secured him on an Exhibit-10 deal following the draft and I hope to see him thrive this summer. Could he find a way to break the mold and secure a two-way deal?</t>
  </si>
  <si>
    <t>Tre Donaldson</t>
  </si>
  <si>
    <t>Another notable Miami Heat undrafted free agent! This time, they get the hometown kid in Tre Donaldson. Donaldson was the starting point guard for Miami this year and is a good playmaker and scorer. He brings a good pace and clutch shotmaking. My main issue is I don't really see an elite skill here or much that screams NBA player to me. The numbers are good, though. He will get a shot.</t>
  </si>
  <si>
    <t>Robert McCray V</t>
  </si>
  <si>
    <t>At 6'4, McCray has some juice to be an intriguing point guard on a two-way deal at the next level. The playmaking is solid enough to bank on and he can shoot, but the defense really needs to improve for him to get there. The physical traits make that projection difficult with a negative wingspan in shoes (6'5). He might garner more interest off being a Laker.</t>
  </si>
  <si>
    <t>Pick</t>
  </si>
  <si>
    <t>Estimated Value</t>
  </si>
  <si>
    <t>Who I Might Take (9Cat)</t>
  </si>
  <si>
    <t>Who I Might Take (Points)</t>
  </si>
  <si>
    <t>Top 10-15</t>
  </si>
  <si>
    <t>Top 15-25</t>
  </si>
  <si>
    <t>Top 25-35</t>
  </si>
  <si>
    <t>Top 50-70</t>
  </si>
  <si>
    <t>Top 75-90</t>
  </si>
  <si>
    <t>Top 80-100</t>
  </si>
  <si>
    <t>Top 100-125</t>
  </si>
  <si>
    <t>Top 120-150</t>
  </si>
  <si>
    <t>Top 140-180</t>
  </si>
  <si>
    <t>Top 150-180</t>
  </si>
  <si>
    <t>Top 170-200</t>
  </si>
  <si>
    <t>Top 200-230</t>
  </si>
  <si>
    <t>Top 250-300</t>
  </si>
  <si>
    <t>Top 300-350</t>
  </si>
  <si>
    <t>Top 350-450</t>
  </si>
  <si>
    <t>Age (1/15/26)</t>
  </si>
  <si>
    <t>Notes/Outlook</t>
  </si>
  <si>
    <t xml:space="preserve">God Emperor Wemby is currently the MVP frontrunner. The league (and your leaguemates) should be terrified he's already this good. </t>
  </si>
  <si>
    <t>More of the same from SGA as the reigning MVP. We know what to expect out of an elite performer and a unanimous top 2-3 dynasty pick in all formats.</t>
  </si>
  <si>
    <t>Luka continued to show why he's an absolute superstar with the Lakers. As expected, a lot of sparks this year and especially as of late at the end of the year.</t>
  </si>
  <si>
    <t>Cade has officially ascended last year and led the Pistons to the best record in the East. A collapsed lung will knock him out until the playoffs.</t>
  </si>
  <si>
    <t>Maxey has been fantastic to start the year. I had doubts about him being a winning first option guy but he's truly there right now.</t>
  </si>
  <si>
    <t>Ant continues to ascend so far beyond any of my expectations. He's had his best season to date and is averaging close to 50% FG and 40% 3PT on the year.</t>
  </si>
  <si>
    <t>I can't deny Jalen Johnson any longer. He's emerged into a full-blown fantasy and IRL star this year.</t>
  </si>
  <si>
    <t>Jayson Tatum is back on the court and quickly returning to form. He's back to my top 10 for next year when he's 100% again.</t>
  </si>
  <si>
    <t>Duke</t>
  </si>
  <si>
    <t>Cam Boozer looks the part of an elite-level fantasy basketball player with how he stuffs the stat sheets. He is the very obvious, "don't overthink it" 1.01.</t>
  </si>
  <si>
    <t>Chet continues to be awesome for fantasy purposes and is having another fantastic year.</t>
  </si>
  <si>
    <t>Haliburton suffered a devestating Achilles injury in game 7 of the NBA finals. I've bumped him up a bit in preparation for his return going into next year.</t>
  </si>
  <si>
    <t>Alperen Sengun continues to grow and is having the best year of his young career. He has improved on both ends of the ball but the defense remains an issue.</t>
  </si>
  <si>
    <t xml:space="preserve">JDub has had a down year due to his wrist and hamstring injuries. I'm buying the dip on him this offseason if people are starting to panic. </t>
  </si>
  <si>
    <t>I think it's fair to say Mobley has been underwhelming this season after being great last year. Still in on him as a top-20 asset moving forward.</t>
  </si>
  <si>
    <t>Barnes has continued to step it up in the fantasy game this year. He's been very efficient from the field even if the 3-point shooting isn't there.</t>
  </si>
  <si>
    <t>There are sure to be questions about Giannis if he gets traded, but in most situations, he will remain a top-end fantasy contributor well through the end of his prime.</t>
  </si>
  <si>
    <t>Kansas</t>
  </si>
  <si>
    <t>Peterson was once in the running for 1.01, but his hamstring injury has been a blemish on his season. I'm not concerned about the assists this year with Kansas.</t>
  </si>
  <si>
    <t>Reaves has stepped up in a big way this year and gotten better with him and Luka at the reins. He is a truly special talent and an incredible find by LA's front office.</t>
  </si>
  <si>
    <t>Mitchell has had arguably his best Cavs season yet. He and James Harden have been a good pairing and I expect Mitchell to stay in Cleveland a while longer.</t>
  </si>
  <si>
    <t>The entire Magic squad has struggled this year. I think they may be best suited with Wagner as their 1A, but his availability has been an issue this year.</t>
  </si>
  <si>
    <t>Avdija is stamped as legit and he's Portland's best player moving forward. He gets his first All-Star nod this year. Not worried about his back.</t>
  </si>
  <si>
    <t>BYU</t>
  </si>
  <si>
    <t>That Dybantsa is somehow the 1.03 in any rookie draft is just absurd. He's a special talent not far off from Peterson in contention to go 2nd overall.</t>
  </si>
  <si>
    <t>Trae Young gets moved to WAS to be their point guard of the present... and maybe the future, as they gear up to improve with him, Anthony Davis and the youngsters.</t>
  </si>
  <si>
    <t>Booker is who he is by now and will continue putting up essentially the same numbers as always. The 3-pointers are tailing off to under 6 3PA.</t>
  </si>
  <si>
    <t xml:space="preserve">Brunson is still playing well and in his prime, but it's clear that the drop-off could be coming sooner than later as a small guard. </t>
  </si>
  <si>
    <t>Despite decreases in his points, Ball is still cruising and doing what he's best at. He's a high-level playmaker and has meshed really well with Kon Knueppel this year.</t>
  </si>
  <si>
    <t>I'm still not the biggest fan of the Giddler, but I can't deny that he's been great for fantasy and this all is sustainable as Chicago's "franchise player".</t>
  </si>
  <si>
    <t>Kon has been an important piece for Charlotte and has shown a way stronger fantasy profile than other dynasty creators thought. He's the frontrunner for ROTY over Flagg.</t>
  </si>
  <si>
    <t>Harper has been fantastic starting out. I think it's clear by now that he, Fox and Castle can coexist for now, even if usage gets a little hairy.</t>
  </si>
  <si>
    <t>After some initial struggles, Trey Murphy has rebounded and continues to deliver well off a career year.</t>
  </si>
  <si>
    <t>Paolo has underwhelmed as a categories fantasy player, but he's started to have a better year compared to years' past.</t>
  </si>
  <si>
    <t>Duren has stepped up this year and has a real chance at winning Most Improved Player. Defense remains an issue but he is DET's second best player by a long shot.</t>
  </si>
  <si>
    <t>Sarr has taken some steps this year and has a cleaner profile for fantasy. He's playing well for still being 20, though he's now known as the guy Bam dropped 83 on.</t>
  </si>
  <si>
    <t>Murray has been great so far this year as Denver's healthiest player on the roster. He gets his first All-Star appearance and has a good shot at All-NBA.</t>
  </si>
  <si>
    <t>North Carolina</t>
  </si>
  <si>
    <t>For some, the Big 3 of the 2026 Draft is actually a Big 4. Caleb Wilson has ridiculous potential as a super high-impact, two-way player and a possible fantasy star.</t>
  </si>
  <si>
    <t>Garland's injury issues came to a head this year, and he was traded to the Clippers. He'll be their franchise point guard moving forward.</t>
  </si>
  <si>
    <t>JJJ was shockingly traded to Utah in a blockbuster deal no one saw coming. He's a great compliment to Walker Kessler with two great defenders in the frontcourt.</t>
  </si>
  <si>
    <t>Edgecombe has established himself as Philly's present and future as they aim to build with him, Maxey and Embiid.</t>
  </si>
  <si>
    <t>It's obvious that a KAT trade may be brewing soon if the Knicks cannot win in the playoffs this year.</t>
  </si>
  <si>
    <t>Bam Adebayo has been having a good year, but who could've seen him scoring 83 points for the 2nd all-time high in points?</t>
  </si>
  <si>
    <t>Jaylen Brown has been real good as the leading man for the Celtics. He'll settle back into the prior role with Tatum now back.</t>
  </si>
  <si>
    <t>Harper and Castle are making the conversation around Fox interesting. He feels very expendable as they'll start to assess payroll and getting Wemby a megadeal soon.</t>
  </si>
  <si>
    <t>Houston</t>
  </si>
  <si>
    <t>Flemings is set to be the 5th pick in real life and in dynasty drafts. He's got franchise point guard written all over him and has been a star for Houston.</t>
  </si>
  <si>
    <t>Harden heads to Cleveland for another stint ended by money disputes. He's still doing his thing at a high level.</t>
  </si>
  <si>
    <t>Sabonis got ravaged by injuries this year, and his future with the Kings and as a top-end fantasy player will remain a question mark.</t>
  </si>
  <si>
    <t>KD has continued doing his thing, this time in Houston on a team full of youngsters. I expect about 1-2 more years at this level of play.</t>
  </si>
  <si>
    <t>Steph Curry is still Steph Curry even at age 38, but there have been a lot of times he's looked human in recent years with his injuries. Hold and enjoy the ride.</t>
  </si>
  <si>
    <t>It's been a weird year for Tyler Herro with his slew of toe injuries and other issues. He remains a higher-end, yet worrisome asset.</t>
  </si>
  <si>
    <t>Davis was shockingly traded to Washington this February. He will remain out for the rest of the year, but he should be interesting to see play for this squad when healthy.</t>
  </si>
  <si>
    <t>Brandon Miller has continued to have injuries and leaves some serious questions about him, LaMelo and Charlotte on the whole.</t>
  </si>
  <si>
    <t>George has played with a real sense of urgency to make that leap this year. He's here and establishing he belongs as a longer term starter.</t>
  </si>
  <si>
    <t>Zubac was traded to Indiana in a shocking move involving their first round pick this year with protections. It's obvious they value him highly.</t>
  </si>
  <si>
    <t>Zach Edey is a potential fantasy monster when he's healthy and showed some amazing play for Memphis, but at his size, the injuries have been a concern.</t>
  </si>
  <si>
    <t>Early returns have been nice on Castle and he's had a great second half of his season. He's got a very solid future ahead of him.</t>
  </si>
  <si>
    <t>Despite shooting under 40% on the year, White has been ridiculously impactful as always for Boston.</t>
  </si>
  <si>
    <t>Clingan has made leaps and bounds developmentally this year. If the 3-point shot continues at this level, he's a fantasy monster and will move into my top 50.</t>
  </si>
  <si>
    <t xml:space="preserve">Okongwu retakes his full role with the Kristaps Porzingis experiment not working well. The 3-point shot has really emerged this year. </t>
  </si>
  <si>
    <t>Siakam has been great for the Pacers as we expected. This year without Haliburton has been rough for the team but Siakam still plays at a high level.</t>
  </si>
  <si>
    <t>Queen has flashed very, very high potential so far in his rookie season. The defense remains a concern, but I'm still bought in.</t>
  </si>
  <si>
    <t xml:space="preserve">Some remarks by Spoelstra on Ware's effort and motor have me concerned about this issue dating back to college, but he has a lot of really strong potential. </t>
  </si>
  <si>
    <t>Ja has really struggled badly this year and with drama brewing in Memphis, I want no part of him at cost even if he still mantains some value.</t>
  </si>
  <si>
    <t>Zion has stayed relatively healthy, but he's had a bit of a down statistical year in general.</t>
  </si>
  <si>
    <t>Illinois</t>
  </si>
  <si>
    <t>Wagler has been incredible this season. He has some concern areas and needs to put on more weight, but the higher-level outcomes are very exciting.</t>
  </si>
  <si>
    <t>Kessler suffered a brutal season-ending injury just a few games in. Really tough situation for Utah, but it's clear they want him and JJJ for the present and future.</t>
  </si>
  <si>
    <t>Daniels was a stocks god this past season and that's trailed off this year. Not been as good but he's still a good, impactful piece for ATL.</t>
  </si>
  <si>
    <t>Suggs needs to stay healthy for Orlando to be at his best. Very impactful player on the whole.</t>
  </si>
  <si>
    <t>The Bulls' future is Buzelis' oyster now. Some brilliant flashes and more to come. There's a lot here to be excited about.</t>
  </si>
  <si>
    <t>We've seen some good stuff out of Sheppard that remind us why he went so high in drafts, but the concerns are still there.</t>
  </si>
  <si>
    <t>Hartenstein has recently been banged up with a hamstring sprain that's had him in and out. Very important player that OKC may get priced out of.</t>
  </si>
  <si>
    <t>Kyrie was playing great until a devastating ACL tear. He was already approaching the end of his prime and this does leave some strong questions about the future.</t>
  </si>
  <si>
    <t>Louisville</t>
  </si>
  <si>
    <t>When he plays, he's an elite fantasy player. Will Kawhi ever play a normal regular season again? What will happen with his Aspiration scandal?</t>
  </si>
  <si>
    <t>Jarrett Allen has been excellent since James Harden joined the Cavs about a month ago. Is he expendable moving forwrd?</t>
  </si>
  <si>
    <t>George has absolutely early into the season, but he's slowed down in 2026 a bit. Expecting solid things from him.</t>
  </si>
  <si>
    <t>A lot has changed for Utah from when Bailey was drafted to now. I expect him to take another jump next year after having a good stretch this year.</t>
  </si>
  <si>
    <t>Ausar has continued to struggle progressing on offense. He's still got loads of great upside and is a fantastic defender.</t>
  </si>
  <si>
    <t>Ingram has had a good year for Toronto where he's stayed very healthy. Nothing new with his numbers but his production remains strong at cost.</t>
  </si>
  <si>
    <t>Mikal has had some bad play recently, but he is still a quality fantasy player who produces well for categories leagues.</t>
  </si>
  <si>
    <t xml:space="preserve">Embiid is clearly not the guy he was in his last healthy season as the MVP, but he can still drop big numbers. </t>
  </si>
  <si>
    <t>Kentucky</t>
  </si>
  <si>
    <t>Quaintance has the makings of an elite NBA defender, but I need to see more on the offensive end. He may have limited potential if that doesn't improve.</t>
  </si>
  <si>
    <t>Arizona</t>
  </si>
  <si>
    <t>Scoot missed a lot of the season and started out very slow. He's had some hit-or-miss performances since returning. Lot of questions about him moving forward.</t>
  </si>
  <si>
    <t>MPJ has been playing at an All-Star level this year even if some of it is pretty Mickey Mouse. He's going to be very important to Brooklyn's tank.</t>
  </si>
  <si>
    <t>Arkansas</t>
  </si>
  <si>
    <t>Fears has been very solid for fantasy so far, which is really shocking considering we thought he would be bad for at least a year like normal rookie guards.</t>
  </si>
  <si>
    <t>There is still a lingering possibility of a Nic Claxton trade, but he's been a mainstay for Brooklyn. Would love to see the 2+ blocks coincide with the increase in assists.</t>
  </si>
  <si>
    <t>CMB has been brilliant in his best moments this season in Toronto. It's easy to see how he fits into this offense. Future All-Defense guy, for sure.</t>
  </si>
  <si>
    <t>Eason hasn't been quite as good this year, but there has been an uptick from 3. Availability remains an issue.</t>
  </si>
  <si>
    <t>I love the fit of Coby White as the 6th man in Charlotte. He's been ramping back up due to injury but his best moments so far in Charlotte are exciting.</t>
  </si>
  <si>
    <t>Randle has mostly rebounded to his old self in Minny. Sometimes you get Julius Randle, sometimes you get Dubious Handle.</t>
  </si>
  <si>
    <t>Rollins has had an awesome breakout year in Milwaukee. He's very clearly the best guard on the Bucks right now.</t>
  </si>
  <si>
    <t>Black was on fire for a lot of this 3rd season that should get him some MIP votes. He's quieted down a little recently, but he's had a fantastic year on the whole.</t>
  </si>
  <si>
    <t>NAW has blossomed in Atlanta and looks like a pivotal piece, especially with Trae Young gone. He's up to 20.3 PPG on the year.</t>
  </si>
  <si>
    <t>More of the same for Mark Williams in Phoenix as he's taken a slight step back in the numbers on a winning team.</t>
  </si>
  <si>
    <t>Smith's fantasy appeal is clear, but he's struggled with inconsistency. He's had stretches where he's impressed and disappointed me this year.</t>
  </si>
  <si>
    <t>Poeltl had himself a career year and he finally got paid. This year, he's regressed a bit and the back stuff is concerning.</t>
  </si>
  <si>
    <t>Pritchard struggled early in the year but is putting up some big shotmaking performances on a wide open Boston team.</t>
  </si>
  <si>
    <t>To be fair, Green has been hurt for a majority of the year and been slow coming back from the hamstring... but he's been straight up bad numbers wise.</t>
  </si>
  <si>
    <t>Like Bailey, Tre Johnson has a game more for points leagues. He's a solid shooter and I'm curious how the role looks next year with everyone healthy.</t>
  </si>
  <si>
    <t>Naz Reid is looking like the current choice for 6th Man of the Year as of now. He remains important for Minnesota but there's a chance he gets traded at some point.</t>
  </si>
  <si>
    <t>Demin has a lot of fantasy upside when considering his archetype. He's become a really excellent shooter so far, which is crazy to say after what we saw at BYU.</t>
  </si>
  <si>
    <t>Without Haliburton, Nembhard has had a solid year. He has good role malleability and it's encouraging to see the improvements from 3.</t>
  </si>
  <si>
    <t>Mitchell remains high and has been very important for this OKC squad. He's a great buy at cost if you think he could take another leap here or elsewhere.</t>
  </si>
  <si>
    <t>Texas</t>
  </si>
  <si>
    <t>PJ Washington has been playing well in Dallas. His fit is a bit at odds in Dallas with Cooper Flagg.</t>
  </si>
  <si>
    <t>Kristaps Porzingis continues to suffer from POTS and has been in and out of lineups all year for Atlanta and Golden State.</t>
  </si>
  <si>
    <t>Tennessee</t>
  </si>
  <si>
    <t>Ament struggled badly for part of his freshman season, but he's come into his own down the stretch. At cost, he's an interesting investment despite the concern areas.</t>
  </si>
  <si>
    <t>Kuminga has started to take another step forward being away from Golden State and Steve Kerr. He's playing well for Atlanta.</t>
  </si>
  <si>
    <t>Lively is set to miss the rest of the 2025-2026 season with yet another foot injury. I am out on him ever being a top 75 dynasty asset in his career again.</t>
  </si>
  <si>
    <t>Michigan</t>
  </si>
  <si>
    <t>Patrick Ngongba II</t>
  </si>
  <si>
    <t>I have some skepticism on Ngongba as a prospect, but the fantasy profile is juicy for the center stuff we like in a shot blocker and rim protector with good touch.</t>
  </si>
  <si>
    <t>I'm fully expecting LeBron's final year to be this year or next, and by default, his value is pretty much deflated from here. If you have him, you're holding until the end.</t>
  </si>
  <si>
    <t>Norman Powell has been on a heater this year for Miami in their tinkered offense. He'll be a great name for trivia on random 1x All-Stars.</t>
  </si>
  <si>
    <t>I'm still in on Christian Braun being a good player once he returns to full-game speed and is healthy. Good time to panic buy.</t>
  </si>
  <si>
    <t>Bridges' time in Charlotte should be coming to an end as his play has drifted off. His value is likely not all that high elsewhere.</t>
  </si>
  <si>
    <t>Really like Camara, but the problem areas this year have been strongly felt in the fantasy space.</t>
  </si>
  <si>
    <t>Unsurprisingly, Ayton has looked better than expected because of Luka and Reaves. Numbers are typical but I don't see a lot of long-term upside still.</t>
  </si>
  <si>
    <t>More of the same as usual for Rudy Gobert, who delivers on his normal. He's having yet another All-Defense season.</t>
  </si>
  <si>
    <t>Labaron Philon</t>
  </si>
  <si>
    <t>Alabama</t>
  </si>
  <si>
    <t>Philon has leveled up this year as a sophomore with Alabama. He has a good guard profile and will be a mid-10s pick in most dynasty drafts as of now.</t>
  </si>
  <si>
    <t xml:space="preserve">It's early, but Ty Jerome has been standing out in a huge way for Memphis when healthy. </t>
  </si>
  <si>
    <t>Nikola Topic has returned from his testicular cancer treatment. He's played very few NBA minutes and is ramping up in the G League. We remain patient with him.</t>
  </si>
  <si>
    <t>Tyson climbed my boards quick over the last few months. He's having an excellent sophomore season as one of Cleveland's few bright spots for some of this year.</t>
  </si>
  <si>
    <t>I still really like Santi Aldama, but it's hard to really figure out what Memphis looks like at their best. I think he's a key piece and I like his value at cost.</t>
  </si>
  <si>
    <t>With Anthony Davis shipped off to Washington, Gafford's place in the rotation is a lot less muddy again.</t>
  </si>
  <si>
    <t>Statistically, Podz has had a fine, inconsistent year. The conversations on Twitter would make you think it's way worse.</t>
  </si>
  <si>
    <t>Collins continues to play at his normal pace. He's played well after the Zubac trade but has had some nagging injuries.</t>
  </si>
  <si>
    <t>Holland is playing a key bench role for Detroit. Still has a lot ways to go but is flashing lots of nice potential at 20.</t>
  </si>
  <si>
    <t>Gordon has missed some time at different points of the year. Denver has really missed him.</t>
  </si>
  <si>
    <t>Jaime Jaquez Jr. has had a solid year as he's played a steady role off the bench. His stats have been excellent.</t>
  </si>
  <si>
    <t>Sorber has a great fantasy profile and has what it takes to be a good starter in OKC. He will miss 2025-2026 with a torn ACL. Good buy-low opportunity for rebuilders.</t>
  </si>
  <si>
    <t>It's hard to say who actually is the best suited starter is in CHA (or if they are on the roster right now). Still, Moussa is making a strong case against Kalkbrenner.</t>
  </si>
  <si>
    <t>Sorry if others are significantly higher on KPJ than me, but he is a bad IRL player that is not conducive to winning or positive contributions. Sell him while you can.</t>
  </si>
  <si>
    <t>Grimes was the big silver lining for Philly after the deadline. He was cooking as a scorer. He signs a qualifying offer with something to prove this year.</t>
  </si>
  <si>
    <t>Podz has really struggled this year and it feels like the sentiment is that GSW wants him gone at the deadline. I still think there is legit upside here.</t>
  </si>
  <si>
    <t>Mathurin and Walker deserve way more run than they get with Indiana, and they will get just that this year with the former likely starting at SG next to Nembhard.</t>
  </si>
  <si>
    <t>Look, I was too high on Monk and dropped him in my ranks, but to go from last year to DNPs in Sacramento is completely unacceptable. What are they doing?</t>
  </si>
  <si>
    <t>Cam Johnson has taken a step back this year in general and he's trending down on the whole. Still valuable enough for contenders.</t>
  </si>
  <si>
    <t xml:space="preserve">Nesmith missed some time this past year and has come back hard with some big games in the playoffs. Very underrated player. </t>
  </si>
  <si>
    <t>Paul George was already reaching towards the end, but now that he's out for the rest of the fantasy season with a drug suspension, he might be about done.</t>
  </si>
  <si>
    <t>Queta is far from your ideal NBA starting center, but he's looked decent for Boston all things considered. Good fantasy numbers.</t>
  </si>
  <si>
    <t>Herb is shouldering a ton this year with how poor New Orleans' defense is. Numbers haven't been amazing but should tick up soon.</t>
  </si>
  <si>
    <t>Christie faded off by the end of the season, and it's fair to question if he can come into next year at a starting level.</t>
  </si>
  <si>
    <t>Jovic had some hype coming in, but through the first quarter of the season, he's largely regressed from last season.</t>
  </si>
  <si>
    <t>Filipowski's minutes have been hit or miss, but he's showing he can produce when he gets a large amount. Definite hold/buy still.</t>
  </si>
  <si>
    <t>Jrue has been crushing it in Portland in a bigger role for the first time in years. He's providing steady value for contenders.</t>
  </si>
  <si>
    <t>Jase has had some excellent games so far this year. The talent is definitely there even though I still want to see how he keeps it up.</t>
  </si>
  <si>
    <t>Jimmy Butler suffered a devastating ACL tear this January. He's a psycho and will aim to return, but will he ever be the same player again at age 37?</t>
  </si>
  <si>
    <t>Simons is mostly just a score-first guard in Boston and I don't expect him to play a strong role on another decent team again.</t>
  </si>
  <si>
    <t>VanVleet suffered a horribly timed ACL tear. It's fair to question how he recovers from this injury at age 32 as a smaller guard. Him being out is definitely felt so far in HOU.</t>
  </si>
  <si>
    <t>Clayton has not been heavily involved in the rotation yet, but I'm willing to be patient. I see some high outcomes still.</t>
  </si>
  <si>
    <t>Ellis finally finds a new home, leaving the worst team in the West to a struggling, yet still-alive, Cavs team. He'll play an important role again.</t>
  </si>
  <si>
    <t>Thomas is what he is at this point. He's a bucket and can give you plenty of points, but not much else. Very murky future after receiving a qualifying offer from BKN.</t>
  </si>
  <si>
    <t>How about Dillon Brooks this year? He's having the best scoring stretch of his career and continues to push.</t>
  </si>
  <si>
    <t>Stewart is having the best year of his career from a fantasy perspective. Still surprisingly very young.</t>
  </si>
  <si>
    <t>Hunter heads to Sacramento, where his path to good minutes this and next year feels clear. Still, he has become a negative value again very quickly.</t>
  </si>
  <si>
    <t>A trade elsewhere is what's best for both Detroit and Jaden Ivey, unfortunately. He's struggled badly this year.</t>
  </si>
  <si>
    <t>Once again, we're seeing Vuc crush for Chicago. He's a solid fantasy player. I would imagine he sticks around with Chicago looking more competent.</t>
  </si>
  <si>
    <t>Essengue is far from a complete product and has a lot to work on, so it stinks to see him miss the remainder of the year and lose valuable development time.</t>
  </si>
  <si>
    <t>Wiggins joined the Miami Heat following the Butler trade. He's had a solid fantasy season and should maintain a steady role in Miami as they look to build back up.</t>
  </si>
  <si>
    <t>Sharpe has been an interesting backup big for a few years now. Not sure why he signed for so cheap to stay in Brooklyn.</t>
  </si>
  <si>
    <t>Jakucionis had a great game this past week. He's not going to be a consistent player in MIA yet until he earn's Spoelstra trust, but the upside is obvious.</t>
  </si>
  <si>
    <t>DeRozan gets to reunite with LaVine and will likely finish his career in the next couple years. Still a worthy contender buy for the low if he fits your team.</t>
  </si>
  <si>
    <t>I've been a longtime Marshall truther and he's been surging recently with the slew of Mavs injuries. I expect him to have a few more prime years like this.</t>
  </si>
  <si>
    <t xml:space="preserve">Clifford is an absolute fantasy monster lying in wait as Sacramento flounders around. He'll get his shot soon. </t>
  </si>
  <si>
    <t>Mitchell continues to be very good in Miami. I've had my doubts but he's really revived his career.</t>
  </si>
  <si>
    <t>With a 3-year deal and him sitting this year out recovering from his Achilles tear, he has a small window of decent play left if he manages to make a full recovery.</t>
  </si>
  <si>
    <t>Scotty Pippen Jr. is still recovering from toe surgery and yet to make his debut. I think he's very quietly one of MEM's best players.</t>
  </si>
  <si>
    <t>It doesn't make a lot of sense that Clowney suddenly went from almost out of the NBA to a key floor spacer suddenly, but such is the NBA and development weirdness.</t>
  </si>
  <si>
    <t xml:space="preserve">Hugo has had some massive games this month and is well on his way. He's already a net-positive player for a good team and earning Mazzulla's trust. </t>
  </si>
  <si>
    <t>Grant is back to his high-scoring output for Portland. I expect he'll garner some trade interest from needy fringe contenders.</t>
  </si>
  <si>
    <t>I normally try and give some grace to young guards, but the fact that he's not playing with his size, game and with Bones Hyland playing over him scares me.</t>
  </si>
  <si>
    <t>Wolf has a very appealing fantasy game, but he's not playable at the NBA level yet and has a ways to go. Still definitely worth an investment in dynasty for the long haul.</t>
  </si>
  <si>
    <t>LaRavia has impressed so far in LA and will continue playing a key starting role this year. Lot to like here as he keeps building chemistry with Luka, Reaves and co.</t>
  </si>
  <si>
    <t>Dunn has had good moments in Phoenix. He'll be a key piece for them over time with their dire cap situation. Very solid defender despite disappointing numbers this year.</t>
  </si>
  <si>
    <t>Wiggins continues to play spot roles and when called upon in OKC. Very good player and valuable for his team.</t>
  </si>
  <si>
    <t>It's been great to see Saddiq Bey finally healthy and balling out again. I don't expect this to stick long-term but he is sure to draw some interest at the trade deadline.</t>
  </si>
  <si>
    <t>Unsurprisingly, Yang hasn't played much and when he has, he's been virtually unplayable. He's going to need time.</t>
  </si>
  <si>
    <t>Raynaud has been excelling so far with Domantas Sabonis out. He checks all the right boxes. Never should've gone 42nd overall IRL.</t>
  </si>
  <si>
    <t>Minott has looked solid so far and delivered on the fantasy stuff we hoped he could do in limited minutes in MIN.</t>
  </si>
  <si>
    <t>Wells has gotten himself out of the slump finally, but the fantasy game is still not all that strong.</t>
  </si>
  <si>
    <t>Kornet has delivered on top 100 value on the year according to BBM. He's working out great for SA with and without Wemby.</t>
  </si>
  <si>
    <t>WCJ has had a better year this year and should probably be higher on my ranks, but I still do not have a ton of belief in him at this point.</t>
  </si>
  <si>
    <t>I fully expect to see Jeremy Sochan on the move at the deadline now that he's been pushed out of the rotation. There may still be some upside here.</t>
  </si>
  <si>
    <t>What a leap Goga has made when I thought he was close to being out of the league after his time in Indiana. He's become a solid fantasy guy.</t>
  </si>
  <si>
    <t>Robinson has continually had struggles with staying healthy. If he can't this year, we will likely see him traded.</t>
  </si>
  <si>
    <t xml:space="preserve">As usual, Moody has moments of brilliance and struggles, but he's had some of his best this year. </t>
  </si>
  <si>
    <t xml:space="preserve">Cam Spencer has ascended up the board with some stellar play over the last month. Is it real with all their injuries? </t>
  </si>
  <si>
    <t>I love what I've seen from Penda so far and I'm very high on him potentially earning a consistent role next year.</t>
  </si>
  <si>
    <t>Schroder has been traded once again; this time, he heads to Cleveland to play a bench role behind Donovan Mitchell and Darius Garland.</t>
  </si>
  <si>
    <t>Cardwell has flashed some interesting stuff for Sacramento at times. He's an old school big with good defensive abilities.</t>
  </si>
  <si>
    <t>CJ is playing as usual with high scoring outings without a ton else. He's coming up on the end.</t>
  </si>
  <si>
    <t>Would it shock you that Kyle Kuzma still stinks as a fantasy player in Milwaukee? It shouldn't after his terrible playoff stretch.</t>
  </si>
  <si>
    <t>As expected, Sexton is mostly a 6th man with some occasional spot starts. Still a good scorer but his best days are now behind him.</t>
  </si>
  <si>
    <t>I've been a big Ayo fan for a while and I think he deserves better than Chicago. One of the more underrated players out there.</t>
  </si>
  <si>
    <t>Holmes has yet to play much in the NBA. With Jonas as their backup, this gives Holmes more time to get fresh and get ready for a bigger role next year.</t>
  </si>
  <si>
    <t>This year is now Rui's second in a row where he's shooting over 50% from the field and 40% from 3 on at least 1 per game.</t>
  </si>
  <si>
    <t>Harris is still playing a steady role in Detroit with a lot less reliance on his scoring. He's coming towards the end.</t>
  </si>
  <si>
    <t>Allen is having his best year and popping off for Phoenix with their need for scorers. What him and Brooks is doing is pretty fake without Jalen Green, but still notable.</t>
  </si>
  <si>
    <t>Not much more upside for the Magic to extract from Da Silva, but as a rotation player, I think he's good and should have a 10+ year career in the NBA.</t>
  </si>
  <si>
    <t>McBride is a dawg and is suited to play big minutes on a funky Knicks bench. Not a ton of strong upside besides what he gets in big minutes.</t>
  </si>
  <si>
    <t>Sam Hauser doesn't have much true upside, but he is a good 3&amp;D player and can pop off for 9 3s now and again. He will cook for Boston this year for sure.</t>
  </si>
  <si>
    <t>Dort is a crucial piece to OKC as a defender and shooter. There's no big upside from here, but he's still pretty young and will remain a staple on this team.</t>
  </si>
  <si>
    <t>Richard stays high on my board for the impact he's been making on GSW as a rookie. Really like him moving forward.</t>
  </si>
  <si>
    <t>Huff is a really underrated rotation guy who has shown a lot of promise for fantasy this season. Indiana scooped him up as a possible starter. Lot of potential here.</t>
  </si>
  <si>
    <t>Gillespie inked a one-year deal to stick with the Suns this year. They lack true PG options, so he will play at least a little.</t>
  </si>
  <si>
    <t>Shead is still playing a small rotation well for Toronto and it's telling that he's still been given work even with how loaded they are. Good assists guy this deep.</t>
  </si>
  <si>
    <t>Keldon Johnson isn't a great fantasy player, but he has posted excellent value this year and feels much more defined in a role.</t>
  </si>
  <si>
    <t>Hendricks has struggled to earn minutes consistently. I think we can probably put this one to bed but there is still some hope if he can get there this year.</t>
  </si>
  <si>
    <t xml:space="preserve">Brandon Williams is on track to go from Silly Season star to legitimate role player for Dallas until Kyrie is healthy. Him and Ryan Nembhard will compete for minutes. </t>
  </si>
  <si>
    <t>I like Toppin as a rotation player. I don't think he's ever a full-time starter on a good team, but he does a lot of winning stuff for the Pacers in less minutes.</t>
  </si>
  <si>
    <t>AJ Green's role has expanded over the years, and hopefully, you aren't surprised that he's still shooting over 40% from 3 on higher volume. He's like that.</t>
  </si>
  <si>
    <t>Merrill is such a pure shooter and his shot is one of the cleanest I've ever seen. He will be one of a few guys working to replace Ty Jerome off the bench.</t>
  </si>
  <si>
    <t>There's a lot to like about Drake Powell with his athleticism and tools from North Carolina. There's a small chance he's Brooklyn's best player from this class.</t>
  </si>
  <si>
    <t>Kris Dunn is a solid rotation defender for LAC. Not much upside here but he's a good player and will stick around a little longer.</t>
  </si>
  <si>
    <t>Walsh is still young and needs some time, but the upside is still there in his physical tools. Curious if he can carve out anything in Year 3 and a lost year for the team.</t>
  </si>
  <si>
    <t>Traore has struggled early and clearly needs a lot of time to develop. He's been sent to the G League but Brooklyn really needs to give him real NBA minutes soon.</t>
  </si>
  <si>
    <t>We should've seen this coming. Nembhard has been playing a real role and is playing well. Will continue to monitor and see if he can keep this up.</t>
  </si>
  <si>
    <t>Krejci has been one of the more underrated role players in the NBA this year. I think the trade to Portland helps his fantasy value.</t>
  </si>
  <si>
    <t>Missi has started to get pushed out of NOLA's rotation after an intriguing rookie year. There is some hope if he's traded.</t>
  </si>
  <si>
    <t>We've seen Champagnie have some solid moments, but the previous overreliance on starting him is a sign he's probably best as a rotation player.</t>
  </si>
  <si>
    <t>.</t>
  </si>
  <si>
    <t>Jenkins is set to get a hefty payday this offseason if he does ultimately turn down standard deals from Detroit. He truly is the answer for the long-term backup PG role.</t>
  </si>
  <si>
    <t>There's something there with Gueye, and you see it all over the tape. I think he's got some intriguing upside that is worth buying on now.</t>
  </si>
  <si>
    <t>What's this? Tidjane Salaun starting to look like an actual NBA player? I'm still not holding out a lot of hope but we'll see where things go...</t>
  </si>
  <si>
    <t>Melton heads back to GSW and signs a deal following the Kuminga resolution. Could be a bit of a sneaky buy.</t>
  </si>
  <si>
    <t>It's getting close to over for Bub after the Wizards traded for Trae Young. He's going to need a huge blow-up ROS to save things for himself.</t>
  </si>
  <si>
    <t xml:space="preserve">Huerter has quietly been really good this season and made some real returns to his best years. </t>
  </si>
  <si>
    <t>We haven't seen a lot of Fleming just yet, but I anticipate he will get more opportunities over the next few months.</t>
  </si>
  <si>
    <t>McNeeley cracks the first round in a good situation in Charlotte. The fantasy game isn't amazing yet but he could really be maximized here.</t>
  </si>
  <si>
    <t>Jones chose to stay in Chicago with a new deal and has been killing it so far. Huge riser out of nowhere.</t>
  </si>
  <si>
    <t>I'm closely watching Asa Newell after some fiery games when he gets real minutes. Holding tight and buying if I can.</t>
  </si>
  <si>
    <t>Alvarado has good fantasy value for his minutes, but there's just not much upside for him unless there are injuries. There's a chance a trade lets him see more opportunity.</t>
  </si>
  <si>
    <t>Carter has struggled to get it going in NBA minutes since making his debut earlier in 2025. He'll need a little refining but the fantasy upside is still there.</t>
  </si>
  <si>
    <t>McConnell is one of the better, more consistently underrated bench players in the NBA. He fits the Pacers perfectly.</t>
  </si>
  <si>
    <t>There's some real upside with Post that Golden State could tap into. He's a good rotation piece and able to produce in limited minutes.</t>
  </si>
  <si>
    <t>Gradey Dick needs a trade to salvage his career at this point. He's just continued to struggle for Toronto.</t>
  </si>
  <si>
    <t>Mamu set an NBA record 34 points in 19 minutes. What can he do with the possibility of more run in Toronto? Time will tell.</t>
  </si>
  <si>
    <t>Valančiūnas has looked pretty steady as Sabonis' backup and the most competent of his time in Sacramento by far.</t>
  </si>
  <si>
    <t>Still crazy to think Royce O'Neale cost the Suns a first round pick with their current state of things. Good role player in general.</t>
  </si>
  <si>
    <t>I'm anticipating another trade for the Wizards at some point and Kispert's name is sure to draw a little interest. Not sure what to expect moving forward.</t>
  </si>
  <si>
    <t>Will Riley in Washington makes total sense when you look at what they value. I don't expect him to play a lot this year.</t>
  </si>
  <si>
    <t>Bona appears to be a current lock for Philadelphia's primary backup to Joel Embiid. He's looked sharp since early 2025.</t>
  </si>
  <si>
    <t xml:space="preserve">I expected much more from Furphy so far this year. I'm not giving up on him, but it is still concerning we've </t>
  </si>
  <si>
    <t>Kolek bag holders, take a lap. He's finally starting to figure it out and build on some good games over the last month.</t>
  </si>
  <si>
    <t>Smith is just a backup big at this point and does not carry much value, but if Vucevic is traded, he could be a Silly Season hero.</t>
  </si>
  <si>
    <t>Standard 3PT specialist stuff. We know what it is with Duncan Robinson. He's played well so far this year.</t>
  </si>
  <si>
    <t>After this year's terrible stint and a hip injury that knocks Beal out for the season, he may be cooked.</t>
  </si>
  <si>
    <t>The fit couldn't be better in Indiana and Kam is absolutely going to get opportunities to play. He's been out for the start of the season.</t>
  </si>
  <si>
    <t>Walker has been terrible this year despite plenty of open opportunities. He's likely traded at the deadline and could be an interesting 2nd team breakout guy.</t>
  </si>
  <si>
    <t>IJax has been playable this year recovering from his Achilles tear, but the fantasy game has not been impressive save for a few games.</t>
  </si>
  <si>
    <t>Whitmore fell out of favor in WAS and was diagnosed with DVT. Nowadays, this is not a big concern, but it is still worth noting that it could impact his career.</t>
  </si>
  <si>
    <t>Malik Beasley</t>
  </si>
  <si>
    <t>Beasley is reportedly set to sign with a team pretty soon while still being under investigation by the NBA for the gambling allegations.</t>
  </si>
  <si>
    <t>Vince has underwhelmed again this year. Cedric Coward and other guys have surpassed him.</t>
  </si>
  <si>
    <t>I'm not overwhelmingly confident that Ben Saraf will evolve into a good shooter long-term, but there is a lot to like as a big guard.</t>
  </si>
  <si>
    <t>Landale sticks around in the NBA as he signs a one-year deal with the Memphis Grizzlies. Not expecting anything but emergency depth at this rate.</t>
  </si>
  <si>
    <t>Julian's brother has been excellent with the Wizards this season. Really impressed by his hard work in securing a full-time NBA role.</t>
  </si>
  <si>
    <t>Lonzo Ball has been a bit of a trainwreck statistically this year. His inconsistency with CLE has hurt them. Still somehow within the top 220 per game according to BBM.</t>
  </si>
  <si>
    <t>DLo is on what might be his last chance to keep the career and name recognition standing. He took a 2-year, $12M deal with Dallas.</t>
  </si>
  <si>
    <t>For what it's worth, GTJ is shooting over 40% from 3 and continues to do that well. He's doing quite well for making pennies relative to other NBA vets.</t>
  </si>
  <si>
    <t>Bogi shook the rust off recently and looked good for the Clippers post-deadline. Beal coming in may hurt his opportunities but returning to 6MOY is not impossible.</t>
  </si>
  <si>
    <t>LeVert gets buckets and did just that for Atlanta. I'm curious how he fares for Detroit and what his role can look like.</t>
  </si>
  <si>
    <t>C/PF</t>
  </si>
  <si>
    <t>Timelord has been playing a little more recently, but by and large, he's unable to play large chunks of minutes due to his injury.</t>
  </si>
  <si>
    <t>DJJ has quietly been having the best year of his career before he went down with an injury in November. Expecting more of that once he's back.</t>
  </si>
  <si>
    <t>Middleton is reaching the end of his career. I expect him to be used as trade filler at the deadline or a possible buyout candidate for one last ride for a championship.</t>
  </si>
  <si>
    <t>Nothing Mann is doing is all that "real", but he is proving some value to Brooklyn and fantasy managers in deep leagues.</t>
  </si>
  <si>
    <t>Guerschon Yabusele</t>
  </si>
  <si>
    <t>What in the world happened with Yabusele this year after a big breakout season in Philadelphia?</t>
  </si>
  <si>
    <t>Charlotte has found a potential multi-year role player in Sion James who can play lots of minutes, but he's not posting much statistically.</t>
  </si>
  <si>
    <t>Despite having a good rookie season, Edwards has largely been on the outside looking in this year.</t>
  </si>
  <si>
    <t>Watford truthers, we are so back! Watford signed a 2-year deal with the 76ers and with Guerschon Yabusele gone, Watford could be an intriguing replacement option.</t>
  </si>
  <si>
    <t>Strus apparently still has a long recovery ahead of him with no timetable on his foot. We'll see what happens with him.</t>
  </si>
  <si>
    <t>Cole Anthony</t>
  </si>
  <si>
    <t>Anthony got flipped to Memphis and then bought out. He has a real opportunity available in Milwaukee. He just needs to beat out Kevin Porter Jr. and Ryan Rollins.</t>
  </si>
  <si>
    <t xml:space="preserve">I'm very high on Jaylen Clark's future. He's looked excellent in MIN's rotation and the fact that a stickler like HC Chris Finch trusts him is reason enough to buy in early. </t>
  </si>
  <si>
    <t>Mann re-signed as expected with Charlotte but feels a little buried with Collin Sexton and other guards in the mix.</t>
  </si>
  <si>
    <t>Larsson is kind of a jack of all trades/master of none rotation piece. Don't see a lot of upside for him but feels like he could stick around and earn a role in MIA.</t>
  </si>
  <si>
    <t>Scheierman's role remains very low with little to do. I expected way better out of him this year.</t>
  </si>
  <si>
    <t>GG Jackson is approaching a massive low point as he sits outside the Grizzlies' rotation. He's still extremely young and has upside to tap into.</t>
  </si>
  <si>
    <t>Horford is somehow still kicking and delivering on top 200 per game value. He'll turn 40 if/when the Warriors make the playoffs.</t>
  </si>
  <si>
    <t>I always liked Ben Sheppard, but he's been really bad this year. Hoping he bounces back later in the year.</t>
  </si>
  <si>
    <t>Broome has an appealing fantasy game that should pop with his playmaking, but it appears that Bona and Drummond are the primary backups for now.</t>
  </si>
  <si>
    <t>Barnes still has some juice even in San Antonio. We know what he is as a boring starter who can pop on occasion.</t>
  </si>
  <si>
    <t>Cody Williams is still struggling to earn real minutes with the Jazz. It might already be over but we'll see how this year goes for any signs of hope.</t>
  </si>
  <si>
    <t>PatWill robbed the Bulls blind on that contract. He looked surprisingly playable this year early but settles back into his normal self.</t>
  </si>
  <si>
    <t>Adams continues to play a small rotation role for Houston. He was a major playoff weapon last year and I expect a few big games based on the opponent this year.</t>
  </si>
  <si>
    <t>Richards is rumored to be a lower value trade target with teams in need of a center. He's not very good but he's got some fantasy juice.</t>
  </si>
  <si>
    <t>DFS is who he is, and that constitutes a good starter/high-minute rotation guy that's better IRL than for fantasy. He's expected to make his debut soon.</t>
  </si>
  <si>
    <t>I don't really expect Barnhizer to play much with how deep this roster is but the fantasy profile is intriguing. He's been killing it in the G League so far.</t>
  </si>
  <si>
    <t>Knecht hasn't wowed much aside from a few big pops. It's to be expected for the archetype. Not sure how much higher the upside is at this rate.</t>
  </si>
  <si>
    <t>THJ was left off of the last update due to error, but he's back now and playing a real role for the Nuggets.</t>
  </si>
  <si>
    <t>Ziaire Williams has been an interesting discovery by the Nets after he didn't work out in Brooklyn. Not expecting much after this season.</t>
  </si>
  <si>
    <t>As usual, Vukcevic continues to tease good fantasy play here and there. He deserves a way more consistent role.</t>
  </si>
  <si>
    <t>Bones has been playing legit minutes with Minnesota this year over Rob Dillingham. Still not sure he's all that good, but he is reviving his career in a big way.</t>
  </si>
  <si>
    <t>Mogbo has still yet to do much this year. I still have some hope for him but the better version of him (Collin Murray-Boyles) is the priority.</t>
  </si>
  <si>
    <t>Agbaji might sink more into the rotation with their additions and everyone healthy this year. Not expecting much from him. Very boring fantasy player.</t>
  </si>
  <si>
    <t>Brandon Clarke</t>
  </si>
  <si>
    <t>Brandon Clarke has once again suffered a calf injury and will miss at least 3 weeks. He may never be fully healthy again, unfortunately.</t>
  </si>
  <si>
    <t>Tyus Jones</t>
  </si>
  <si>
    <t>Tyus Jones has been downright awful this year. It's possible that this is his last year in the NBA as a full-time player.</t>
  </si>
  <si>
    <t>Strawther has basically fallen out of the Nuggets' rotation and remains to be seen if he returns.</t>
  </si>
  <si>
    <t>We're unlikely to see Cisse get much mileage until one of their centers is traded, but keep an eye on him. Fantastic per-minute stuff and the advanced numbers like him.</t>
  </si>
  <si>
    <t>Garza has been playing a backup role to Queta in Boston. He's far from ideal but playing fine enough.</t>
  </si>
  <si>
    <t>Thybulle was MIA essentially all year. Let's hope we see him soon and return to form as a strong defender this next year.</t>
  </si>
  <si>
    <t>Brook Lopez is coming up on the end of his career. He's been brutally bad for fantasy this year.</t>
  </si>
  <si>
    <t>It's been an unusual year for Buddy, who is having his worst 3PT shooting season ever so far. He may be close to the end.</t>
  </si>
  <si>
    <t>I like Simone as a rotation shooter. I could easily see him looking really good for Miami and could get a legit role with Haywood Highsmith out to open the season.</t>
  </si>
  <si>
    <t>One thing about BBall Paul? He's always going to have some random explosions per year and he's had a few for Detroit already.</t>
  </si>
  <si>
    <t>Klay's value is really only in the name at this point. He's about done after this year, I'd imagine.</t>
  </si>
  <si>
    <t>Mo Wagner was done for the season after an ACL tear. We should expect him to make a full recovery and return to form in Orlando this summer.</t>
  </si>
  <si>
    <t xml:space="preserve">AJ Johnson still has talent to tap into, but he's barely played aside from blowouts or miniscule stretches. </t>
  </si>
  <si>
    <t>Kelly Olynyk</t>
  </si>
  <si>
    <t>Kelly Olynyk used to command tanks, but he may be done doing that in San Antonio with Wemby leading the competitive Spurs.</t>
  </si>
  <si>
    <t>Spencer Jones' fantasy output has been very inconsistent, but hs's playing a lot of minutes right now. Continuing to monitor him.</t>
  </si>
  <si>
    <t>TJD is still playing very small, insignificant minutes for the Warriors despite doing well as a rookie.</t>
  </si>
  <si>
    <t>Sanders has been playing real minutes for the Clippers so far and has flashed some fantasy appeal.</t>
  </si>
  <si>
    <t>We're approaching the end for Mike Conley. He's starting to be phased out at large despite some good games and shooting over 40% from 3.</t>
  </si>
  <si>
    <t>I love the potential Watkins has in Washington. The defensive numbers translating from Summer League would be extremely exciting.</t>
  </si>
  <si>
    <t>John Tonje</t>
  </si>
  <si>
    <t>An interesting observation: John Tonje is currently averaging 50/40/90 splits on 17.1 PPG in the G League. Keep a very close eye on him.</t>
  </si>
  <si>
    <t>Amari Williams has been playing real well in the G League so far. He's currently averaging 5.2 assists in 29.3 minutes.</t>
  </si>
  <si>
    <t>It's been a struggle for Isaac this year, who is barely seeing the floor. I'd imagine he's fodder for trades down the stretch.</t>
  </si>
  <si>
    <t>Rocco needs a ton of time to keep developing, but early G League returns have been pretty good so far.</t>
  </si>
  <si>
    <t>Haywood Highsmith</t>
  </si>
  <si>
    <t>I expect Highsmith to be a potential cheap trade target for a contender as Brooklyn looks to liquidate veterans again.</t>
  </si>
  <si>
    <t>I like Karlo Matkovic and thought earning a real role was a possibility, but Troy Weaver cooked any chances of that by now.</t>
  </si>
  <si>
    <t>Josh Green has been incredibly underwhelming in Charlotte and just seems like a cardio role player. I question whether him or Sion James are better going forward.</t>
  </si>
  <si>
    <t>My sentiment that Walter is of little interest to me for fantasy remains the case - but he has had good NBA looks when the 3PT shot can fall.</t>
  </si>
  <si>
    <t>To me, Kennard is emblematic of a better IRL than fantasy guy. How much can he contribute this season for the Hawks?</t>
  </si>
  <si>
    <t>Both these Spencer brothers can really hoop! Pat has had some massive games for the Warriors this year.</t>
  </si>
  <si>
    <t>KJ Simpson</t>
  </si>
  <si>
    <t>Simpson has continued to play a good chunk of minutes, but the fantasy game is not all that strong.</t>
  </si>
  <si>
    <t>We know what Clarkson is by now: rough 9Cat player but money for points leagues. Should play a real role in NYK.</t>
  </si>
  <si>
    <t>Bagley will forever be known as the guy drafted before Luka Doncic. He's still not very good but he's doing a little for the Wizards still.</t>
  </si>
  <si>
    <t>Capela's reign in Atlanta ends and he returns to Houston on a contract that feels primed for trade filler if he doesn't play much.</t>
  </si>
  <si>
    <t xml:space="preserve">I'm very skeptical of YKN and knowing that LAC has burned fantasy owners before by not playing their youngsters makes me want to avoid Niederhauser. </t>
  </si>
  <si>
    <t>Dadiet is a great investment for a multi-year rebuild. Could he be a good piece in a few years if the Knicks get priced out of bench guys?</t>
  </si>
  <si>
    <t>One of the brothers of Jrue Holiday. Actually still decent when he does get the minutes here and there.</t>
  </si>
  <si>
    <t>Blake Wesley</t>
  </si>
  <si>
    <t>Wesley has failed to do much of anything at the NBA level to date, and he ends up in Portland to ride the bench.</t>
  </si>
  <si>
    <t>Miller still has a ways to go to be a full-time NBA guy. It's shocking how terrible his defense is for his size and physical traits. It'll take a trade to jumpstart things.</t>
  </si>
  <si>
    <t>Tyrese Martin</t>
  </si>
  <si>
    <t>Martin has stuck around in Brooklyn and keeps playing a role (for some reason). Good very deep league end of bench guy.</t>
  </si>
  <si>
    <t>Troy Weaver and his fetish for centers brought Kevon Looney into town. Don't know how much he plays alongside Queen, Missi and others.</t>
  </si>
  <si>
    <t>Ighodaro may play some spot minutes here and there, with Phoenix added two centers this offseason. I don't see Oso making a big case moving forward.</t>
  </si>
  <si>
    <t>Most of us knew that Hayes isn't really an NBA-caliber player and stunk in the playoffs. The Lakers will replace him as a starter with Ayton.</t>
  </si>
  <si>
    <t>Howard's still been inconsistent, but when the shot falls, it looks very good. He barely played last season and will be looking for a role this season.</t>
  </si>
  <si>
    <t>Tyler Smith</t>
  </si>
  <si>
    <t xml:space="preserve">I still buy Tyler Smith's upside. Milwaukee has almost no real young NBA up and comers with potential on the roster past him. </t>
  </si>
  <si>
    <t>Barlow returns to my ranks again. He's playing occasional minutes for Philly but I don't see much long-term upside as a full-time NBA player.</t>
  </si>
  <si>
    <t>Svi has not only been servicable for Utah this year but also looked better than average.</t>
  </si>
  <si>
    <t>I think there's a real possibility Kris Murray might not stick in the NBA. Portland was the wrong place for him. He's struggled to shoot from 3.</t>
  </si>
  <si>
    <t xml:space="preserve">Collins has had some fine fantasy play in the past few years, but he's about done once his contract is up next summer. </t>
  </si>
  <si>
    <t>Martin is smaller and lacks high-end skills, but his energy and pure athleticism is solid. He's playing well for the 905 Raptors right now.</t>
  </si>
  <si>
    <t>Peavy has the size, potential shooting, and fundamental skills to overcome limitations. Could be an intriguing sleeper depending on if NOLA has injuries</t>
  </si>
  <si>
    <t>Chris Paul</t>
  </si>
  <si>
    <t xml:space="preserve">It's about over for CP3 at this point. He's playing very few minutes in LAC and is now waived. </t>
  </si>
  <si>
    <t>Dieng is surely getting traded to a rebuilder at the deadline. I'm interested if he could be a second team revival guy.</t>
  </si>
  <si>
    <t>PJ Hall</t>
  </si>
  <si>
    <t>PJ Hall has bounced from the Hornets to Grizzlies and come back to the Hornets this week. Still hoping he could emerge at some point.</t>
  </si>
  <si>
    <t>Bronny has not played much this year to the surprise of almost no one. Still might be worth watching.</t>
  </si>
  <si>
    <t>Caleb Martin has barely played and been bad when he has for Dallas. Meanwhile, Quentin Grimes has looked very, very good. Another masterful gambit, Nico Harrison.</t>
  </si>
  <si>
    <t>Mason Plumlee</t>
  </si>
  <si>
    <t>Plumlee is still chugging along and might actually end up starting in Charlotte come opening night. Wild to say that in 2025.</t>
  </si>
  <si>
    <t>Okogie's fine for what he is as a defensive-minded wing in low minutes. He's a vet minimum player without much fantasy upside.</t>
  </si>
  <si>
    <t>Sims is just an athlete and nothing more. Great bounce but not much skill. The Bucks are pretty rough depth wise, so maybe he gets some real looks this year.</t>
  </si>
  <si>
    <t>Pretty average rotation guy in general, but Prince gets good minutes in Milwaukee due to their bench. He's a good value this deep.</t>
  </si>
  <si>
    <t>Jalen Pickett</t>
  </si>
  <si>
    <t>Pickett seemed to figure some things out at points this year. I don't think he's going to play a ton this year and I'm curious what he does with Bruce Brown here.</t>
  </si>
  <si>
    <t>Kind of amazed that Jalen Wilson has made it this long in the NBA - AND done a great job as a role player.</t>
  </si>
  <si>
    <t>Hukporti is just emergency depth right now without a whole lot of upside. I'm concerned about his lower body holding up.</t>
  </si>
  <si>
    <t>Hardy stuck around in Dallas on a cheap 3-year deal this past summer. He's a strong scorer with very little else to offer. He's like Cam Thomas (derogatory).</t>
  </si>
  <si>
    <t>Kobe Bufkin</t>
  </si>
  <si>
    <t>Bufkin has floated around the league so far. He's now in Brooklyn after bouncing around the Grizzlies and Lakers after the Nets cut him once.</t>
  </si>
  <si>
    <t>Keshad Johnson</t>
  </si>
  <si>
    <t>Maybe Johnson can still be something in Miami. Never fully count out an undrafted guy on an Erik Spoelstra-led team.</t>
  </si>
  <si>
    <t>Not sure if Rupert is ever going to be a full-time NBA player, but he was really sharp this summer and has always shown flashes.</t>
  </si>
  <si>
    <t>Duop Reath</t>
  </si>
  <si>
    <t>We hoped Reath would be traded, but no such luck. We need to hope he can find a new home to unlock the potential.</t>
  </si>
  <si>
    <t>Kenny Hustle plays a good low-minute role on OKC and does a nice job with the opportunity. He's not a very strong fantasy player but he can do a bit of everything.</t>
  </si>
  <si>
    <t>Jordan Miller is a downright Summer League superstar. Can he secure some real/consistent NBA minutes at some point? He needs to leave the Clippers.</t>
  </si>
  <si>
    <t>Ben Simmons</t>
  </si>
  <si>
    <t>PG/PF</t>
  </si>
  <si>
    <t>Simmons is still a free agent. No idea where he ultimately signs, but I think it feels clear that we're never getting the return of a fantasy superstar.</t>
  </si>
  <si>
    <t>Xavier Tillman</t>
  </si>
  <si>
    <t>Tillman has some experience with Mazzulla and their center depth is bad. He might get some run but I'm not expecting much.</t>
  </si>
  <si>
    <t>Thomas Bryant has been playing spot big minutes for the Cavs this year. Not a very good player but he can get the stats flowing sometimes.</t>
  </si>
  <si>
    <t>Georges Niang</t>
  </si>
  <si>
    <t>Niang is still out due to a foot injury. We're waiting on some news to see if he'll be back soon. He could be a tanking production guy.</t>
  </si>
  <si>
    <t>Jabari Walker</t>
  </si>
  <si>
    <t>It's really odd to me that Jabari Walker couldn't get a real contract this offseason. Still, I like the chance he has to push for a role in Philly. Think he's solid as a role player.</t>
  </si>
  <si>
    <t>Nance returns to Cleveland to the excitement of Cavs fans everywhere. They finally have a third big to lean on if Mobley and Allen are hurt.</t>
  </si>
  <si>
    <t>Dalen Terry</t>
  </si>
  <si>
    <t>Terry hasn't done much to really excite at the NBA level. He's just not been able to contribute much of anything even in a rebuild.</t>
  </si>
  <si>
    <t>Jamison Battle</t>
  </si>
  <si>
    <t>Battle is quite good for an undrafted free agent. I doubt he's much more than a deep bench shooter for his career.</t>
  </si>
  <si>
    <t>Plain and simple: I don't think Sasser has it as an NBA player. He can be a good scorer, but he can't do much else and he's small.</t>
  </si>
  <si>
    <t>SloMo's not very good for fantasy at this point. Hard to see a strong path to minutes for him for the long haul.</t>
  </si>
  <si>
    <t>Dru Smith has looked OK in limited moments for the Heat. Not expecting much of a role moving forward.</t>
  </si>
  <si>
    <t>John Konchar</t>
  </si>
  <si>
    <t>Konchar is a fun role player when he gets looks, but he's really just filler for Memphis at this point for trades. I'm always hopeful seeing him get looks for emergency depth.</t>
  </si>
  <si>
    <t>Nigel Hayes-Davis</t>
  </si>
  <si>
    <t>A former Euroleague MVP returns to the NBA with a much-improved game and a wide-open shot on the Suns. Don't expect a Yabu-like year but could be interesting.</t>
  </si>
  <si>
    <t>Toohey has been waived by the Warriors following the announcement he would be out for the season. Still think there's an NBA player here.</t>
  </si>
  <si>
    <t>Dillon Jones</t>
  </si>
  <si>
    <t xml:space="preserve">Dillon Jones has been waived and traded in the G League so many times that it's hard to keep track. </t>
  </si>
  <si>
    <t>Kevin Love</t>
  </si>
  <si>
    <t>Kevin Love is well out of his prime and will keep on trucking with Utah until his contract is up.</t>
  </si>
  <si>
    <t>Bouyea has played limited minutes for the Suns and had a few moments here and there.</t>
  </si>
  <si>
    <t>Chris Boucher</t>
  </si>
  <si>
    <t xml:space="preserve">Boucher is still trucking with BOS, but opportunities have been far and few between so far. </t>
  </si>
  <si>
    <t>Nick Smith Jr.</t>
  </si>
  <si>
    <t>I understand people being higher on Smith for his good streak with all the injuries, but I'm not all that convinced. He signed a two-way deal with the Lakers.</t>
  </si>
  <si>
    <t>Lachlan Olbrich</t>
  </si>
  <si>
    <t>Chicago isn't exactly deep with talent at center, and with Olbrich coming right over to the league, he could earn a role in the long haul. He's got good touch around the rim.</t>
  </si>
  <si>
    <t>Keaton Wallace</t>
  </si>
  <si>
    <t xml:space="preserve">Wallace has found a niche in Atlanta in their deep rotation. Fun player but doesn't get many opportunities. </t>
  </si>
  <si>
    <t>Bogo is about 2-3 years away from being an NBA player and will stay overseas as a stash, so I don't see him being worth an early 2nd round pick in rookie drafts at all.</t>
  </si>
  <si>
    <t>Nicolas Batum</t>
  </si>
  <si>
    <t>Batum is near the end of his career and only of real value to deep-league contenders. We know what he's all about.</t>
  </si>
  <si>
    <t>Keon Johnson</t>
  </si>
  <si>
    <t>I don't know what the future is for Keon Johnson with the Nets with their recent additions. He has looked like an OK player for stretches.</t>
  </si>
  <si>
    <t>Johnny Juzang</t>
  </si>
  <si>
    <t>Juzang is a ridiculous hooper. He's managed to hang around for a bit and I think he will continue to do so.</t>
  </si>
  <si>
    <t>Julian Phillips</t>
  </si>
  <si>
    <t>Phillips has some juice to be a real NBA player at some point. He's got some athletic pop, he can rebound, he can defend well, but he's not a shooter.</t>
  </si>
  <si>
    <t>Malaki Branham</t>
  </si>
  <si>
    <t>Branham is still young, but I think he's unfortunately just a bust that won't stick around in the NBA much longer.</t>
  </si>
  <si>
    <t>Isaac Jones</t>
  </si>
  <si>
    <t>The thing about Isaac Jones is he just can't shoot 3s, but he was dominant at Summer League and one of the best players out there. Is any of this possibly real?</t>
  </si>
  <si>
    <t>Nikola Djurisic</t>
  </si>
  <si>
    <t xml:space="preserve">Djurisic is still a ways away from ever contributing in the NBA unless he can shoot it, but he showed some good ballhandling chops this summer. </t>
  </si>
  <si>
    <t xml:space="preserve">Taelon Peter is a statistically elite sharpshooter from range and could have some very under-the-radar upside on a team without a lot to play for this year. </t>
  </si>
  <si>
    <t>Gabe Vincent</t>
  </si>
  <si>
    <t>Gabe Vincent was downright terrible for the Lakers last season when he did play, which wasn't much. This season, he seems to be figuring things out.</t>
  </si>
  <si>
    <t>It remains to be seen if and when Nunez ever comes over. He has had some concerning knee injuries recently that I'm keeping an eye on.</t>
  </si>
  <si>
    <t>Branden Carlson</t>
  </si>
  <si>
    <t>Carlson has had a great start to his NBA career with a bunch of 10-day contract stints. I think he'll hang around the NBA for a while.</t>
  </si>
  <si>
    <t>OMax has surprised us in actually getting reps this year after largely underwhelming. I don't think he's an NBA player, unfortunately.</t>
  </si>
  <si>
    <t>Amir Coffey</t>
  </si>
  <si>
    <t>Coffey has had some genuinely good moments in the NBA before, but he's just an emergency depth guy for Milwaukee at this point.</t>
  </si>
  <si>
    <t>Bobi Klintman</t>
  </si>
  <si>
    <t>Bobi has some interesting fantasy flashes with his passing touch, but I just don't think he has the juice to be an NBA difference-maker.</t>
  </si>
  <si>
    <t>Cam Christie</t>
  </si>
  <si>
    <t>The younger brother of Max Christie, and unfortunately, he plays in the LA team that refuses to play their young talent.</t>
  </si>
  <si>
    <t>Caleb Houstan</t>
  </si>
  <si>
    <t>Houstan could have a sudden shot at earning a role in Orlando. I'm not all that confident at this point but when teams lose depth, anything is worth looking at.</t>
  </si>
  <si>
    <t>Dante Exum</t>
  </si>
  <si>
    <t>Injuries have derailed Exum last year and this year as he undergoes knee surgery. This could be the end of a nice NBA resurgence.</t>
  </si>
  <si>
    <t>Andre Jackson Jr.</t>
  </si>
  <si>
    <t>Andre Jackson Jr. is a back-end rotation guy and nothing more at this point. Good defender and passer but a bad scorer.</t>
  </si>
  <si>
    <t>Bol Bol</t>
  </si>
  <si>
    <t>Bol Bol remains unsigned and gets to keep hanging with Carti and getting fits off. He might be better at that than basketball at this point.</t>
  </si>
  <si>
    <t>Age (11/21/25)</t>
  </si>
  <si>
    <t>Jokic is still dominating at a high level. He's 30 now but his game will age like fine wine. Averaging anything close to a triple double is par for the course at this point.</t>
  </si>
  <si>
    <t>Luka continued to show why he's an absolute superstar with the Lakers. I expect a lot of sparks this year even though the Lakers' position looks rough right now.</t>
  </si>
  <si>
    <t>Flagg has looked as advertised despite some normal rookie struggles and he'll keep getting better quickly. Expect him to remain a consensus T10 player.</t>
  </si>
  <si>
    <t>Cade has officially ascended last year. Hope you bought in when he was closer to 15-20 than 5. He has a winning team around him and actively makes his guys better.</t>
  </si>
  <si>
    <t>Ant takes yet another step up this year with KAT's departure. He's gotten better and better every year. Crazy he's doing this and won't be 24 until this summer.</t>
  </si>
  <si>
    <t>JDub has started out slow following his return from wrist surgery. I expect he'll climb back up in time, but he remains a top 15 asset for me.</t>
  </si>
  <si>
    <t>Sengun has taken another step. If he can keep on hitting 3s, this is going to do amazing things for his value. I slightly underestimated how him, Amen and KD mesh.</t>
  </si>
  <si>
    <t>I think it's fair to say Mobley has been underwhelming to start this season. I think he'll level out well and finish as an All-Star/All-NBA player, but he's very far from an MVP.</t>
  </si>
  <si>
    <t>Haliburton suffered a devestating Achilles injury in game 7 of the NBA finals. Like Tatum, I'm in no rush to trade him and would be buying low if anything.</t>
  </si>
  <si>
    <t>Tatum has already been progressing quickly through his Achilles recovery. There is a real chance he plays at the end of the year if BOS is in playoff position.</t>
  </si>
  <si>
    <t>Cam Boozer looks the part of an elite-level fantasy basketball player with how he stuffs the stat sheets. He's leaped Peterson as my 1.01 within the same tier as 1.02.</t>
  </si>
  <si>
    <t>Peterson was my 1.01 for a bit, but that has since changed. I expect this to be a toss-up between the two in dynasty leagues a few months from now.</t>
  </si>
  <si>
    <t>Barnes has continued to step it up in the fantasy game this year. He's been very efficient and converting well on 3s again.</t>
  </si>
  <si>
    <t>The entire Magic squad has struggled this year. I think they may be best suited with Wagner as their 1A.</t>
  </si>
  <si>
    <t>Trae Young has returned to the Hawks lineup. So far, they've not looked as good with him in the mix.</t>
  </si>
  <si>
    <t>Mitchell has been having a fantastic start to his season with Cleveland. Is there a chance they trade Garland at some point fairly soon?</t>
  </si>
  <si>
    <t>Surprisingly, Reaves has been excellent with Luka and is such a clear impactul and winning player. What a find by the Lakers.</t>
  </si>
  <si>
    <t>Booker hasn't had the best year so far relative to his ADP and value. He may start to drop further as he's coming up on 30 stuck in the same situation in Phoenix.</t>
  </si>
  <si>
    <t>Brunson has seen some marginal changes with more pieces coming in. All to be expected and he's still in his absolute prime.</t>
  </si>
  <si>
    <t>Harper has been fantastic starting out. I think it's clear by now that he, Fox and Castle can coexist even if usage gets a little hairy.</t>
  </si>
  <si>
    <t>Dybantsa doesn't have as great of a fantasy game as Peterson or Boozer, but make no mistake: the potential here is also capital E Elite without any doubt.</t>
  </si>
  <si>
    <t>Avdija is stamped as legit and he's Portland's best player moving forward. This year will be his first All-Star appearance.</t>
  </si>
  <si>
    <t>Ball's health remains a question, and now with Kon Knueppel on the rise, it's clear that he could be on his way out as the franchise player.</t>
  </si>
  <si>
    <t>I realize that this might be an overreaction to drop him like this, but I'm still unimpressed by Banchero's fantasy game and he's had some real struggles this year.</t>
  </si>
  <si>
    <t>There is a world where KAT is traded in a Giannis-esque deal. The Knicks need to win and he raises some questions there.</t>
  </si>
  <si>
    <t>Sarr has taken some massive steps this year and has a way cleaner profile for fantasy. He's playing extremely well for still being 20.</t>
  </si>
  <si>
    <t>After some initial struggles, Muprhy has rebounded and continues to play at a very high level.</t>
  </si>
  <si>
    <t>Duren impressed me in the playoffs after being down on him for a bit now. I think we've pretty much averted timeshares and Detroit trading for another guy by now.</t>
  </si>
  <si>
    <t>Both Garland and Mitchell have struggled a bit in fantasy recently. Once again, injuries have been an issue and will keep Garland out for a little bit.</t>
  </si>
  <si>
    <t>Harper and Castle are making the conversation around Fox interesting. He is still their second best player, but for how long will that hold true?</t>
  </si>
  <si>
    <t>JJJ hasn't started this season well, but I chalk that up to Memphis being a trainwreck in general. He'll be fine long-term.</t>
  </si>
  <si>
    <t>Murray has been great so far this year with the shuffling of pieces in the frontcourt around Jokic. Could this be the year he makes an All-Star team?</t>
  </si>
  <si>
    <t>Bam and Ware have found good ways to coexist. With Herro out, I expect Bam to put up strong numbers for a bit.</t>
  </si>
  <si>
    <t>Jaylen Brown will see a temporary bump going forward with Jayson Tatum out for the entirety of next year. We'll get our first extended look at Brown as the leading man.</t>
  </si>
  <si>
    <t>Just as we predicted, Kon has been an important piece for Charlotte and has shown a way stronger fantasy profile than others thought.</t>
  </si>
  <si>
    <t>Herro has had a big year despite the many Miami antics. He will miss some time to start the 2025-2026 season.</t>
  </si>
  <si>
    <t>Once again, Sabonis is chugging along as a stellar fantasy guy. He and Zach LaVine are the current, yet unideal, leaders of whatever Sacramento's post-Fox future is.</t>
  </si>
  <si>
    <t>AD and Cooper Flagg are going to be a dangerous duo. I expect AD will have a red-hot 1st half of 2025-2026 with Kyrie recovering.</t>
  </si>
  <si>
    <t>Edgecombe is the obvious top 3 pick in dynasty at this point. He's an electric athlete and two-way player that has the juice to be a great player in Philly.</t>
  </si>
  <si>
    <t xml:space="preserve">Orlando shocked the world by landing Bane. I really like the deal for ORL and don't think it's too big of a decrease for Bane. </t>
  </si>
  <si>
    <t>I'm not terribly worried about Lauri despite a down season and his worst one in Utah to date. He's still going to be a good player long-term and was great at EuroBasket.</t>
  </si>
  <si>
    <t>KD is the very obvious best player on a team for the first time in a while and has a few more years of very high-end production. Things will look interesting with FVV out.</t>
  </si>
  <si>
    <t>Harden had his best scoring season in years. He's still got plenty of gas left in the tank with the Clippers.</t>
  </si>
  <si>
    <t>I've been way too low on Edey dating back to his draft cycle, so I need to course-correct. This dude is so good and has a lot more fantasy dominance to come.</t>
  </si>
  <si>
    <t>Steph Curry is still Steph Curry even at age 37, but there have been a lot of times he's looked human recently. Hold and enjoy the rest of the ride.</t>
  </si>
  <si>
    <t>Zubac is great for dynasty and redraft, and I was a bit slow to react to market value in my last few updates. Very consistent.</t>
  </si>
  <si>
    <t>Caleb Wilson is my current 1.04 and has a lot of juice to his fantasy game. Will need time to develop more on offense but has a ton of potential.</t>
  </si>
  <si>
    <t>Flemings is well on the path to being a top 5 pick in real life and dynasty drafts. Fantastic stastical profile.</t>
  </si>
  <si>
    <t>Siakam has been great for the Pacers as we expected. This next year without Tyrese Haliburton is going to be a huge one for contenders that have him.</t>
  </si>
  <si>
    <t>Early returns have been nice on Castle despite loads of turnovers. I expect this to adjust when Fox returns and he can settle into a different role.</t>
  </si>
  <si>
    <t>Daniels was a stocks god this past season. His upside feels pretty awesome with the Hawks and he rightfully earned MIP this year. Is he a sell high at this price? TBD.</t>
  </si>
  <si>
    <t>Queen has flashed very, very high potential so far in his rookie season. He could be a quick riser this year.</t>
  </si>
  <si>
    <t xml:space="preserve">Some recent remarks by Spoelstra on Ware's effort and motor have me concerned about this issue dating back to college, but he has a lot of really strong potential. </t>
  </si>
  <si>
    <t>Zion absolutely needs to stay healthy in 2025-2026 with the potential to easily have the best season of his career so far.</t>
  </si>
  <si>
    <t>Ausar has continued to struggle progressing on offense. He's still got loads of great upside and is a fantastic defender, but we need to be careful moving forward.</t>
  </si>
  <si>
    <t>In the last month of the season, Okongwu was 19th in per-game fantasy value (BBM). I'm curious how he and Porzingis split time.</t>
  </si>
  <si>
    <t>Hartenstein took the step up with Holmgren out for so long and will take some slight hits, but it's clear he's vastly important to this OKC squad.</t>
  </si>
  <si>
    <t>Derrick White has continued to be excellent in Boston. Expecting a big year next to Jaylen Brown in 2025-2026.</t>
  </si>
  <si>
    <t>Mikal is still Mikal even as he climbs up there in age. He's on a great start and having his best fantasy stretch since his 2022-2023 Nets run.</t>
  </si>
  <si>
    <t>I'm not totally sure how I feel about Ace Bailey for fantasy, but I think I feel a lot better now knowing he's in Utah and has the opportunity to be their best player eventually.</t>
  </si>
  <si>
    <t>Kessler suffers a brutal season-ending injury just a few games in. Really tough situation for him looking at a new contract and Utah using him as a trade chip.</t>
  </si>
  <si>
    <t>In a sink or swim season, Scoot will miss a massive chunk of the 1st half of 2025-2026. This may throw a massive wrench in his development.</t>
  </si>
  <si>
    <t>If Ingram can stay healthy this year, he could be in for a monster year in Toronto. I'm liking the early returns from a fantasy perspective.</t>
  </si>
  <si>
    <t>JQ is one of the best defensive prospects we've seen come into the league in a bit. Very exciting potential if the offense can mature and he recovers from his ACL tear.</t>
  </si>
  <si>
    <t>Allen might not be the most ideal top-50 asset given Mobley's ascension, but hey, you know what to expect and he's a firm starter for years to come. Sneakily still young.</t>
  </si>
  <si>
    <t>George has absolutely exploded in the first few weeks of the season. I need to see more to go higher, but he is one of the biggest risers of the season so far.</t>
  </si>
  <si>
    <t>On the year, Quickley has been playing well but can sometimes be a FG% killer. He seems to be locked into TOR moving forward.</t>
  </si>
  <si>
    <t>Turner has been disappointing early on despite plenty of opportunity. MIL is running out of options.</t>
  </si>
  <si>
    <t>McDaniels continues to flash fantasy upside as he gets better. He's made some big steps this year even if some of it isn't as sticky.</t>
  </si>
  <si>
    <t>Suggs needs to stay healthy to keep Orlando within reach of a title in 2025-2026. The shooting is coming back around but he's not scoring as much.</t>
  </si>
  <si>
    <t>I still remain hopeful for Coby if he can be traded to a decent team soon. He's had ups and downs this year and it makes you wonder about his long-term value.</t>
  </si>
  <si>
    <t>Clingan is immensely talented as a defender, but he needs work on the offensive side of the ball. Still a very valuable center asset.</t>
  </si>
  <si>
    <t>Availability has remained a slight concern, but the fact is that Eason is a fantasy machine and gets it done in a 25 MPG role.</t>
  </si>
  <si>
    <t>Randle has rebounded to his old self in Minny. Some of his stuff (especially the assists) is a little fake but the scoring is back.</t>
  </si>
  <si>
    <t>Mark Williams was traded to the Suns during the draft. Still have some concerns about his health and durability but heavy opportunities will remain.</t>
  </si>
  <si>
    <t>If Cam Thomas were to leave Brooklyn, MPJ is their best scorer by a long shot. He's not a very strong 9Cat player and never will be.</t>
  </si>
  <si>
    <t>McCain's injuries to date probably have him a bit lower on a lot of other dynasty ranks, but I am still very high on him. He had an incredible start to his career.</t>
  </si>
  <si>
    <t>Poeltl had himself a career year and he finally got paid. This is full commitment in him for this Toronto iteration. Don't expect a trade anytime soon.</t>
  </si>
  <si>
    <t>The most hot and cold player of dynasty basketball these last few years. What do I even say about him at this point? Curious to see how he fares in Phoenix.</t>
  </si>
  <si>
    <t>I've been a bit underwhelmed again by Sharpe, who just doesn't possess much of a fantasy game and hasn't played all that well relative to his top-5 usage in the NBA.</t>
  </si>
  <si>
    <t>Poole's value and fantasy output continues to drop in New Orleans. He's not likely to ever return to being a top 80 or higher guy.</t>
  </si>
  <si>
    <t>Claxton is sure to improve moving forward, but the threat of moving on from him this season is still very real.</t>
  </si>
  <si>
    <t>Naz Reid has struggled this season. I do expect him to bounce back but it wouldn't be surprising to see him traded at the deadline.</t>
  </si>
  <si>
    <t xml:space="preserve">Like Bailey, Tre Johnson has a game more for points leagues. He's arguably the best shooter in this class and might have more to his game than we expect. </t>
  </si>
  <si>
    <t>Kristaps Porzingis continues to suffer from POTS and will be out for a few weeks at minimum. It does make you wonder if retirement is on the table soon.</t>
  </si>
  <si>
    <t>Rollins has unfortunately taken more of a hit with KPJ than I expected. Not panicking yet but I think we see MIL reach more of an equilibrium soon.</t>
  </si>
  <si>
    <t>Demin has a lot of fantasy upside when considering his archetype. He's been shooting 3s very well to start the season.</t>
  </si>
  <si>
    <t>Smith's fantasy appeal and upside is so clear, but he's really struggled with inconsistency at times. He will start next to KD this year.</t>
  </si>
  <si>
    <t>PJ Washington has been playing well in Dallas, but there's a real logjam right now with him, AD, Gafford and Lively still here.</t>
  </si>
  <si>
    <t>Nembhard has been a solid find by Indiana and had a fantastic playoff stint. He'll be put under a microscope this year starting without Haliburton.</t>
  </si>
  <si>
    <t>LeBron's still going, somehow. Father Time has started catching up with him and his back, but it's all likely downhill from here if he keeps playing another few years.</t>
  </si>
  <si>
    <t>Braun has looked sharp again when he has played this year. He's missed some time already and should hopefully return early in 2026.</t>
  </si>
  <si>
    <t>Camara has become one of my personal favorite role players in the NBA. Pretty solid fantasy game. I can see a very long and successful NBA career coming his way.</t>
  </si>
  <si>
    <t>CMB is a fantastic defensive prospect and has the makings of a possible star player if he can overcome the lack of shooting. Great fantasy game even without that.</t>
  </si>
  <si>
    <t>Despite some awful performances in the playoffs, Hart has been strong as a do-everything, super-role player for the Knicks.</t>
  </si>
  <si>
    <t>At 36, Jimmy is still chugging, but I don't expect a lot of availability this year in the regular season. Same as it ever was.</t>
  </si>
  <si>
    <t>He was the best rim protector of his class and it's translated over well. Kalk's been posting absurd FG% numbers. He's locked in as CHA's starter.</t>
  </si>
  <si>
    <t>Aldama has taken some big steps this past year and I'm pretty high on his future for fantasy purposes. He got a good payday this summer.</t>
  </si>
  <si>
    <t>Perhaps the biggest risk-reward of this class, Malauch is a high-end big prospect. He needs a lot of work and managers should be very, very patient.</t>
  </si>
  <si>
    <t>Mitchell has been fantastic to start the season. Yes, it has come with Jalen Williams out and others missing time here and there, but I think this is largely sustainable.</t>
  </si>
  <si>
    <t>Black has been on fire recently with some big games and a steady role. Very important to ORL's rotation going forward.</t>
  </si>
  <si>
    <t>Kuminga returns to GSW on a two-year deal with a player option. He's likely traded at the deadline. Fantasy game and role is still undefined.</t>
  </si>
  <si>
    <t>It feels like Cason Wallace's upside is zapped in the short term with Alex Caruso, Nikola Topic and Ajay Mitchell coming in, but I still like him enough long-term.</t>
  </si>
  <si>
    <t>Murray suffered a brutal Achilles tear. At age 29, it's fair to wonder if he'll ever be the same player again, but we'll see what happens when he returns in early 2026.</t>
  </si>
  <si>
    <t>Barrett continues to score well in Toronto and is still younger than you'd think, but he's not much of a fantasy player unless you're in points leagues.</t>
  </si>
  <si>
    <t>Gordon started off the year on fire, but has since missed some time. We expect to see him early in 2026 again.</t>
  </si>
  <si>
    <t>I think Bilal is done as far as any higher level outcomes. He's continued to regress offensively and will likely be a defense-first role player for his career.</t>
  </si>
  <si>
    <t>This October, Sam Presti said Topic is undergoing treatment for testicular cancer. He will be out for the foreseeable future. Our thoughts are with Topic during his recovery.</t>
  </si>
  <si>
    <t>Gafford has struggled this year even when healthy and the logjam at center continues to be an issue for Dallas.</t>
  </si>
  <si>
    <t>NAW has blossomed in Atlanta and looks like a pivotal piece moving forward. He's on a strong rise if this keeps up.</t>
  </si>
  <si>
    <t>Paul George's dynasty value is getting considerably low, but his output has been pretty good this year.</t>
  </si>
  <si>
    <t>Collins has not been as good in LAC, but he might get a hot few weeks coming up with Ivica Zubac out.</t>
  </si>
  <si>
    <t>Rudy Gobert hasn't wowed early on and it does make you wonder if the decline is in full motion this season.</t>
  </si>
  <si>
    <t>Is Jaime Jaquez coming back into the rookie year version of himself? He's been very, very good starting out this season.</t>
  </si>
  <si>
    <t>As per usual, Powell is primarily a scorer and doesn't contribute a lot else, but he's been delivering standout per game value this year.</t>
  </si>
  <si>
    <t>Since returning from injury, I've largely been unimpressed by Jaden Ivey. A trade elsewhere is probably best for both parties at the deadline.</t>
  </si>
  <si>
    <t>Donte continues to be a staple in Minnesota with their lack of a true point guard. He's a key shotmaker.</t>
  </si>
  <si>
    <t>Jerome has yet to make his Memphis debut. We hope he can come back and secure a large role immediately.</t>
  </si>
  <si>
    <t>The older Gobert gets, the more I'm chomping at the bit for Beringer. Have not loved Gobert's and Reid's play, so there could be something big here if you're patient.</t>
  </si>
  <si>
    <t>I'm a big Tyson guy long-term. He can stuff the sheets when he gets the minutes. I'm buying him anywhere I can get him for the long haul.</t>
  </si>
  <si>
    <t>It's been said to death already, but Keon Ellis not getting legitimate playing time on a team as bad as the Kings is a cardinal sin. He'll get good mileage elsewhere.</t>
  </si>
  <si>
    <t>Hunter is in a lower usage role in Cleveland to be their 5th starter. Still not much of a fantasy player but it's been better than recent years.</t>
  </si>
  <si>
    <t>I hate even having KPJ in these ranks at all. Bad fantasy player, even worse person, but the situation in Milwaukee is getting more interesting.</t>
  </si>
  <si>
    <t>Moussa has been splitting time with Kalkbrenner at center and has played well. Still, it's clear that the future starter here is Kalkbrenner.</t>
  </si>
  <si>
    <t>Watson is a solid all-around player who will be a long-term staple for Denver. I don't know that I see a ton more to unlock offensively.</t>
  </si>
  <si>
    <t>Bub still has upside and I'm not ruling out any possible improvements, but he's really struggled significantly more than other guards of his caliber and might just be a bust.</t>
  </si>
  <si>
    <t>Who would've ever thought Dennis Schroder wasn't the answer for a team looking for a long-term point guard? He's struggled a lot so far.</t>
  </si>
  <si>
    <t>Shannon should see a solid role moving forward as the natural successor to Nickeil Alexander-Walker's role. Him and Jaylen Clark are heavy buys in deeper leagues.</t>
  </si>
  <si>
    <t>It's crazy to think Isaiah Joe has maintained a good role over the years in OKC, but he's a lights-out shooter with a career-high scoring output on the year.</t>
  </si>
  <si>
    <t>After a good rookie season, Missi has struggled to be impactful off New Orleans' bench this year. Queen is pushing him out some.</t>
  </si>
  <si>
    <t>Sensabaugh might turn some heads this year. He's played with a chip on his shoulder this summer and in preseason so far.</t>
  </si>
  <si>
    <t>Krejci has been one of the most truly underrated role players in the NBA this year. Quietly been posting top ~150 per game fantasy value.</t>
  </si>
  <si>
    <t>Jenkins being often out of the rotation now feels more political and contractual than anything else. If/when Jaden Ivey is traded, he'll get his chance for a full-time job.</t>
  </si>
  <si>
    <t>Order</t>
  </si>
  <si>
    <t>Position(s)</t>
  </si>
  <si>
    <t>College/Program</t>
  </si>
  <si>
    <t>DDS Big Board Spot</t>
  </si>
  <si>
    <t>Duke/Dallas Mavericks</t>
  </si>
  <si>
    <t>The undisputed 1.01 of this class and comfortably the best prospect of the 2020s not named Victor Wembanyama so far. Flagg had a legendary freshman season and can stuff the statsheet like crazy. He'll be an immediate top option on offense in Dallas and a serious All-Defense-caliber player from Day 1. Cannot say enough good things about him. Hold tight if you have the 1st overall pick.</t>
  </si>
  <si>
    <t>Rutgers</t>
  </si>
  <si>
    <t>Baylor</t>
  </si>
  <si>
    <t>South Carolina</t>
  </si>
  <si>
    <t xml:space="preserve">CMB is one of the most unique players in this draft as a tweener with a lot of juice and swing skills to command an NBA role. Extremely physical that can play above his size, super high motor, good passing feel, and potentially elite defender in the mold of a Draymond Green. There is real risk involved in </t>
  </si>
  <si>
    <t>This whole tier is going to be a controversial one until we get to the draft. Many guys will be in the running past Flagg, Harper, and Edgecombe, and Jakucionis should comfortably be in there.</t>
  </si>
  <si>
    <t>Malauch is your quintessential "wait and see" rebuild target outside the top 3. I'm not a big fan in my IRL board, but I can't deny the sheer upside with his size, mobility and defensive skill as a rim protector and perimeter player despite being so young and raw. His rawness means most of the fantasy stuff will take time, but if he hits his higher end outcome, this is easily a top 10 or higher center in the league.</t>
  </si>
  <si>
    <t>Maryland</t>
  </si>
  <si>
    <t>I've been a big Derik Queen fan for this entire cycle. The recent testing at the combine isn't turning me off by any means, but the concerns about his athleticism mixed with the defensive lapses are still very much there. I think at cost, I'm much more willing to buy in outside the top 5 and take the risk. In theory, he can be an elite fantasy player if he hits.</t>
  </si>
  <si>
    <t>Gotta be honest: taking Ace Bailey in this draft terrifies me. I don't doubt his scoring acumen nor what his ceiling could yield, but some very serious blemishes and red flags in his game might may make him more of a points league guy that can't do much besides score. Still, I think the potential is there and he's a no-brainer top 10 pick when you consider the positives, the likely draft capital if he's going in the top 4, and how he could perform on different teams.</t>
  </si>
  <si>
    <t>Oklahoma</t>
  </si>
  <si>
    <t>Georgetown</t>
  </si>
  <si>
    <t>Ratiopharm Ulm</t>
  </si>
  <si>
    <t>The 2nd youngest player of this class (3 days older than Flagg). Essengue is very far from a finished product offensively, and recent French players may deter some. He's growing as a shooter, but isn't there fully. He's toolsy, but unrefined. He's a great athlete and excels at driving to the rim and drawing fouls, but he needs to get stronger. The risk is obvious, but the rewards could be very intriguing as a likely top 15 selection IRL and in dynasty.</t>
  </si>
  <si>
    <t xml:space="preserve">If you value identifying players conducive to winning basketball and developing role malleability, Carter Bryant is definitely for you. </t>
  </si>
  <si>
    <t>Michigan State</t>
  </si>
  <si>
    <t>Georgia</t>
  </si>
  <si>
    <t xml:space="preserve">There are some valid concerns Asa Newell is too much of a tweener to survive comfortably at the 4 or 5 until the shot comes along, and he may be undersized and underqualified to play as a rim-running 5. Still, there is real upside to squint at and buy here. </t>
  </si>
  <si>
    <t>Colorado St.</t>
  </si>
  <si>
    <t>Florida</t>
  </si>
  <si>
    <t>St. Joe's</t>
  </si>
  <si>
    <t>Le Mans (France)</t>
  </si>
  <si>
    <t>UAB</t>
  </si>
  <si>
    <t>This year's mid-major superstar is a real fun one that stuffs the statsheets. Lendeborg is a true 4 that has plenty of juice as an all-around player</t>
  </si>
  <si>
    <t>Washington State</t>
  </si>
  <si>
    <t>Coward was on a meteoric rise due to offseason chatter and some incredible testing at the Combine. Coward has everything NBA teams want in a wing: good shooting, defense, a little bit of passing, and has an outlier skill/trait (in his case, a freakishly long 7"2.25"/+8 wingspan). Do-it-all wings are very valuable and with ideal draft capital, Coward could really ascend.</t>
  </si>
  <si>
    <t>Adou Theiro</t>
  </si>
  <si>
    <t>Creighton</t>
  </si>
  <si>
    <t>Miles Byrd</t>
  </si>
  <si>
    <t>San Diego State</t>
  </si>
  <si>
    <t>Stanford</t>
  </si>
  <si>
    <t>St. Quentin (France)</t>
  </si>
  <si>
    <t>Real Madrid (Spain)</t>
  </si>
  <si>
    <t>Auburn</t>
  </si>
  <si>
    <t>Marquette</t>
  </si>
  <si>
    <t>Tahaad Pettiford</t>
  </si>
  <si>
    <t>Cedevita Olimpija</t>
  </si>
  <si>
    <t>UConn</t>
  </si>
  <si>
    <t>Alex Condon</t>
  </si>
  <si>
    <t>Darrion Williams</t>
  </si>
  <si>
    <t>Texas Tech</t>
  </si>
  <si>
    <t>Dink Pate</t>
  </si>
  <si>
    <t>Mex. City Capitanes (G League)</t>
  </si>
  <si>
    <t xml:space="preserve">Dink Pate is one of those players who, if things break right for him, we're questioning how the heck teams let him fall into the mid-2nd round. Granted, there are those guys every year, but Pate came into the Ignite as the youngest American professional athlete ever and has shown some real juice to be a jumbo guard/wing. As a late flier, I think there's something worth looking at even if he doesn't pan out. Let's hope he learns to shoot. </t>
  </si>
  <si>
    <t>West Virginia</t>
  </si>
  <si>
    <t>Hansen Yang</t>
  </si>
  <si>
    <t>Quigdao (China)</t>
  </si>
  <si>
    <t>I can't deny that Hansen Yang is a talented prospect. Part of finding gems is identifying players with high-end skills unique to their position, and Yang's passing for a big is definitely that. Still, I think there's way more cons than pros at this stage and he's very far from ready for the NBA. He's very slow, has poor defensive instincts and will struggle badly against NBA athletes and schemes. I expect to see him in the G League for a long time to learn game speed and finding a way to be malleable.</t>
  </si>
  <si>
    <t>FSU</t>
  </si>
  <si>
    <t>I've been a big fan of Jamir Watkins for the last few years and looking forward to seeing him in the NBA. I like do-it-all wings in the likeness of someone like Vince Williams Jr., and I think Watkins can be that. He does a bit of everything with being a good scorer, a good secondary passer, a strong rebounder, plays very physical, and is a solid 1-4 defender. If he develops more consistency from 3, I think he can definitely be a good rotation player.</t>
  </si>
  <si>
    <t>Symbols I could use</t>
  </si>
  <si>
    <t>⭐️</t>
  </si>
  <si>
    <t>Star potential</t>
  </si>
  <si>
    <t>🥩</t>
  </si>
  <si>
    <t>Raw; will take some time</t>
  </si>
  <si>
    <t>📈</t>
  </si>
  <si>
    <t>Rising up draft boards</t>
  </si>
  <si>
    <t>📉</t>
  </si>
  <si>
    <t>Falling down draft boards</t>
  </si>
  <si>
    <t>🛡️</t>
  </si>
  <si>
    <t>Strong defender</t>
  </si>
  <si>
    <t>High floor</t>
  </si>
  <si>
    <t>High-ceiling, low-floor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</si>
</sst>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yy"/>
    <numFmt numFmtId="166" formatCode="m/d/yy"/>
  </numFmts>
  <fonts count="37">
    <font>
      <sz val="10.0"/>
      <color rgb="FF000000"/>
      <name val="Arial"/>
      <scheme val="minor"/>
    </font>
    <font>
      <b/>
      <sz val="12.0"/>
      <color theme="1"/>
      <name val="Arial"/>
    </font>
    <font>
      <b/>
      <sz val="11.0"/>
      <color theme="1"/>
      <name val="Arial"/>
    </font>
    <font>
      <sz val="11.0"/>
      <color theme="1"/>
      <name val="Arial"/>
    </font>
    <font>
      <b/>
      <sz val="12.0"/>
      <color rgb="FF000000"/>
      <name val="Arial"/>
    </font>
    <font>
      <b/>
      <sz val="11.0"/>
      <color rgb="FF000000"/>
      <name val="Arial"/>
    </font>
    <font>
      <sz val="11.0"/>
      <color rgb="FF000000"/>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color theme="1"/>
      <name val="Arial"/>
      <scheme val="minor"/>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sz val="11.0"/>
      <color rgb="FF1F1F1F"/>
      <name val="Arial"/>
    </font>
    <font>
      <sz val="12.0"/>
      <color theme="1"/>
      <name val="Arial"/>
    </font>
    <font/>
    <font>
      <b/>
      <u/>
      <sz val="13.0"/>
      <color theme="1"/>
      <name val="Times New Roman"/>
    </font>
    <font>
      <b/>
      <sz val="13.0"/>
      <color theme="1"/>
      <name val="Times New Roman"/>
    </font>
    <font>
      <b/>
      <u/>
      <sz val="13.0"/>
      <color theme="1"/>
      <name val="Times New Roman"/>
    </font>
    <font>
      <b/>
      <sz val="14.0"/>
      <color theme="1"/>
      <name val="Times New Roman"/>
    </font>
    <font>
      <sz val="12.0"/>
      <color theme="1"/>
      <name val="Times New Roman"/>
    </font>
    <font>
      <b/>
      <sz val="12.0"/>
      <color theme="1"/>
      <name val="Times New Roman"/>
    </font>
    <font>
      <sz val="10.0"/>
      <color theme="1"/>
      <name val="Times New Roman"/>
    </font>
    <font>
      <color theme="1"/>
      <name val="Times New Roman"/>
    </font>
  </fonts>
  <fills count="56">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rgb="FFD9EAD3"/>
        <bgColor rgb="FFD9EAD3"/>
      </patternFill>
    </fill>
    <fill>
      <patternFill patternType="solid">
        <fgColor rgb="FFFF0000"/>
        <bgColor rgb="FFFF0000"/>
      </patternFill>
    </fill>
    <fill>
      <patternFill patternType="solid">
        <fgColor rgb="FFE06666"/>
        <bgColor rgb="FFE06666"/>
      </patternFill>
    </fill>
    <fill>
      <patternFill patternType="solid">
        <fgColor rgb="FFFF9900"/>
        <bgColor rgb="FFFF9900"/>
      </patternFill>
    </fill>
    <fill>
      <patternFill patternType="solid">
        <fgColor rgb="FFFCE5CD"/>
        <bgColor rgb="FFFCE5CD"/>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D9D2E9"/>
        <bgColor rgb="FFD9D2E9"/>
      </patternFill>
    </fill>
    <fill>
      <patternFill patternType="solid">
        <fgColor rgb="FFD6EFE2"/>
        <bgColor rgb="FFD6EFE2"/>
      </patternFill>
    </fill>
    <fill>
      <patternFill patternType="solid">
        <fgColor rgb="FFEEA9A3"/>
        <bgColor rgb="FFEEA9A3"/>
      </patternFill>
    </fill>
    <fill>
      <patternFill patternType="solid">
        <fgColor rgb="FFFBEAE8"/>
        <bgColor rgb="FFFBEAE8"/>
      </patternFill>
    </fill>
    <fill>
      <patternFill patternType="solid">
        <fgColor rgb="FFFEFBFB"/>
        <bgColor rgb="FFFEFBFB"/>
      </patternFill>
    </fill>
    <fill>
      <patternFill patternType="solid">
        <fgColor rgb="FFFBECEB"/>
        <bgColor rgb="FFFBECEB"/>
      </patternFill>
    </fill>
    <fill>
      <patternFill patternType="solid">
        <fgColor rgb="FFF4CAC6"/>
        <bgColor rgb="FFF4CAC6"/>
      </patternFill>
    </fill>
    <fill>
      <patternFill patternType="solid">
        <fgColor rgb="FFECF8F2"/>
        <bgColor rgb="FFECF8F2"/>
      </patternFill>
    </fill>
    <fill>
      <patternFill patternType="solid">
        <fgColor rgb="FF82CDA8"/>
        <bgColor rgb="FF82CDA8"/>
      </patternFill>
    </fill>
    <fill>
      <patternFill patternType="solid">
        <fgColor rgb="FFF0B0AB"/>
        <bgColor rgb="FFF0B0AB"/>
      </patternFill>
    </fill>
    <fill>
      <patternFill patternType="solid">
        <fgColor rgb="FFF9DCD9"/>
        <bgColor rgb="FFF9DCD9"/>
      </patternFill>
    </fill>
    <fill>
      <patternFill patternType="solid">
        <fgColor rgb="FFFAE9E8"/>
        <bgColor rgb="FFFAE9E8"/>
      </patternFill>
    </fill>
    <fill>
      <patternFill patternType="solid">
        <fgColor rgb="FFCCCCCC"/>
        <bgColor rgb="FFCCCCCC"/>
      </patternFill>
    </fill>
    <fill>
      <patternFill patternType="solid">
        <fgColor rgb="FFF0F9F5"/>
        <bgColor rgb="FFF0F9F5"/>
      </patternFill>
    </fill>
    <fill>
      <patternFill patternType="solid">
        <fgColor rgb="FFFDF6F6"/>
        <bgColor rgb="FFFDF6F6"/>
      </patternFill>
    </fill>
    <fill>
      <patternFill patternType="solid">
        <fgColor rgb="FFF8FCFA"/>
        <bgColor rgb="FFF8FCFA"/>
      </patternFill>
    </fill>
    <fill>
      <patternFill patternType="solid">
        <fgColor rgb="FFFAE6E4"/>
        <bgColor rgb="FFFAE6E4"/>
      </patternFill>
    </fill>
    <fill>
      <patternFill patternType="solid">
        <fgColor rgb="FFF4FBF7"/>
        <bgColor rgb="FFF4FBF7"/>
      </patternFill>
    </fill>
    <fill>
      <patternFill patternType="solid">
        <fgColor rgb="FFFCFEFD"/>
        <bgColor rgb="FFFCFEFD"/>
      </patternFill>
    </fill>
    <fill>
      <patternFill patternType="solid">
        <fgColor rgb="FFFBEEED"/>
        <bgColor rgb="FFFBEEED"/>
      </patternFill>
    </fill>
    <fill>
      <patternFill patternType="solid">
        <fgColor rgb="FFE8F6EF"/>
        <bgColor rgb="FFE8F6EF"/>
      </patternFill>
    </fill>
    <fill>
      <patternFill patternType="solid">
        <fgColor rgb="FFCDEBDC"/>
        <bgColor rgb="FFCDEBDC"/>
      </patternFill>
    </fill>
    <fill>
      <patternFill patternType="solid">
        <fgColor rgb="FFF4C5C1"/>
        <bgColor rgb="FFF4C5C1"/>
      </patternFill>
    </fill>
    <fill>
      <patternFill patternType="solid">
        <fgColor rgb="FFF8DEDC"/>
        <bgColor rgb="FFF8DEDC"/>
      </patternFill>
    </fill>
    <fill>
      <patternFill patternType="solid">
        <fgColor rgb="FFF7D6D3"/>
        <bgColor rgb="FFF7D6D3"/>
      </patternFill>
    </fill>
    <fill>
      <patternFill patternType="solid">
        <fgColor rgb="FFD8F0E4"/>
        <bgColor rgb="FFD8F0E4"/>
      </patternFill>
    </fill>
    <fill>
      <patternFill patternType="solid">
        <fgColor rgb="FFF5CDCA"/>
        <bgColor rgb="FFF5CDCA"/>
      </patternFill>
    </fill>
    <fill>
      <patternFill patternType="solid">
        <fgColor rgb="FFADDEC6"/>
        <bgColor rgb="FFADDEC6"/>
      </patternFill>
    </fill>
    <fill>
      <patternFill patternType="solid">
        <fgColor rgb="FFE4F4EC"/>
        <bgColor rgb="FFE4F4EC"/>
      </patternFill>
    </fill>
    <fill>
      <patternFill patternType="solid">
        <fgColor rgb="FFF0B5B0"/>
        <bgColor rgb="FFF0B5B0"/>
      </patternFill>
    </fill>
    <fill>
      <patternFill patternType="solid">
        <fgColor rgb="FFB9E3CF"/>
        <bgColor rgb="FFB9E3CF"/>
      </patternFill>
    </fill>
    <fill>
      <patternFill patternType="solid">
        <fgColor rgb="FFB1E0C9"/>
        <bgColor rgb="FFB1E0C9"/>
      </patternFill>
    </fill>
    <fill>
      <patternFill patternType="solid">
        <fgColor rgb="FFD1EDDF"/>
        <bgColor rgb="FFD1EDDF"/>
      </patternFill>
    </fill>
    <fill>
      <patternFill patternType="solid">
        <fgColor rgb="FFEC9C96"/>
        <bgColor rgb="FFEC9C96"/>
      </patternFill>
    </fill>
    <fill>
      <patternFill patternType="solid">
        <fgColor rgb="FF57BB8A"/>
        <bgColor rgb="FF57BB8A"/>
      </patternFill>
    </fill>
    <fill>
      <patternFill patternType="solid">
        <fgColor rgb="FFEA948D"/>
        <bgColor rgb="FFEA948D"/>
      </patternFill>
    </fill>
    <fill>
      <patternFill patternType="solid">
        <fgColor rgb="FFDCF1E7"/>
        <bgColor rgb="FFDCF1E7"/>
      </patternFill>
    </fill>
    <fill>
      <patternFill patternType="solid">
        <fgColor rgb="FFD5EEE2"/>
        <bgColor rgb="FFD5EEE2"/>
      </patternFill>
    </fill>
    <fill>
      <patternFill patternType="solid">
        <fgColor rgb="FF8ED2B1"/>
        <bgColor rgb="FF8ED2B1"/>
      </patternFill>
    </fill>
    <fill>
      <patternFill patternType="solid">
        <fgColor rgb="FFEDA49E"/>
        <bgColor rgb="FFEDA49E"/>
      </patternFill>
    </fill>
    <fill>
      <patternFill patternType="solid">
        <fgColor rgb="FFEFADA7"/>
        <bgColor rgb="FFEFADA7"/>
      </patternFill>
    </fill>
    <fill>
      <patternFill patternType="solid">
        <fgColor rgb="FFC5E8D7"/>
        <bgColor rgb="FFC5E8D7"/>
      </patternFill>
    </fill>
    <fill>
      <patternFill patternType="solid">
        <fgColor rgb="FFE67C73"/>
        <bgColor rgb="FFE67C73"/>
      </patternFill>
    </fill>
    <fill>
      <patternFill patternType="solid">
        <fgColor rgb="FFFBBC04"/>
        <bgColor rgb="FFFBBC04"/>
      </patternFill>
    </fill>
  </fills>
  <borders count="17">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2" fillId="2" fontId="3" numFmtId="0" xfId="0" applyAlignment="1" applyBorder="1" applyFont="1">
      <alignment horizontal="center" shrinkToFit="0" vertical="center" wrapText="1"/>
    </xf>
    <xf borderId="2" fillId="2" fontId="3" numFmtId="165" xfId="0" applyAlignment="1" applyBorder="1" applyFont="1" applyNumberFormat="1">
      <alignment horizontal="center" readingOrder="0" shrinkToFit="0" vertical="center" wrapText="1"/>
    </xf>
    <xf borderId="2" fillId="2" fontId="3" numFmtId="164" xfId="0" applyAlignment="1" applyBorder="1" applyFont="1" applyNumberFormat="1">
      <alignment horizontal="center" shrinkToFit="0" vertical="center" wrapText="1"/>
    </xf>
    <xf borderId="2" fillId="2" fontId="2" numFmtId="0" xfId="0" applyAlignment="1" applyBorder="1" applyFont="1">
      <alignment horizontal="center" readingOrder="0" shrinkToFit="0" vertical="center" wrapText="1"/>
    </xf>
    <xf borderId="3" fillId="2" fontId="3" numFmtId="0" xfId="0" applyAlignment="1" applyBorder="1" applyFont="1">
      <alignment horizontal="left" readingOrder="0" shrinkToFit="0" vertical="center" wrapText="1"/>
    </xf>
    <xf borderId="2" fillId="2" fontId="3" numFmtId="0" xfId="0" applyAlignment="1" applyBorder="1" applyFont="1">
      <alignment horizontal="center" shrinkToFit="0" vertical="center" wrapText="1"/>
    </xf>
    <xf borderId="2" fillId="2" fontId="3" numFmtId="165" xfId="0" applyAlignment="1" applyBorder="1" applyFont="1" applyNumberFormat="1">
      <alignment horizontal="center" shrinkToFit="0" vertical="center" wrapText="1"/>
    </xf>
    <xf borderId="3" fillId="2" fontId="3" numFmtId="0" xfId="0" applyAlignment="1" applyBorder="1" applyFont="1">
      <alignment readingOrder="0"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3" numFmtId="165" xfId="0" applyAlignment="1" applyBorder="1" applyFont="1" applyNumberFormat="1">
      <alignment horizontal="center" shrinkToFit="0" vertical="center" wrapText="1"/>
    </xf>
    <xf borderId="2" fillId="0" fontId="3" numFmtId="164" xfId="0" applyAlignment="1" applyBorder="1" applyFont="1" applyNumberFormat="1">
      <alignment horizontal="center" shrinkToFit="0" vertical="center" wrapText="1"/>
    </xf>
    <xf borderId="2" fillId="0" fontId="2" numFmtId="0" xfId="0" applyAlignment="1" applyBorder="1" applyFont="1">
      <alignment horizontal="center" readingOrder="0" shrinkToFit="0" vertical="center" wrapText="1"/>
    </xf>
    <xf borderId="3" fillId="0" fontId="3" numFmtId="0" xfId="0" applyAlignment="1" applyBorder="1" applyFont="1">
      <alignment readingOrder="0" shrinkToFit="0" vertical="center" wrapText="1"/>
    </xf>
    <xf borderId="1" fillId="3" fontId="2" numFmtId="0" xfId="0" applyAlignment="1" applyBorder="1" applyFill="1" applyFont="1">
      <alignment horizontal="center" readingOrder="0" shrinkToFit="0" vertical="center" wrapText="1"/>
    </xf>
    <xf borderId="2" fillId="3" fontId="3" numFmtId="0" xfId="0" applyAlignment="1" applyBorder="1" applyFont="1">
      <alignment horizontal="center" readingOrder="0" shrinkToFit="0" vertical="center" wrapText="1"/>
    </xf>
    <xf borderId="2" fillId="3" fontId="3" numFmtId="0" xfId="0" applyAlignment="1" applyBorder="1" applyFont="1">
      <alignment horizontal="center" shrinkToFit="0" vertical="center" wrapText="1"/>
    </xf>
    <xf borderId="2" fillId="3" fontId="3" numFmtId="165" xfId="0" applyAlignment="1" applyBorder="1" applyFont="1" applyNumberFormat="1">
      <alignment horizontal="center" shrinkToFit="0" vertical="center" wrapText="1"/>
    </xf>
    <xf borderId="2" fillId="3" fontId="3" numFmtId="164" xfId="0" applyAlignment="1" applyBorder="1" applyFont="1" applyNumberFormat="1">
      <alignment horizontal="center" shrinkToFit="0" vertical="center" wrapText="1"/>
    </xf>
    <xf borderId="2" fillId="3" fontId="2" numFmtId="0" xfId="0" applyAlignment="1" applyBorder="1" applyFont="1">
      <alignment horizontal="center" readingOrder="0" shrinkToFit="0" vertical="center" wrapText="1"/>
    </xf>
    <xf borderId="3" fillId="3" fontId="3" numFmtId="0" xfId="0" applyAlignment="1" applyBorder="1" applyFont="1">
      <alignment readingOrder="0" shrinkToFit="0" vertical="center" wrapText="1"/>
    </xf>
    <xf borderId="1" fillId="4" fontId="2" numFmtId="0" xfId="0" applyAlignment="1" applyBorder="1" applyFill="1" applyFont="1">
      <alignment horizontal="center" readingOrder="0" shrinkToFit="0" vertical="center" wrapText="1"/>
    </xf>
    <xf borderId="2" fillId="4" fontId="3" numFmtId="0" xfId="0" applyAlignment="1" applyBorder="1" applyFont="1">
      <alignment horizontal="center" readingOrder="0" shrinkToFit="0" vertical="center" wrapText="1"/>
    </xf>
    <xf borderId="2" fillId="4" fontId="3" numFmtId="0" xfId="0" applyAlignment="1" applyBorder="1" applyFont="1">
      <alignment horizontal="center" shrinkToFit="0" vertical="center" wrapText="1"/>
    </xf>
    <xf borderId="2" fillId="4" fontId="3" numFmtId="165" xfId="0" applyAlignment="1" applyBorder="1" applyFont="1" applyNumberFormat="1">
      <alignment horizontal="center" shrinkToFit="0" vertical="center" wrapText="1"/>
    </xf>
    <xf borderId="2" fillId="4" fontId="3" numFmtId="164" xfId="0" applyAlignment="1" applyBorder="1" applyFont="1" applyNumberFormat="1">
      <alignment horizontal="center" shrinkToFit="0" vertical="center" wrapText="1"/>
    </xf>
    <xf borderId="2" fillId="4" fontId="2" numFmtId="0" xfId="0" applyAlignment="1" applyBorder="1" applyFont="1">
      <alignment horizontal="center" readingOrder="0" shrinkToFit="0" vertical="center" wrapText="1"/>
    </xf>
    <xf borderId="3" fillId="4" fontId="3" numFmtId="0" xfId="0" applyAlignment="1" applyBorder="1" applyFont="1">
      <alignment readingOrder="0" shrinkToFit="0" vertical="center" wrapText="1"/>
    </xf>
    <xf borderId="2" fillId="4" fontId="3" numFmtId="0" xfId="0" applyAlignment="1" applyBorder="1" applyFont="1">
      <alignment horizontal="center" shrinkToFit="0" vertical="center" wrapText="1"/>
    </xf>
    <xf borderId="2" fillId="2"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2" fillId="0" fontId="3" numFmtId="165" xfId="0" applyAlignment="1" applyBorder="1" applyFont="1" applyNumberFormat="1">
      <alignment horizontal="center" vertical="center"/>
    </xf>
    <xf borderId="3" fillId="4" fontId="3" numFmtId="0" xfId="0" applyAlignment="1" applyBorder="1" applyFont="1">
      <alignment shrinkToFit="0" vertical="center" wrapText="1"/>
    </xf>
    <xf borderId="2" fillId="2" fontId="3" numFmtId="166" xfId="0" applyAlignment="1" applyBorder="1" applyFont="1" applyNumberFormat="1">
      <alignment horizontal="center" shrinkToFit="0" vertical="center" wrapText="1"/>
    </xf>
    <xf borderId="3" fillId="2" fontId="3" numFmtId="0" xfId="0" applyAlignment="1" applyBorder="1" applyFont="1">
      <alignment shrinkToFit="0" vertical="center" wrapText="1"/>
    </xf>
    <xf borderId="3" fillId="4" fontId="3" numFmtId="0" xfId="0" applyAlignment="1" applyBorder="1" applyFont="1">
      <alignment shrinkToFit="0" vertical="center" wrapText="1"/>
    </xf>
    <xf borderId="3" fillId="2" fontId="3" numFmtId="0" xfId="0" applyAlignment="1" applyBorder="1" applyFont="1">
      <alignment readingOrder="0" shrinkToFit="0" wrapText="1"/>
    </xf>
    <xf borderId="3" fillId="2" fontId="3" numFmtId="0" xfId="0" applyAlignment="1" applyBorder="1" applyFont="1">
      <alignment shrinkToFit="0" vertical="center" wrapText="1"/>
    </xf>
    <xf borderId="2" fillId="4" fontId="3" numFmtId="165" xfId="0" applyAlignment="1" applyBorder="1" applyFont="1" applyNumberFormat="1">
      <alignment horizontal="center" readingOrder="0" shrinkToFit="0" vertical="center" wrapText="1"/>
    </xf>
    <xf borderId="3" fillId="0" fontId="3" numFmtId="0" xfId="0" applyAlignment="1" applyBorder="1" applyFont="1">
      <alignment shrinkToFit="0" vertical="center" wrapText="1"/>
    </xf>
    <xf borderId="2" fillId="2" fontId="3" numFmtId="165" xfId="0" applyAlignment="1" applyBorder="1" applyFont="1" applyNumberFormat="1">
      <alignment horizontal="center" vertical="center"/>
    </xf>
    <xf borderId="3" fillId="0" fontId="3" numFmtId="0" xfId="0" applyAlignment="1" applyBorder="1" applyFont="1">
      <alignment horizontal="left" readingOrder="0" shrinkToFit="0" vertical="center" wrapText="1"/>
    </xf>
    <xf borderId="2" fillId="0" fontId="3" numFmtId="165" xfId="0" applyAlignment="1" applyBorder="1" applyFont="1" applyNumberFormat="1">
      <alignment horizontal="center" readingOrder="0" shrinkToFit="0" vertical="center" wrapText="1"/>
    </xf>
    <xf borderId="2"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Alignment="1" applyBorder="1" applyFont="1">
      <alignment horizontal="left" shrinkToFit="0" vertical="center" wrapText="1"/>
    </xf>
    <xf borderId="2" fillId="0" fontId="2" numFmtId="0" xfId="0" applyAlignment="1" applyBorder="1" applyFont="1">
      <alignment horizontal="center" shrinkToFit="0" vertical="center" wrapText="1"/>
    </xf>
    <xf borderId="3" fillId="2" fontId="3" numFmtId="0" xfId="0" applyAlignment="1" applyBorder="1" applyFont="1">
      <alignment horizontal="left" shrinkToFit="0" vertical="center" wrapText="1"/>
    </xf>
    <xf borderId="3" fillId="4" fontId="3" numFmtId="0" xfId="0" applyAlignment="1" applyBorder="1" applyFont="1">
      <alignment horizontal="left" readingOrder="0" shrinkToFit="0" vertical="center" wrapText="1"/>
    </xf>
    <xf borderId="3" fillId="2" fontId="3" numFmtId="0" xfId="0" applyAlignment="1" applyBorder="1" applyFont="1">
      <alignment horizontal="left" shrinkToFit="0" vertical="center" wrapText="1"/>
    </xf>
    <xf borderId="2" fillId="4" fontId="3" numFmtId="0" xfId="0" applyAlignment="1" applyBorder="1" applyFont="1">
      <alignment horizontal="left" readingOrder="0" shrinkToFit="0" vertical="center" wrapText="1"/>
    </xf>
    <xf borderId="4" fillId="4" fontId="3" numFmtId="0" xfId="0" applyAlignment="1" applyBorder="1" applyFont="1">
      <alignment horizontal="left" readingOrder="0" shrinkToFit="0" vertical="center" wrapText="1"/>
    </xf>
    <xf borderId="2" fillId="0" fontId="2" numFmtId="0" xfId="0" applyAlignment="1" applyBorder="1" applyFont="1">
      <alignment horizontal="center" shrinkToFit="0" vertical="center" wrapText="1"/>
    </xf>
    <xf borderId="2" fillId="2" fontId="3" numFmtId="0" xfId="0" applyAlignment="1" applyBorder="1" applyFont="1">
      <alignment horizontal="left" readingOrder="0" shrinkToFit="0" vertical="center" wrapText="1"/>
    </xf>
    <xf borderId="4" fillId="2" fontId="3" numFmtId="0" xfId="0" applyAlignment="1" applyBorder="1" applyFont="1">
      <alignment horizontal="left" readingOrder="0" shrinkToFit="0" vertical="center" wrapText="1"/>
    </xf>
    <xf borderId="2" fillId="2" fontId="3" numFmtId="0" xfId="0" applyAlignment="1" applyBorder="1" applyFont="1">
      <alignment horizontal="center" vertical="center"/>
    </xf>
    <xf borderId="2" fillId="2" fontId="3" numFmtId="0" xfId="0" applyAlignment="1" applyBorder="1" applyFont="1">
      <alignment horizontal="center" readingOrder="0" vertical="center"/>
    </xf>
    <xf borderId="5" fillId="0" fontId="3" numFmtId="0" xfId="0" applyAlignment="1" applyBorder="1" applyFont="1">
      <alignment horizontal="center" readingOrder="0" shrinkToFit="0" vertical="center" wrapText="1"/>
    </xf>
    <xf borderId="5" fillId="0" fontId="3" numFmtId="165" xfId="0" applyAlignment="1" applyBorder="1" applyFont="1" applyNumberFormat="1">
      <alignment horizontal="center" readingOrder="0" shrinkToFit="0" vertical="center" wrapText="1"/>
    </xf>
    <xf borderId="5" fillId="2" fontId="2" numFmtId="0" xfId="0" applyAlignment="1" applyBorder="1" applyFont="1">
      <alignment horizontal="center" readingOrder="0" shrinkToFit="0" vertical="center" wrapText="1"/>
    </xf>
    <xf borderId="6" fillId="0" fontId="3" numFmtId="0" xfId="0" applyAlignment="1" applyBorder="1" applyFont="1">
      <alignment horizontal="left" readingOrder="0" shrinkToFit="0" vertical="center" wrapText="1"/>
    </xf>
    <xf borderId="2" fillId="2" fontId="3" numFmtId="0" xfId="0" applyAlignment="1" applyBorder="1" applyFont="1">
      <alignment horizontal="center" vertical="center"/>
    </xf>
    <xf borderId="0" fillId="2" fontId="4"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1" fillId="5" fontId="5" numFmtId="0" xfId="0" applyAlignment="1" applyBorder="1" applyFill="1" applyFont="1">
      <alignment horizontal="center" readingOrder="0" shrinkToFit="0" vertical="center" wrapText="1"/>
    </xf>
    <xf borderId="7" fillId="5" fontId="5" numFmtId="0" xfId="0" applyAlignment="1" applyBorder="1" applyFont="1">
      <alignment horizontal="center" readingOrder="0" shrinkToFit="0" vertical="center" wrapText="1"/>
    </xf>
    <xf borderId="7" fillId="5" fontId="6" numFmtId="0" xfId="0" applyAlignment="1" applyBorder="1" applyFont="1">
      <alignment horizontal="center" readingOrder="0" shrinkToFit="0" vertical="center" wrapText="1"/>
    </xf>
    <xf borderId="2" fillId="5" fontId="7" numFmtId="0" xfId="0" applyAlignment="1" applyBorder="1" applyFont="1">
      <alignment horizontal="center" readingOrder="0" shrinkToFit="0" vertical="center" wrapText="1"/>
    </xf>
    <xf borderId="2" fillId="5" fontId="6" numFmtId="0" xfId="0" applyAlignment="1" applyBorder="1" applyFont="1">
      <alignment horizontal="center" readingOrder="0" shrinkToFit="0" vertical="center" wrapText="1"/>
    </xf>
    <xf borderId="2" fillId="5" fontId="6" numFmtId="165" xfId="0" applyAlignment="1" applyBorder="1" applyFont="1" applyNumberFormat="1">
      <alignment horizontal="center" shrinkToFit="0" vertical="center" wrapText="1"/>
    </xf>
    <xf borderId="2" fillId="5" fontId="6" numFmtId="164" xfId="0" applyAlignment="1" applyBorder="1" applyFont="1" applyNumberFormat="1">
      <alignment horizontal="center" readingOrder="0" shrinkToFit="0" vertical="center" wrapText="1"/>
    </xf>
    <xf borderId="2" fillId="5" fontId="6" numFmtId="164" xfId="0" applyAlignment="1" applyBorder="1" applyFont="1" applyNumberFormat="1">
      <alignment horizontal="center" shrinkToFit="0" vertical="center" wrapText="1"/>
    </xf>
    <xf borderId="2" fillId="5" fontId="5" numFmtId="0" xfId="0" applyAlignment="1" applyBorder="1" applyFont="1">
      <alignment horizontal="center" readingOrder="0" shrinkToFit="0" vertical="center" wrapText="1"/>
    </xf>
    <xf borderId="4" fillId="5" fontId="6" numFmtId="0" xfId="0" applyAlignment="1" applyBorder="1" applyFont="1">
      <alignment readingOrder="0" shrinkToFit="0" wrapText="1"/>
    </xf>
    <xf borderId="3" fillId="5" fontId="6" numFmtId="0" xfId="0" applyAlignment="1" applyBorder="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7" fillId="6" fontId="5" numFmtId="0" xfId="0" applyAlignment="1" applyBorder="1" applyFont="1">
      <alignment horizontal="center" readingOrder="0" shrinkToFit="0" vertical="center" wrapText="1"/>
    </xf>
    <xf borderId="7" fillId="6" fontId="6" numFmtId="0" xfId="0" applyAlignment="1" applyBorder="1" applyFont="1">
      <alignment horizontal="center" readingOrder="0" shrinkToFit="0" vertical="center" wrapText="1"/>
    </xf>
    <xf borderId="2" fillId="6" fontId="8" numFmtId="0" xfId="0" applyAlignment="1" applyBorder="1" applyFont="1">
      <alignment horizontal="center" readingOrder="0" shrinkToFit="0" vertical="center" wrapText="1"/>
    </xf>
    <xf borderId="2" fillId="6" fontId="6" numFmtId="0" xfId="0" applyAlignment="1" applyBorder="1" applyFont="1">
      <alignment horizontal="center" readingOrder="0" shrinkToFit="0" vertical="center" wrapText="1"/>
    </xf>
    <xf borderId="2" fillId="6" fontId="6" numFmtId="165" xfId="0" applyAlignment="1" applyBorder="1" applyFont="1" applyNumberFormat="1">
      <alignment horizontal="center" shrinkToFit="0" vertical="center" wrapText="1"/>
    </xf>
    <xf borderId="2" fillId="6" fontId="6" numFmtId="164" xfId="0" applyAlignment="1" applyBorder="1" applyFont="1" applyNumberFormat="1">
      <alignment horizontal="center" readingOrder="0" shrinkToFit="0" vertical="center" wrapText="1"/>
    </xf>
    <xf borderId="2" fillId="6" fontId="6" numFmtId="164" xfId="0" applyAlignment="1" applyBorder="1" applyFont="1" applyNumberFormat="1">
      <alignment horizontal="center" shrinkToFit="0" vertical="center" wrapText="1"/>
    </xf>
    <xf borderId="2" fillId="6" fontId="5" numFmtId="0" xfId="0" applyAlignment="1" applyBorder="1" applyFont="1">
      <alignment horizontal="center" shrinkToFit="0" vertical="center" wrapText="1"/>
    </xf>
    <xf borderId="2" fillId="6" fontId="5" numFmtId="0" xfId="0" applyAlignment="1" applyBorder="1" applyFont="1">
      <alignment horizontal="center" readingOrder="0" shrinkToFit="0" vertical="center" wrapText="1"/>
    </xf>
    <xf borderId="4" fillId="6" fontId="6" numFmtId="0" xfId="0" applyAlignment="1" applyBorder="1" applyFont="1">
      <alignment readingOrder="0" shrinkToFit="0" wrapText="1"/>
    </xf>
    <xf borderId="3" fillId="6" fontId="6" numFmtId="0" xfId="0" applyAlignment="1" applyBorder="1" applyFont="1">
      <alignment horizontal="center" readingOrder="0" shrinkToFit="0" vertical="center" wrapText="1"/>
    </xf>
    <xf borderId="2" fillId="6" fontId="6" numFmtId="0" xfId="0" applyAlignment="1" applyBorder="1" applyFont="1">
      <alignment horizontal="center" readingOrder="0" vertical="center"/>
    </xf>
    <xf borderId="3" fillId="6" fontId="6"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7" fillId="3" fontId="5" numFmtId="0" xfId="0" applyAlignment="1" applyBorder="1" applyFont="1">
      <alignment horizontal="center" readingOrder="0" shrinkToFit="0" vertical="center" wrapText="1"/>
    </xf>
    <xf borderId="7" fillId="3" fontId="6" numFmtId="0" xfId="0" applyAlignment="1" applyBorder="1" applyFont="1">
      <alignment horizontal="center" readingOrder="0" shrinkToFit="0" vertical="center" wrapText="1"/>
    </xf>
    <xf borderId="2" fillId="3" fontId="9"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2" fillId="3" fontId="6" numFmtId="165" xfId="0" applyAlignment="1" applyBorder="1" applyFont="1" applyNumberFormat="1">
      <alignment horizontal="center" shrinkToFit="0" vertical="center" wrapText="1"/>
    </xf>
    <xf borderId="2" fillId="3" fontId="6" numFmtId="164" xfId="0" applyAlignment="1" applyBorder="1" applyFont="1" applyNumberFormat="1">
      <alignment horizontal="center" readingOrder="0" shrinkToFit="0" vertical="center" wrapText="1"/>
    </xf>
    <xf borderId="2" fillId="3" fontId="6" numFmtId="164" xfId="0" applyAlignment="1" applyBorder="1" applyFont="1" applyNumberFormat="1">
      <alignment horizontal="center" shrinkToFit="0" vertical="center" wrapText="1"/>
    </xf>
    <xf borderId="2" fillId="3" fontId="5" numFmtId="0" xfId="0" applyAlignment="1" applyBorder="1" applyFont="1">
      <alignment horizontal="center" shrinkToFit="0" vertical="center" wrapText="1"/>
    </xf>
    <xf borderId="4" fillId="3" fontId="6" numFmtId="0" xfId="0" applyAlignment="1" applyBorder="1" applyFont="1">
      <alignment readingOrder="0" shrinkToFit="0" wrapText="1"/>
    </xf>
    <xf borderId="3" fillId="3" fontId="6" numFmtId="0" xfId="0" applyAlignment="1" applyBorder="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7" fillId="7" fontId="5"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2" fillId="7" fontId="10" numFmtId="0" xfId="0" applyAlignment="1" applyBorder="1" applyFont="1">
      <alignment horizontal="center" readingOrder="0" shrinkToFit="0" vertical="center" wrapText="1"/>
    </xf>
    <xf borderId="2" fillId="7" fontId="6" numFmtId="0" xfId="0" applyAlignment="1" applyBorder="1" applyFont="1">
      <alignment horizontal="center" readingOrder="0" shrinkToFit="0" vertical="center" wrapText="1"/>
    </xf>
    <xf borderId="2" fillId="7" fontId="6" numFmtId="165" xfId="0" applyAlignment="1" applyBorder="1" applyFont="1" applyNumberFormat="1">
      <alignment horizontal="center" readingOrder="0" shrinkToFit="0" vertical="center" wrapText="1"/>
    </xf>
    <xf borderId="2" fillId="7" fontId="6" numFmtId="164" xfId="0" applyAlignment="1" applyBorder="1" applyFont="1" applyNumberFormat="1">
      <alignment horizontal="center" readingOrder="0" shrinkToFit="0" vertical="center" wrapText="1"/>
    </xf>
    <xf borderId="2" fillId="7" fontId="6" numFmtId="164" xfId="0" applyAlignment="1" applyBorder="1" applyFont="1" applyNumberFormat="1">
      <alignment horizontal="center" shrinkToFit="0" vertical="center" wrapText="1"/>
    </xf>
    <xf borderId="2" fillId="7" fontId="5" numFmtId="0" xfId="0" applyAlignment="1" applyBorder="1" applyFont="1">
      <alignment horizontal="center" shrinkToFit="0" vertical="center" wrapText="1"/>
    </xf>
    <xf borderId="4" fillId="7" fontId="6" numFmtId="0" xfId="0" applyAlignment="1" applyBorder="1" applyFont="1">
      <alignment readingOrder="0" shrinkToFit="0" wrapText="1"/>
    </xf>
    <xf borderId="3" fillId="7" fontId="6" numFmtId="0" xfId="0" applyAlignment="1" applyBorder="1" applyFont="1">
      <alignment horizontal="center" readingOrder="0" shrinkToFit="0" vertical="center" wrapText="1"/>
    </xf>
    <xf borderId="2" fillId="7" fontId="6" numFmtId="0" xfId="0" applyAlignment="1" applyBorder="1" applyFont="1">
      <alignment horizontal="center" shrinkToFit="0" vertical="center" wrapText="1"/>
    </xf>
    <xf borderId="2" fillId="7" fontId="6" numFmtId="165" xfId="0" applyAlignment="1" applyBorder="1" applyFont="1" applyNumberFormat="1">
      <alignment horizontal="center" shrinkToFit="0" vertical="center" wrapText="1"/>
    </xf>
    <xf borderId="2" fillId="7" fontId="5" numFmtId="0" xfId="0" applyAlignment="1" applyBorder="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7" fillId="8" fontId="5" numFmtId="0" xfId="0" applyAlignment="1" applyBorder="1" applyFont="1">
      <alignment horizontal="center" readingOrder="0" shrinkToFit="0" vertical="center" wrapText="1"/>
    </xf>
    <xf borderId="7" fillId="8" fontId="6" numFmtId="0" xfId="0" applyAlignment="1" applyBorder="1" applyFont="1">
      <alignment horizontal="center" readingOrder="0" shrinkToFit="0" vertical="center" wrapText="1"/>
    </xf>
    <xf borderId="2" fillId="8" fontId="11" numFmtId="0" xfId="0" applyAlignment="1" applyBorder="1" applyFont="1">
      <alignment horizontal="center" readingOrder="0" shrinkToFit="0" vertical="center" wrapText="1"/>
    </xf>
    <xf borderId="2" fillId="8" fontId="6" numFmtId="0" xfId="0" applyAlignment="1" applyBorder="1" applyFont="1">
      <alignment horizontal="center" readingOrder="0" shrinkToFit="0" vertical="center" wrapText="1"/>
    </xf>
    <xf borderId="2" fillId="8" fontId="6" numFmtId="165" xfId="0" applyAlignment="1" applyBorder="1" applyFont="1" applyNumberFormat="1">
      <alignment horizontal="center" readingOrder="0" shrinkToFit="0" vertical="center" wrapText="1"/>
    </xf>
    <xf borderId="2" fillId="8" fontId="6" numFmtId="164" xfId="0" applyAlignment="1" applyBorder="1" applyFont="1" applyNumberFormat="1">
      <alignment horizontal="center" readingOrder="0" shrinkToFit="0" vertical="center" wrapText="1"/>
    </xf>
    <xf borderId="2" fillId="8" fontId="6" numFmtId="164" xfId="0" applyAlignment="1" applyBorder="1" applyFont="1" applyNumberFormat="1">
      <alignment horizontal="center" shrinkToFit="0" vertical="center" wrapText="1"/>
    </xf>
    <xf borderId="2" fillId="8" fontId="5" numFmtId="0" xfId="0" applyAlignment="1" applyBorder="1" applyFont="1">
      <alignment horizontal="center" shrinkToFit="0" vertical="center" wrapText="1"/>
    </xf>
    <xf borderId="4" fillId="8" fontId="6" numFmtId="0" xfId="0" applyAlignment="1" applyBorder="1" applyFont="1">
      <alignment readingOrder="0" shrinkToFit="0" wrapText="1"/>
    </xf>
    <xf borderId="3" fillId="8" fontId="6" numFmtId="0" xfId="0" applyAlignment="1" applyBorder="1" applyFont="1">
      <alignment horizontal="center" readingOrder="0" shrinkToFit="0" vertical="center" wrapText="1"/>
    </xf>
    <xf borderId="2" fillId="8" fontId="6" numFmtId="0" xfId="0" applyAlignment="1" applyBorder="1" applyFont="1">
      <alignment horizontal="center" shrinkToFit="0" vertical="center" wrapText="1"/>
    </xf>
    <xf borderId="2" fillId="8" fontId="6" numFmtId="165" xfId="0" applyAlignment="1" applyBorder="1" applyFont="1" applyNumberFormat="1">
      <alignment horizontal="center" shrinkToFit="0" vertical="center" wrapText="1"/>
    </xf>
    <xf borderId="2" fillId="8" fontId="5" numFmtId="0" xfId="0" applyAlignment="1" applyBorder="1" applyFont="1">
      <alignment horizontal="center" readingOrder="0" shrinkToFit="0" vertical="center" wrapText="1"/>
    </xf>
    <xf borderId="1" fillId="9" fontId="5" numFmtId="0" xfId="0" applyAlignment="1" applyBorder="1" applyFill="1" applyFont="1">
      <alignment horizontal="center" readingOrder="0" shrinkToFit="0" vertical="center" wrapText="1"/>
    </xf>
    <xf borderId="7" fillId="9" fontId="5" numFmtId="0" xfId="0" applyAlignment="1" applyBorder="1" applyFont="1">
      <alignment horizontal="center" readingOrder="0" shrinkToFit="0" vertical="center" wrapText="1"/>
    </xf>
    <xf borderId="7" fillId="9" fontId="6" numFmtId="0" xfId="0" applyAlignment="1" applyBorder="1" applyFont="1">
      <alignment horizontal="center" readingOrder="0" shrinkToFit="0" vertical="center" wrapText="1"/>
    </xf>
    <xf borderId="2" fillId="9" fontId="12" numFmtId="0" xfId="0" applyAlignment="1" applyBorder="1" applyFont="1">
      <alignment horizontal="center" readingOrder="0" shrinkToFit="0" vertical="center" wrapText="1"/>
    </xf>
    <xf borderId="2" fillId="9" fontId="6" numFmtId="0" xfId="0" applyAlignment="1" applyBorder="1" applyFont="1">
      <alignment horizontal="center" readingOrder="0" shrinkToFit="0" vertical="center" wrapText="1"/>
    </xf>
    <xf borderId="2" fillId="9" fontId="6" numFmtId="165" xfId="0" applyAlignment="1" applyBorder="1" applyFont="1" applyNumberFormat="1">
      <alignment horizontal="center" readingOrder="0" shrinkToFit="0" vertical="center" wrapText="1"/>
    </xf>
    <xf borderId="2" fillId="9" fontId="6" numFmtId="164" xfId="0" applyAlignment="1" applyBorder="1" applyFont="1" applyNumberFormat="1">
      <alignment horizontal="center" readingOrder="0" shrinkToFit="0" vertical="center" wrapText="1"/>
    </xf>
    <xf borderId="2" fillId="9" fontId="6" numFmtId="164" xfId="0" applyAlignment="1" applyBorder="1" applyFont="1" applyNumberFormat="1">
      <alignment horizontal="center" shrinkToFit="0" vertical="center" wrapText="1"/>
    </xf>
    <xf borderId="2" fillId="9" fontId="5" numFmtId="0" xfId="0" applyAlignment="1" applyBorder="1" applyFont="1">
      <alignment horizontal="center" shrinkToFit="0" vertical="center" wrapText="1"/>
    </xf>
    <xf borderId="4" fillId="9" fontId="6" numFmtId="0" xfId="0" applyAlignment="1" applyBorder="1" applyFont="1">
      <alignment readingOrder="0" shrinkToFit="0" wrapText="1"/>
    </xf>
    <xf borderId="3" fillId="9" fontId="6" numFmtId="0" xfId="0" applyAlignment="1" applyBorder="1" applyFont="1">
      <alignment horizontal="center" readingOrder="0" shrinkToFit="0" vertical="center" wrapText="1"/>
    </xf>
    <xf borderId="2" fillId="9" fontId="5" numFmtId="0" xfId="0" applyAlignment="1" applyBorder="1" applyFont="1">
      <alignment horizontal="center" readingOrder="0" shrinkToFit="0" vertical="center" wrapText="1"/>
    </xf>
    <xf borderId="7" fillId="9" fontId="3" numFmtId="0" xfId="0" applyAlignment="1" applyBorder="1" applyFont="1">
      <alignment horizontal="center" readingOrder="0" shrinkToFit="0" vertical="center" wrapText="1"/>
    </xf>
    <xf borderId="2" fillId="9" fontId="3" numFmtId="0" xfId="0" applyAlignment="1" applyBorder="1" applyFont="1">
      <alignment horizontal="center" readingOrder="0" shrinkToFit="0" vertical="center" wrapText="1"/>
    </xf>
    <xf borderId="2" fillId="9" fontId="3" numFmtId="165" xfId="0" applyAlignment="1" applyBorder="1" applyFont="1" applyNumberFormat="1">
      <alignment horizontal="center" readingOrder="0" shrinkToFit="0" vertical="center" wrapText="1"/>
    </xf>
    <xf borderId="2" fillId="9" fontId="3" numFmtId="164" xfId="0" applyAlignment="1" applyBorder="1" applyFont="1" applyNumberFormat="1">
      <alignment horizontal="center" readingOrder="0" shrinkToFit="0" vertical="center" wrapText="1"/>
    </xf>
    <xf borderId="2" fillId="9" fontId="3" numFmtId="0" xfId="0" applyAlignment="1" applyBorder="1" applyFont="1">
      <alignment horizontal="center" vertical="center"/>
    </xf>
    <xf borderId="4" fillId="9" fontId="3" numFmtId="0" xfId="0" applyAlignment="1" applyBorder="1" applyFont="1">
      <alignment horizontal="left" readingOrder="0" shrinkToFit="0" vertical="center" wrapText="1"/>
    </xf>
    <xf borderId="3" fillId="9" fontId="3" numFmtId="0" xfId="0" applyAlignment="1" applyBorder="1" applyFont="1">
      <alignment horizontal="center" readingOrder="0" shrinkToFit="0" vertical="center" wrapText="1"/>
    </xf>
    <xf borderId="7" fillId="9" fontId="2" numFmtId="0" xfId="0" applyAlignment="1" applyBorder="1" applyFont="1">
      <alignment horizontal="center" readingOrder="0" shrinkToFit="0" vertical="center" wrapText="1"/>
    </xf>
    <xf borderId="7" fillId="9" fontId="13" numFmtId="0" xfId="0" applyAlignment="1" applyBorder="1" applyFont="1">
      <alignment vertical="center"/>
    </xf>
    <xf borderId="2" fillId="9" fontId="3" numFmtId="0" xfId="0" applyAlignment="1" applyBorder="1" applyFont="1">
      <alignment horizontal="center" shrinkToFit="0" vertical="center" wrapText="1"/>
    </xf>
    <xf borderId="2" fillId="9" fontId="13" numFmtId="0" xfId="0" applyAlignment="1" applyBorder="1" applyFont="1">
      <alignment vertical="center"/>
    </xf>
    <xf borderId="2" fillId="9" fontId="3" numFmtId="165" xfId="0" applyAlignment="1" applyBorder="1" applyFont="1" applyNumberFormat="1">
      <alignment horizontal="center" shrinkToFit="0" vertical="center" wrapText="1"/>
    </xf>
    <xf borderId="2" fillId="9" fontId="3" numFmtId="164" xfId="0" applyAlignment="1" applyBorder="1" applyFont="1" applyNumberFormat="1">
      <alignment horizontal="center" shrinkToFit="0" vertical="center" wrapText="1"/>
    </xf>
    <xf borderId="4" fillId="9" fontId="3" numFmtId="0" xfId="0" applyAlignment="1" applyBorder="1" applyFont="1">
      <alignment readingOrder="0" shrinkToFit="0" vertical="center" wrapText="1"/>
    </xf>
    <xf borderId="3" fillId="9" fontId="3" numFmtId="0" xfId="0" applyAlignment="1" applyBorder="1" applyFont="1">
      <alignment horizontal="center" shrinkToFit="0" vertical="center" wrapText="1"/>
    </xf>
    <xf borderId="2" fillId="9" fontId="3" numFmtId="0" xfId="0" applyAlignment="1" applyBorder="1" applyFont="1">
      <alignment horizontal="center" vertical="center"/>
    </xf>
    <xf borderId="1" fillId="10" fontId="5" numFmtId="0" xfId="0" applyAlignment="1" applyBorder="1" applyFill="1" applyFont="1">
      <alignment horizontal="center" readingOrder="0" shrinkToFit="0" vertical="center" wrapText="1"/>
    </xf>
    <xf borderId="7" fillId="10" fontId="5" numFmtId="0" xfId="0" applyAlignment="1" applyBorder="1" applyFont="1">
      <alignment horizontal="center" readingOrder="0" shrinkToFit="0" vertical="center" wrapText="1"/>
    </xf>
    <xf borderId="7" fillId="10" fontId="6" numFmtId="0" xfId="0" applyAlignment="1" applyBorder="1" applyFont="1">
      <alignment horizontal="center" readingOrder="0" shrinkToFit="0" vertical="center" wrapText="1"/>
    </xf>
    <xf borderId="2" fillId="10" fontId="14" numFmtId="0" xfId="0" applyAlignment="1" applyBorder="1" applyFont="1">
      <alignment horizontal="center" readingOrder="0" shrinkToFit="0" vertical="center" wrapText="1"/>
    </xf>
    <xf borderId="2" fillId="10" fontId="6" numFmtId="0" xfId="0" applyAlignment="1" applyBorder="1" applyFont="1">
      <alignment horizontal="center" readingOrder="0" shrinkToFit="0" vertical="center" wrapText="1"/>
    </xf>
    <xf borderId="2" fillId="10" fontId="6" numFmtId="165" xfId="0" applyAlignment="1" applyBorder="1" applyFont="1" applyNumberFormat="1">
      <alignment horizontal="center" readingOrder="0" shrinkToFit="0" vertical="center" wrapText="1"/>
    </xf>
    <xf borderId="2" fillId="10" fontId="6" numFmtId="164" xfId="0" applyAlignment="1" applyBorder="1" applyFont="1" applyNumberFormat="1">
      <alignment horizontal="center" readingOrder="0" shrinkToFit="0" vertical="center" wrapText="1"/>
    </xf>
    <xf borderId="2" fillId="10" fontId="6" numFmtId="164" xfId="0" applyAlignment="1" applyBorder="1" applyFont="1" applyNumberFormat="1">
      <alignment horizontal="center" shrinkToFit="0" vertical="center" wrapText="1"/>
    </xf>
    <xf borderId="2" fillId="10" fontId="5" numFmtId="0" xfId="0" applyAlignment="1" applyBorder="1" applyFont="1">
      <alignment horizontal="center" shrinkToFit="0" vertical="center" wrapText="1"/>
    </xf>
    <xf borderId="4" fillId="10" fontId="6" numFmtId="0" xfId="0" applyAlignment="1" applyBorder="1" applyFont="1">
      <alignment readingOrder="0" shrinkToFit="0" wrapText="1"/>
    </xf>
    <xf borderId="3" fillId="10" fontId="6" numFmtId="0" xfId="0" applyAlignment="1" applyBorder="1" applyFont="1">
      <alignment horizontal="center" readingOrder="0" shrinkToFit="0" vertical="center" wrapText="1"/>
    </xf>
    <xf borderId="1" fillId="10" fontId="2" numFmtId="0" xfId="0" applyAlignment="1" applyBorder="1" applyFont="1">
      <alignment horizontal="center" readingOrder="0" shrinkToFit="0" vertical="center" wrapText="1"/>
    </xf>
    <xf borderId="7" fillId="10" fontId="2" numFmtId="0" xfId="0" applyAlignment="1" applyBorder="1" applyFont="1">
      <alignment horizontal="center" readingOrder="0" shrinkToFit="0" vertical="center" wrapText="1"/>
    </xf>
    <xf borderId="2" fillId="10" fontId="3" numFmtId="0" xfId="0" applyAlignment="1" applyBorder="1" applyFont="1">
      <alignment horizontal="center" readingOrder="0" shrinkToFit="0" vertical="center" wrapText="1"/>
    </xf>
    <xf borderId="2" fillId="10" fontId="3" numFmtId="165" xfId="0" applyAlignment="1" applyBorder="1" applyFont="1" applyNumberFormat="1">
      <alignment horizontal="center" readingOrder="0" shrinkToFit="0" vertical="center" wrapText="1"/>
    </xf>
    <xf borderId="2" fillId="10" fontId="5" numFmtId="0" xfId="0" applyAlignment="1" applyBorder="1" applyFont="1">
      <alignment horizontal="center" readingOrder="0" shrinkToFit="0" vertical="center" wrapText="1"/>
    </xf>
    <xf borderId="4" fillId="10" fontId="6" numFmtId="0" xfId="0" applyAlignment="1" applyBorder="1" applyFont="1">
      <alignment horizontal="left" readingOrder="0" shrinkToFit="0" vertical="bottom" wrapText="1"/>
    </xf>
    <xf borderId="2" fillId="10" fontId="15" numFmtId="0" xfId="0" applyAlignment="1" applyBorder="1" applyFont="1">
      <alignment horizontal="center" readingOrder="0" vertical="center"/>
    </xf>
    <xf borderId="4" fillId="10" fontId="6" numFmtId="0" xfId="0" applyAlignment="1" applyBorder="1" applyFont="1">
      <alignment readingOrder="0" shrinkToFit="0" wrapText="1"/>
    </xf>
    <xf borderId="2" fillId="10" fontId="6" numFmtId="165" xfId="0" applyAlignment="1" applyBorder="1" applyFont="1" applyNumberFormat="1">
      <alignment horizontal="center" shrinkToFit="0" vertical="center" wrapText="1"/>
    </xf>
    <xf borderId="7" fillId="10" fontId="3" numFmtId="0" xfId="0" applyAlignment="1" applyBorder="1" applyFont="1">
      <alignment horizontal="center" readingOrder="0" shrinkToFit="0" vertical="center" wrapText="1"/>
    </xf>
    <xf borderId="2" fillId="10" fontId="6" numFmtId="0" xfId="0" applyAlignment="1" applyBorder="1" applyFont="1">
      <alignment horizontal="center" shrinkToFit="0" vertical="center" wrapText="1"/>
    </xf>
    <xf borderId="7" fillId="4" fontId="2" numFmtId="0" xfId="0" applyAlignment="1" applyBorder="1" applyFont="1">
      <alignment horizontal="center" readingOrder="0" shrinkToFit="0" vertical="center" wrapText="1"/>
    </xf>
    <xf borderId="7" fillId="4" fontId="6" numFmtId="0" xfId="0" applyAlignment="1" applyBorder="1" applyFont="1">
      <alignment horizontal="center" readingOrder="0" shrinkToFit="0" vertical="center" wrapText="1"/>
    </xf>
    <xf borderId="2" fillId="4" fontId="16" numFmtId="0" xfId="0" applyAlignment="1" applyBorder="1" applyFont="1">
      <alignment horizontal="center" readingOrder="0" shrinkToFit="0" vertical="center" wrapText="1"/>
    </xf>
    <xf borderId="2" fillId="4" fontId="6" numFmtId="0" xfId="0" applyAlignment="1" applyBorder="1" applyFont="1">
      <alignment horizontal="center" readingOrder="0" shrinkToFit="0" vertical="center" wrapText="1"/>
    </xf>
    <xf borderId="2" fillId="4" fontId="6" numFmtId="165" xfId="0" applyAlignment="1" applyBorder="1" applyFont="1" applyNumberFormat="1">
      <alignment horizontal="center" readingOrder="0" shrinkToFit="0" vertical="center" wrapText="1"/>
    </xf>
    <xf borderId="2" fillId="4" fontId="6" numFmtId="164" xfId="0" applyAlignment="1" applyBorder="1" applyFont="1" applyNumberFormat="1">
      <alignment horizontal="center" readingOrder="0" shrinkToFit="0" vertical="center" wrapText="1"/>
    </xf>
    <xf borderId="2" fillId="4" fontId="6" numFmtId="164" xfId="0" applyAlignment="1" applyBorder="1" applyFont="1" applyNumberFormat="1">
      <alignment horizontal="center" shrinkToFit="0" vertical="center" wrapText="1"/>
    </xf>
    <xf borderId="2" fillId="4" fontId="5" numFmtId="0" xfId="0" applyAlignment="1" applyBorder="1" applyFont="1">
      <alignment horizontal="center" readingOrder="0" shrinkToFit="0" vertical="center" wrapText="1"/>
    </xf>
    <xf borderId="4" fillId="4" fontId="6" numFmtId="0" xfId="0" applyAlignment="1" applyBorder="1" applyFont="1">
      <alignment horizontal="left" readingOrder="0" shrinkToFit="0" vertical="bottom" wrapText="1"/>
    </xf>
    <xf borderId="3" fillId="4" fontId="6" numFmtId="0" xfId="0" applyAlignment="1" applyBorder="1" applyFont="1">
      <alignment horizontal="center" readingOrder="0" shrinkToFit="0" vertical="center" wrapText="1"/>
    </xf>
    <xf borderId="2" fillId="4" fontId="5" numFmtId="0" xfId="0" applyAlignment="1" applyBorder="1" applyFont="1">
      <alignment horizontal="center" shrinkToFit="0" vertical="center" wrapText="1"/>
    </xf>
    <xf borderId="4" fillId="4" fontId="6" numFmtId="0" xfId="0" applyAlignment="1" applyBorder="1" applyFont="1">
      <alignment readingOrder="0" shrinkToFit="0" wrapText="1"/>
    </xf>
    <xf borderId="2" fillId="4" fontId="17" numFmtId="0" xfId="0" applyAlignment="1" applyBorder="1" applyFont="1">
      <alignment horizontal="center" readingOrder="0" vertical="center"/>
    </xf>
    <xf borderId="7" fillId="4" fontId="3" numFmtId="0" xfId="0" applyAlignment="1" applyBorder="1" applyFont="1">
      <alignment horizontal="center" readingOrder="0" shrinkToFit="0" vertical="center" wrapText="1"/>
    </xf>
    <xf borderId="1" fillId="11" fontId="2" numFmtId="0" xfId="0" applyAlignment="1" applyBorder="1" applyFill="1" applyFont="1">
      <alignment horizontal="center" readingOrder="0" shrinkToFit="0" vertical="center" wrapText="1"/>
    </xf>
    <xf borderId="7" fillId="11" fontId="2" numFmtId="0" xfId="0" applyAlignment="1" applyBorder="1" applyFont="1">
      <alignment horizontal="center" readingOrder="0" shrinkToFit="0" vertical="center" wrapText="1"/>
    </xf>
    <xf borderId="7" fillId="11" fontId="6" numFmtId="0" xfId="0" applyAlignment="1" applyBorder="1" applyFont="1">
      <alignment horizontal="center" readingOrder="0" shrinkToFit="0" vertical="center" wrapText="1"/>
    </xf>
    <xf borderId="2" fillId="11" fontId="18" numFmtId="0" xfId="0" applyAlignment="1" applyBorder="1" applyFont="1">
      <alignment horizontal="center" readingOrder="0" shrinkToFit="0" vertical="center" wrapText="1"/>
    </xf>
    <xf borderId="2" fillId="11" fontId="6" numFmtId="0" xfId="0" applyAlignment="1" applyBorder="1" applyFont="1">
      <alignment horizontal="center" readingOrder="0" shrinkToFit="0" vertical="center" wrapText="1"/>
    </xf>
    <xf borderId="2" fillId="11" fontId="6" numFmtId="165" xfId="0" applyAlignment="1" applyBorder="1" applyFont="1" applyNumberFormat="1">
      <alignment horizontal="center" readingOrder="0" shrinkToFit="0" vertical="center" wrapText="1"/>
    </xf>
    <xf borderId="2" fillId="11" fontId="6" numFmtId="164" xfId="0" applyAlignment="1" applyBorder="1" applyFont="1" applyNumberFormat="1">
      <alignment horizontal="center" readingOrder="0" shrinkToFit="0" vertical="center" wrapText="1"/>
    </xf>
    <xf borderId="2" fillId="11" fontId="6" numFmtId="164" xfId="0" applyAlignment="1" applyBorder="1" applyFont="1" applyNumberFormat="1">
      <alignment horizontal="center" shrinkToFit="0" vertical="center" wrapText="1"/>
    </xf>
    <xf borderId="2" fillId="11" fontId="5" numFmtId="0" xfId="0" applyAlignment="1" applyBorder="1" applyFont="1">
      <alignment horizontal="center" readingOrder="0" shrinkToFit="0" vertical="center" wrapText="1"/>
    </xf>
    <xf borderId="4" fillId="11" fontId="6" numFmtId="0" xfId="0" applyAlignment="1" applyBorder="1" applyFont="1">
      <alignment readingOrder="0" shrinkToFit="0" wrapText="1"/>
    </xf>
    <xf borderId="3" fillId="11" fontId="6" numFmtId="0" xfId="0" applyAlignment="1" applyBorder="1" applyFont="1">
      <alignment horizontal="center" readingOrder="0" shrinkToFit="0" vertical="center" wrapText="1"/>
    </xf>
    <xf borderId="2" fillId="11" fontId="5" numFmtId="0" xfId="0" applyAlignment="1" applyBorder="1" applyFont="1">
      <alignment horizontal="center" shrinkToFit="0" vertical="center" wrapText="1"/>
    </xf>
    <xf borderId="2" fillId="11" fontId="6" numFmtId="0" xfId="0" applyAlignment="1" applyBorder="1" applyFont="1">
      <alignment horizontal="center" shrinkToFit="0" vertical="center" wrapText="1"/>
    </xf>
    <xf borderId="1" fillId="12" fontId="2" numFmtId="0" xfId="0" applyAlignment="1" applyBorder="1" applyFill="1" applyFont="1">
      <alignment horizontal="center" readingOrder="0" shrinkToFit="0" vertical="center" wrapText="1"/>
    </xf>
    <xf borderId="7" fillId="12" fontId="2" numFmtId="0" xfId="0" applyAlignment="1" applyBorder="1" applyFont="1">
      <alignment horizontal="center" readingOrder="0" shrinkToFit="0" vertical="center" wrapText="1"/>
    </xf>
    <xf borderId="7" fillId="12" fontId="6" numFmtId="0" xfId="0" applyAlignment="1" applyBorder="1" applyFont="1">
      <alignment horizontal="center" readingOrder="0" shrinkToFit="0" vertical="center" wrapText="1"/>
    </xf>
    <xf borderId="2" fillId="12" fontId="19" numFmtId="0" xfId="0" applyAlignment="1" applyBorder="1" applyFont="1">
      <alignment horizontal="center" readingOrder="0" shrinkToFit="0" vertical="center" wrapText="1"/>
    </xf>
    <xf borderId="2" fillId="12" fontId="6" numFmtId="0" xfId="0" applyAlignment="1" applyBorder="1" applyFont="1">
      <alignment horizontal="center" readingOrder="0" shrinkToFit="0" vertical="center" wrapText="1"/>
    </xf>
    <xf borderId="2" fillId="12" fontId="6" numFmtId="165" xfId="0" applyAlignment="1" applyBorder="1" applyFont="1" applyNumberFormat="1">
      <alignment horizontal="center" readingOrder="0" shrinkToFit="0" vertical="center" wrapText="1"/>
    </xf>
    <xf borderId="2" fillId="12" fontId="6" numFmtId="164" xfId="0" applyAlignment="1" applyBorder="1" applyFont="1" applyNumberFormat="1">
      <alignment horizontal="center" readingOrder="0" shrinkToFit="0" vertical="center" wrapText="1"/>
    </xf>
    <xf borderId="2" fillId="12" fontId="6" numFmtId="164" xfId="0" applyAlignment="1" applyBorder="1" applyFont="1" applyNumberFormat="1">
      <alignment horizontal="center" shrinkToFit="0" vertical="center" wrapText="1"/>
    </xf>
    <xf borderId="2" fillId="12" fontId="5" numFmtId="0" xfId="0" applyAlignment="1" applyBorder="1" applyFont="1">
      <alignment horizontal="center" readingOrder="0" shrinkToFit="0" vertical="center" wrapText="1"/>
    </xf>
    <xf borderId="4" fillId="12" fontId="6" numFmtId="0" xfId="0" applyAlignment="1" applyBorder="1" applyFont="1">
      <alignment readingOrder="0" shrinkToFit="0" wrapText="1"/>
    </xf>
    <xf borderId="3" fillId="12" fontId="6" numFmtId="0" xfId="0" applyAlignment="1" applyBorder="1" applyFont="1">
      <alignment horizontal="center" readingOrder="0" shrinkToFit="0" vertical="center" wrapText="1"/>
    </xf>
    <xf borderId="2" fillId="12" fontId="2" numFmtId="0" xfId="0" applyAlignment="1" applyBorder="1" applyFont="1">
      <alignment horizontal="center" readingOrder="0" shrinkToFit="0" vertical="center" wrapText="1"/>
    </xf>
    <xf borderId="0" fillId="12" fontId="20" numFmtId="0" xfId="0" applyFont="1"/>
    <xf borderId="2" fillId="12" fontId="5" numFmtId="0" xfId="0" applyAlignment="1" applyBorder="1" applyFont="1">
      <alignment horizontal="center" shrinkToFit="0" vertical="center" wrapText="1"/>
    </xf>
    <xf borderId="4" fillId="12" fontId="6" numFmtId="0" xfId="0" applyAlignment="1" applyBorder="1" applyFont="1">
      <alignment readingOrder="0" shrinkToFit="0" vertical="bottom" wrapText="1"/>
    </xf>
    <xf borderId="5" fillId="12" fontId="2" numFmtId="0" xfId="0" applyAlignment="1" applyBorder="1" applyFont="1">
      <alignment horizontal="center" readingOrder="0" shrinkToFit="0" vertical="center" wrapText="1"/>
    </xf>
    <xf borderId="7" fillId="12" fontId="21" numFmtId="0" xfId="0" applyAlignment="1" applyBorder="1" applyFont="1">
      <alignment horizontal="center" readingOrder="0" shrinkToFit="0" vertical="center" wrapText="1"/>
    </xf>
    <xf borderId="2" fillId="12" fontId="6" numFmtId="0" xfId="0" applyAlignment="1" applyBorder="1" applyFont="1">
      <alignment horizontal="center" shrinkToFit="0" vertical="center" wrapText="1"/>
    </xf>
    <xf borderId="2" fillId="12" fontId="20" numFmtId="0" xfId="0" applyBorder="1" applyFont="1"/>
    <xf borderId="2" fillId="12" fontId="6" numFmtId="0" xfId="0" applyAlignment="1" applyBorder="1" applyFont="1">
      <alignment readingOrder="0" shrinkToFit="0" wrapText="1"/>
    </xf>
    <xf borderId="5" fillId="12" fontId="22" numFmtId="0" xfId="0" applyAlignment="1" applyBorder="1" applyFont="1">
      <alignment horizontal="center" readingOrder="0" shrinkToFit="0" vertical="center" wrapText="1"/>
    </xf>
    <xf borderId="5" fillId="12" fontId="6" numFmtId="0" xfId="0" applyAlignment="1" applyBorder="1" applyFont="1">
      <alignment horizontal="center" readingOrder="0" shrinkToFit="0" vertical="center" wrapText="1"/>
    </xf>
    <xf borderId="5" fillId="12" fontId="6" numFmtId="165" xfId="0" applyAlignment="1" applyBorder="1" applyFont="1" applyNumberFormat="1">
      <alignment horizontal="center" readingOrder="0" shrinkToFit="0" vertical="center" wrapText="1"/>
    </xf>
    <xf borderId="5" fillId="12" fontId="6" numFmtId="164" xfId="0" applyAlignment="1" applyBorder="1" applyFont="1" applyNumberFormat="1">
      <alignment horizontal="center" readingOrder="0" shrinkToFit="0" vertical="center" wrapText="1"/>
    </xf>
    <xf borderId="5" fillId="12" fontId="5" numFmtId="0" xfId="0" applyAlignment="1" applyBorder="1" applyFont="1">
      <alignment horizontal="center" shrinkToFit="0" vertical="center" wrapText="1"/>
    </xf>
    <xf borderId="8" fillId="12" fontId="6" numFmtId="0" xfId="0" applyAlignment="1" applyBorder="1" applyFont="1">
      <alignment readingOrder="0" shrinkToFit="0" vertical="bottom" wrapText="1"/>
    </xf>
    <xf borderId="6" fillId="12" fontId="6" numFmtId="0" xfId="0" applyAlignment="1" applyBorder="1" applyFont="1">
      <alignment horizontal="center" readingOrder="0" shrinkToFit="0" vertical="center" wrapText="1"/>
    </xf>
    <xf borderId="9" fillId="12"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2" fontId="6" numFmtId="0" xfId="0" applyAlignment="1" applyBorder="1" applyFont="1">
      <alignment horizontal="center" readingOrder="0" shrinkToFit="0" vertical="center" wrapText="1"/>
    </xf>
    <xf borderId="2" fillId="2" fontId="6" numFmtId="165" xfId="0" applyAlignment="1" applyBorder="1" applyFont="1" applyNumberFormat="1">
      <alignment horizontal="center" readingOrder="0" shrinkToFit="0" vertical="center" wrapText="1"/>
    </xf>
    <xf borderId="2" fillId="2" fontId="6" numFmtId="164" xfId="0" applyAlignment="1" applyBorder="1" applyFont="1" applyNumberFormat="1">
      <alignment horizontal="center" readingOrder="0" shrinkToFit="0" vertical="center" wrapText="1"/>
    </xf>
    <xf borderId="2" fillId="2" fontId="6" numFmtId="164" xfId="0" applyAlignment="1" applyBorder="1" applyFont="1" applyNumberFormat="1">
      <alignment horizontal="center" shrinkToFit="0" vertical="center" wrapText="1"/>
    </xf>
    <xf borderId="2" fillId="2" fontId="5" numFmtId="0" xfId="0" applyAlignment="1" applyBorder="1" applyFont="1">
      <alignment horizontal="center" shrinkToFit="0" vertical="center" wrapText="1"/>
    </xf>
    <xf borderId="4" fillId="2" fontId="6" numFmtId="0" xfId="0" applyAlignment="1" applyBorder="1" applyFont="1">
      <alignment readingOrder="0" shrinkToFit="0" wrapText="1"/>
    </xf>
    <xf borderId="3" fillId="2" fontId="6" numFmtId="0" xfId="0" applyAlignment="1" applyBorder="1" applyFont="1">
      <alignment horizontal="center" readingOrder="0" shrinkToFit="0" vertical="center" wrapText="1"/>
    </xf>
    <xf borderId="7" fillId="2" fontId="2" numFmtId="0" xfId="0" applyAlignment="1" applyBorder="1" applyFont="1">
      <alignment horizontal="center" readingOrder="0" shrinkToFit="0" vertical="center" wrapText="1"/>
    </xf>
    <xf borderId="7" fillId="2" fontId="6" numFmtId="0" xfId="0" applyAlignment="1" applyBorder="1" applyFont="1">
      <alignment horizontal="center" readingOrder="0" shrinkToFit="0" vertical="center" wrapText="1"/>
    </xf>
    <xf borderId="2" fillId="2" fontId="23" numFmtId="0" xfId="0" applyAlignment="1" applyBorder="1" applyFont="1">
      <alignment horizontal="center" readingOrder="0" shrinkToFit="0" vertical="center" wrapText="1"/>
    </xf>
    <xf borderId="2" fillId="0" fontId="6" numFmtId="164" xfId="0" applyAlignment="1" applyBorder="1" applyFont="1" applyNumberFormat="1">
      <alignment horizontal="center" shrinkToFit="0" vertical="center" wrapText="1"/>
    </xf>
    <xf borderId="2" fillId="2" fontId="5"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0" fontId="6" numFmtId="165" xfId="0" applyAlignment="1" applyBorder="1" applyFont="1" applyNumberFormat="1">
      <alignment horizontal="center" readingOrder="0" shrinkToFit="0" vertical="center" wrapText="1"/>
    </xf>
    <xf borderId="2" fillId="0" fontId="6" numFmtId="164" xfId="0" applyAlignment="1" applyBorder="1" applyFont="1" applyNumberFormat="1">
      <alignment horizontal="center" readingOrder="0" shrinkToFit="0" vertical="center" wrapText="1"/>
    </xf>
    <xf borderId="2" fillId="2" fontId="6" numFmtId="0" xfId="0" applyAlignment="1" applyBorder="1" applyFont="1">
      <alignment readingOrder="0" shrinkToFit="0" wrapText="1"/>
    </xf>
    <xf borderId="2" fillId="2" fontId="3" numFmtId="0" xfId="0" applyAlignment="1" applyBorder="1" applyFont="1">
      <alignment horizontal="center" readingOrder="0" shrinkToFit="0" vertical="center" wrapText="1"/>
    </xf>
    <xf borderId="7" fillId="2" fontId="3" numFmtId="0" xfId="0" applyAlignment="1" applyBorder="1" applyFont="1">
      <alignment horizontal="center" readingOrder="0" shrinkToFit="0" vertical="center" wrapText="1"/>
    </xf>
    <xf borderId="2" fillId="0" fontId="3" numFmtId="164" xfId="0" applyAlignment="1" applyBorder="1" applyFont="1" applyNumberFormat="1">
      <alignment horizontal="center" readingOrder="0" shrinkToFit="0" vertical="center" wrapText="1"/>
    </xf>
    <xf borderId="2" fillId="2" fontId="13" numFmtId="0" xfId="0" applyAlignment="1" applyBorder="1" applyFont="1">
      <alignment horizontal="center" vertical="center"/>
    </xf>
    <xf borderId="2" fillId="13" fontId="3" numFmtId="0" xfId="0" applyAlignment="1" applyBorder="1" applyFill="1" applyFont="1">
      <alignment horizontal="center" readingOrder="0" shrinkToFit="0" vertical="center" wrapText="1"/>
    </xf>
    <xf borderId="2" fillId="14" fontId="3" numFmtId="0" xfId="0" applyAlignment="1" applyBorder="1" applyFill="1" applyFont="1">
      <alignment horizontal="center" readingOrder="0" shrinkToFit="0" vertical="center" wrapText="1"/>
    </xf>
    <xf borderId="2" fillId="15" fontId="3" numFmtId="0" xfId="0" applyAlignment="1" applyBorder="1" applyFill="1" applyFont="1">
      <alignment horizontal="center" readingOrder="0" shrinkToFit="0" vertical="center" wrapText="1"/>
    </xf>
    <xf borderId="2" fillId="16" fontId="3" numFmtId="0" xfId="0" applyAlignment="1" applyBorder="1" applyFill="1" applyFont="1">
      <alignment horizontal="center" readingOrder="0" shrinkToFit="0" vertical="center" wrapText="1"/>
    </xf>
    <xf borderId="2" fillId="17" fontId="3" numFmtId="0" xfId="0" applyAlignment="1" applyBorder="1" applyFill="1" applyFont="1">
      <alignment horizontal="center" readingOrder="0" shrinkToFit="0" vertical="center" wrapText="1"/>
    </xf>
    <xf borderId="2" fillId="18" fontId="3" numFmtId="0" xfId="0" applyAlignment="1" applyBorder="1" applyFill="1" applyFont="1">
      <alignment horizontal="center" readingOrder="0" shrinkToFit="0" vertical="center" wrapText="1"/>
    </xf>
    <xf borderId="2" fillId="19" fontId="3" numFmtId="0" xfId="0" applyAlignment="1" applyBorder="1" applyFill="1" applyFont="1">
      <alignment horizontal="center" readingOrder="0" shrinkToFit="0" vertical="center" wrapText="1"/>
    </xf>
    <xf borderId="2" fillId="20" fontId="3" numFmtId="0" xfId="0" applyAlignment="1" applyBorder="1" applyFill="1" applyFont="1">
      <alignment horizontal="center" readingOrder="0" shrinkToFit="0" vertical="center" wrapText="1"/>
    </xf>
    <xf borderId="2" fillId="21" fontId="3" numFmtId="0" xfId="0" applyAlignment="1" applyBorder="1" applyFill="1" applyFont="1">
      <alignment horizontal="center" readingOrder="0" shrinkToFit="0" vertical="center" wrapText="1"/>
    </xf>
    <xf borderId="2" fillId="22" fontId="3" numFmtId="0" xfId="0" applyAlignment="1" applyBorder="1" applyFill="1" applyFont="1">
      <alignment horizontal="center" readingOrder="0" shrinkToFit="0" vertical="center" wrapText="1"/>
    </xf>
    <xf borderId="3" fillId="23" fontId="3" numFmtId="0" xfId="0" applyAlignment="1" applyBorder="1" applyFill="1" applyFont="1">
      <alignment horizontal="center" readingOrder="0" shrinkToFit="0" vertical="center" wrapText="1"/>
    </xf>
    <xf borderId="9" fillId="2" fontId="6" numFmtId="0" xfId="0" applyAlignment="1" applyBorder="1" applyFont="1">
      <alignment horizontal="center" readingOrder="0" shrinkToFit="0" vertical="center" wrapText="1"/>
    </xf>
    <xf borderId="7" fillId="2" fontId="24" numFmtId="0" xfId="0" applyAlignment="1" applyBorder="1" applyFont="1">
      <alignment horizontal="center" readingOrder="0" shrinkToFit="0" vertical="center" wrapText="1"/>
    </xf>
    <xf borderId="2" fillId="9" fontId="6" numFmtId="0" xfId="0" applyAlignment="1" applyBorder="1" applyFont="1">
      <alignment horizontal="center" shrinkToFit="0" vertical="center" wrapText="1"/>
    </xf>
    <xf borderId="2" fillId="9" fontId="6" numFmtId="165" xfId="0" applyAlignment="1" applyBorder="1" applyFont="1" applyNumberFormat="1">
      <alignment horizontal="center" shrinkToFit="0" vertical="center" wrapText="1"/>
    </xf>
    <xf borderId="2" fillId="4" fontId="3" numFmtId="164" xfId="0" applyAlignment="1" applyBorder="1" applyFont="1" applyNumberFormat="1">
      <alignment horizontal="center" readingOrder="0" shrinkToFit="0" vertical="center" wrapText="1"/>
    </xf>
    <xf borderId="2" fillId="4" fontId="3" numFmtId="0" xfId="0" applyAlignment="1" applyBorder="1" applyFont="1">
      <alignment horizontal="center" vertical="center"/>
    </xf>
    <xf borderId="3" fillId="4" fontId="3" numFmtId="0" xfId="0" applyAlignment="1" applyBorder="1" applyFont="1">
      <alignment horizontal="center" readingOrder="0" shrinkToFit="0" vertical="center" wrapText="1"/>
    </xf>
    <xf borderId="4" fillId="4" fontId="6" numFmtId="0" xfId="0" applyAlignment="1" applyBorder="1" applyFont="1">
      <alignment readingOrder="0" shrinkToFit="0" wrapText="1"/>
    </xf>
    <xf borderId="2" fillId="4" fontId="6" numFmtId="165" xfId="0" applyAlignment="1" applyBorder="1" applyFont="1" applyNumberFormat="1">
      <alignment horizontal="center" shrinkToFit="0" vertical="center" wrapText="1"/>
    </xf>
    <xf borderId="9" fillId="2" fontId="2" numFmtId="0" xfId="0" applyAlignment="1" applyBorder="1" applyFont="1">
      <alignment horizontal="center" readingOrder="0" shrinkToFit="0" vertical="center" wrapText="1"/>
    </xf>
    <xf borderId="5" fillId="2" fontId="25"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1"/>
    </xf>
    <xf borderId="5" fillId="2" fontId="6" numFmtId="165" xfId="0" applyAlignment="1" applyBorder="1" applyFont="1" applyNumberFormat="1">
      <alignment horizontal="center" readingOrder="0" shrinkToFit="0" vertical="center" wrapText="1"/>
    </xf>
    <xf borderId="5" fillId="2" fontId="6" numFmtId="164" xfId="0" applyAlignment="1" applyBorder="1" applyFont="1" applyNumberFormat="1">
      <alignment horizontal="center" readingOrder="0" shrinkToFit="0" vertical="center" wrapText="1"/>
    </xf>
    <xf borderId="5" fillId="2" fontId="5" numFmtId="0" xfId="0" applyAlignment="1" applyBorder="1" applyFont="1">
      <alignment horizontal="center" shrinkToFit="0" vertical="center" wrapText="1"/>
    </xf>
    <xf borderId="8" fillId="2" fontId="6" numFmtId="0" xfId="0" applyAlignment="1" applyBorder="1" applyFont="1">
      <alignment readingOrder="0" shrinkToFit="0" vertical="bottom" wrapText="1"/>
    </xf>
    <xf borderId="6" fillId="2" fontId="6" numFmtId="0" xfId="0" applyAlignment="1" applyBorder="1" applyFont="1">
      <alignment horizontal="center" readingOrder="0" shrinkToFit="0" vertical="center" wrapText="1"/>
    </xf>
    <xf borderId="2" fillId="2" fontId="20" numFmtId="0" xfId="0" applyBorder="1" applyFont="1"/>
    <xf borderId="2" fillId="2" fontId="26" numFmtId="0" xfId="0" applyAlignment="1" applyBorder="1" applyFont="1">
      <alignment horizontal="center" readingOrder="0" shrinkToFit="0" vertical="center" wrapText="1"/>
    </xf>
    <xf borderId="0" fillId="0" fontId="20" numFmtId="0" xfId="0" applyAlignment="1" applyFont="1">
      <alignment readingOrder="0"/>
    </xf>
    <xf borderId="0" fillId="0" fontId="20" numFmtId="0" xfId="0" applyAlignment="1" applyFont="1">
      <alignment horizontal="left" readingOrder="0"/>
    </xf>
    <xf borderId="0" fillId="0" fontId="20" numFmtId="0" xfId="0" applyAlignment="1" applyFont="1">
      <alignment horizontal="left"/>
    </xf>
    <xf borderId="0" fillId="0" fontId="1" numFmtId="0" xfId="0" applyAlignment="1" applyFont="1">
      <alignment horizontal="center" readingOrder="0" shrinkToFit="0" vertical="center" wrapText="1"/>
    </xf>
    <xf borderId="10" fillId="24" fontId="1" numFmtId="0" xfId="0" applyAlignment="1" applyBorder="1" applyFill="1" applyFont="1">
      <alignment horizontal="center" readingOrder="0" shrinkToFit="0" vertical="center" wrapText="1"/>
    </xf>
    <xf borderId="11" fillId="24" fontId="1" numFmtId="0" xfId="0" applyAlignment="1" applyBorder="1" applyFont="1">
      <alignment horizontal="center" shrinkToFit="0" vertical="center" wrapText="1"/>
    </xf>
    <xf borderId="11" fillId="24" fontId="1" numFmtId="0" xfId="0" applyAlignment="1" applyBorder="1" applyFont="1">
      <alignment horizontal="center" readingOrder="0" shrinkToFit="0" vertical="center" wrapText="1"/>
    </xf>
    <xf borderId="11" fillId="24" fontId="1" numFmtId="164" xfId="0" applyAlignment="1" applyBorder="1" applyFont="1" applyNumberFormat="1">
      <alignment horizontal="center" readingOrder="0" shrinkToFit="0" vertical="center" wrapText="1"/>
    </xf>
    <xf borderId="12" fillId="24" fontId="1" numFmtId="0" xfId="0" applyAlignment="1" applyBorder="1" applyFont="1">
      <alignment horizontal="center" shrinkToFit="0" vertical="center" wrapText="1"/>
    </xf>
    <xf borderId="0" fillId="0" fontId="27" numFmtId="0" xfId="0" applyAlignment="1" applyFont="1">
      <alignment horizontal="center" vertical="center"/>
    </xf>
    <xf borderId="3" fillId="4" fontId="3" numFmtId="0" xfId="0" applyAlignment="1" applyBorder="1" applyFont="1">
      <alignment horizontal="left" shrinkToFit="0" vertical="center" wrapText="1"/>
    </xf>
    <xf borderId="2" fillId="25" fontId="2" numFmtId="0" xfId="0" applyAlignment="1" applyBorder="1" applyFill="1" applyFont="1">
      <alignment horizontal="center" shrinkToFit="0" vertical="center" wrapText="1"/>
    </xf>
    <xf borderId="2" fillId="26" fontId="2" numFmtId="0" xfId="0" applyAlignment="1" applyBorder="1" applyFill="1" applyFont="1">
      <alignment horizontal="center" shrinkToFit="0" vertical="center" wrapText="1"/>
    </xf>
    <xf borderId="2" fillId="27" fontId="2" numFmtId="0" xfId="0" applyAlignment="1" applyBorder="1" applyFill="1" applyFont="1">
      <alignment horizontal="center" shrinkToFit="0" vertical="center" wrapText="1"/>
    </xf>
    <xf borderId="2" fillId="28" fontId="2" numFmtId="0" xfId="0" applyAlignment="1" applyBorder="1" applyFill="1" applyFont="1">
      <alignment horizontal="center" shrinkToFit="0" vertical="center" wrapText="1"/>
    </xf>
    <xf borderId="2" fillId="29" fontId="2" numFmtId="0" xfId="0" applyAlignment="1" applyBorder="1" applyFill="1" applyFont="1">
      <alignment horizontal="center" shrinkToFit="0" vertical="center" wrapText="1"/>
    </xf>
    <xf borderId="2" fillId="30" fontId="2" numFmtId="0" xfId="0" applyAlignment="1" applyBorder="1" applyFill="1" applyFont="1">
      <alignment horizontal="center" shrinkToFit="0" vertical="center" wrapText="1"/>
    </xf>
    <xf borderId="2" fillId="31" fontId="2" numFmtId="0" xfId="0" applyAlignment="1" applyBorder="1" applyFill="1" applyFont="1">
      <alignment horizontal="center" shrinkToFit="0" vertical="center" wrapText="1"/>
    </xf>
    <xf borderId="2" fillId="32" fontId="2" numFmtId="0" xfId="0" applyAlignment="1" applyBorder="1" applyFill="1" applyFont="1">
      <alignment horizontal="center" shrinkToFit="0" vertical="center" wrapText="1"/>
    </xf>
    <xf borderId="2" fillId="33" fontId="2" numFmtId="0" xfId="0" applyAlignment="1" applyBorder="1" applyFill="1" applyFont="1">
      <alignment horizontal="center" shrinkToFit="0" vertical="center" wrapText="1"/>
    </xf>
    <xf borderId="2" fillId="34" fontId="2" numFmtId="0" xfId="0" applyAlignment="1" applyBorder="1" applyFill="1" applyFont="1">
      <alignment horizontal="center" shrinkToFit="0" vertical="center" wrapText="1"/>
    </xf>
    <xf borderId="2" fillId="35" fontId="2" numFmtId="0" xfId="0" applyAlignment="1" applyBorder="1" applyFill="1" applyFont="1">
      <alignment horizontal="center" shrinkToFit="0" vertical="center" wrapText="1"/>
    </xf>
    <xf borderId="2" fillId="36" fontId="2" numFmtId="0" xfId="0" applyAlignment="1" applyBorder="1" applyFill="1" applyFont="1">
      <alignment horizontal="center" shrinkToFit="0" vertical="center" wrapText="1"/>
    </xf>
    <xf borderId="2" fillId="37" fontId="2" numFmtId="0" xfId="0" applyAlignment="1" applyBorder="1" applyFill="1" applyFont="1">
      <alignment horizontal="center" shrinkToFit="0" vertical="center" wrapText="1"/>
    </xf>
    <xf borderId="2" fillId="38" fontId="2" numFmtId="0" xfId="0" applyAlignment="1" applyBorder="1" applyFill="1" applyFont="1">
      <alignment horizontal="center" shrinkToFit="0" vertical="center" wrapText="1"/>
    </xf>
    <xf borderId="2" fillId="39" fontId="2" numFmtId="0" xfId="0" applyAlignment="1" applyBorder="1" applyFill="1" applyFont="1">
      <alignment horizontal="center" shrinkToFit="0" vertical="center" wrapText="1"/>
    </xf>
    <xf borderId="2" fillId="29" fontId="2" numFmtId="0" xfId="0" applyAlignment="1" applyBorder="1" applyFont="1">
      <alignment horizontal="center" shrinkToFit="0" vertical="center" wrapText="1"/>
    </xf>
    <xf borderId="2" fillId="19" fontId="2"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 fillId="40" fontId="2" numFmtId="0" xfId="0" applyAlignment="1" applyBorder="1" applyFill="1" applyFont="1">
      <alignment horizontal="center" shrinkToFit="0" vertical="center" wrapText="1"/>
    </xf>
    <xf borderId="2" fillId="41" fontId="2" numFmtId="0" xfId="0" applyAlignment="1" applyBorder="1" applyFill="1" applyFont="1">
      <alignment horizontal="center" shrinkToFit="0" vertical="center" wrapText="1"/>
    </xf>
    <xf borderId="2" fillId="42" fontId="2" numFmtId="0" xfId="0" applyAlignment="1" applyBorder="1" applyFill="1" applyFont="1">
      <alignment horizontal="center" shrinkToFit="0" vertical="center" wrapText="1"/>
    </xf>
    <xf borderId="2" fillId="43" fontId="2" numFmtId="0" xfId="0" applyAlignment="1" applyBorder="1" applyFill="1" applyFont="1">
      <alignment horizontal="center" shrinkToFit="0" vertical="center" wrapText="1"/>
    </xf>
    <xf borderId="2" fillId="44" fontId="2" numFmtId="0" xfId="0" applyAlignment="1" applyBorder="1" applyFill="1" applyFont="1">
      <alignment horizontal="center" shrinkToFit="0" vertical="center" wrapText="1"/>
    </xf>
    <xf borderId="2" fillId="45" fontId="2" numFmtId="0" xfId="0" applyAlignment="1" applyBorder="1" applyFill="1" applyFont="1">
      <alignment horizontal="center" shrinkToFit="0" vertical="center" wrapText="1"/>
    </xf>
    <xf borderId="2" fillId="46" fontId="2" numFmtId="0" xfId="0" applyAlignment="1" applyBorder="1" applyFill="1" applyFont="1">
      <alignment horizontal="center" shrinkToFit="0" vertical="center" wrapText="1"/>
    </xf>
    <xf borderId="2" fillId="47" fontId="2" numFmtId="0" xfId="0" applyAlignment="1" applyBorder="1" applyFill="1" applyFont="1">
      <alignment horizontal="center" shrinkToFit="0" vertical="center" wrapText="1"/>
    </xf>
    <xf borderId="2" fillId="48" fontId="2" numFmtId="0" xfId="0" applyAlignment="1" applyBorder="1" applyFill="1" applyFont="1">
      <alignment horizontal="center" shrinkToFit="0" vertical="center" wrapText="1"/>
    </xf>
    <xf borderId="2" fillId="49" fontId="2" numFmtId="0" xfId="0" applyAlignment="1" applyBorder="1" applyFill="1" applyFont="1">
      <alignment horizontal="center" shrinkToFit="0" vertical="center" wrapText="1"/>
    </xf>
    <xf borderId="2" fillId="50" fontId="2" numFmtId="0" xfId="0" applyAlignment="1" applyBorder="1" applyFill="1" applyFont="1">
      <alignment horizontal="center" shrinkToFit="0" vertical="center" wrapText="1"/>
    </xf>
    <xf borderId="2" fillId="51" fontId="2" numFmtId="0" xfId="0" applyAlignment="1" applyBorder="1" applyFill="1" applyFont="1">
      <alignment horizontal="center" shrinkToFit="0" vertical="center" wrapText="1"/>
    </xf>
    <xf borderId="2" fillId="52" fontId="2" numFmtId="0" xfId="0" applyAlignment="1" applyBorder="1" applyFill="1" applyFont="1">
      <alignment horizontal="center" shrinkToFit="0" vertical="center" wrapText="1"/>
    </xf>
    <xf borderId="2" fillId="53" fontId="2" numFmtId="0" xfId="0" applyAlignment="1" applyBorder="1" applyFill="1" applyFont="1">
      <alignment horizontal="center" shrinkToFit="0" vertical="center" wrapText="1"/>
    </xf>
    <xf borderId="2" fillId="54" fontId="2" numFmtId="0" xfId="0" applyAlignment="1" applyBorder="1" applyFill="1" applyFont="1">
      <alignment horizontal="center" shrinkToFit="0" vertical="center" wrapText="1"/>
    </xf>
    <xf borderId="5" fillId="2" fontId="3" numFmtId="0" xfId="0" applyAlignment="1" applyBorder="1" applyFont="1">
      <alignment horizontal="center" shrinkToFit="0" vertical="center" wrapText="1"/>
    </xf>
    <xf borderId="5" fillId="2" fontId="3" numFmtId="165" xfId="0" applyAlignment="1" applyBorder="1" applyFont="1" applyNumberFormat="1">
      <alignment horizontal="center" shrinkToFit="0" vertical="center" wrapText="1"/>
    </xf>
    <xf borderId="5" fillId="2" fontId="3" numFmtId="164" xfId="0" applyAlignment="1" applyBorder="1" applyFont="1" applyNumberFormat="1">
      <alignment horizontal="center" shrinkToFit="0" vertical="center" wrapText="1"/>
    </xf>
    <xf borderId="5" fillId="2" fontId="2" numFmtId="0" xfId="0" applyAlignment="1" applyBorder="1" applyFont="1">
      <alignment horizontal="center" shrinkToFit="0" vertical="center" wrapText="1"/>
    </xf>
    <xf borderId="6" fillId="2" fontId="3" numFmtId="0" xfId="0" applyAlignment="1" applyBorder="1" applyFont="1">
      <alignment shrinkToFit="0" wrapText="1"/>
    </xf>
    <xf borderId="3" fillId="2" fontId="3" numFmtId="0" xfId="0" applyAlignment="1" applyBorder="1" applyFont="1">
      <alignment shrinkToFit="0" wrapText="1"/>
    </xf>
    <xf borderId="3" fillId="4" fontId="3" numFmtId="0" xfId="0" applyAlignment="1" applyBorder="1" applyFont="1">
      <alignment readingOrder="0" shrinkToFit="0" wrapText="1"/>
    </xf>
    <xf borderId="3" fillId="2" fontId="3" numFmtId="0" xfId="0" applyAlignment="1" applyBorder="1" applyFont="1">
      <alignment horizontal="left" readingOrder="0" shrinkToFit="0"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3" fillId="2" fontId="3" numFmtId="0" xfId="0" applyAlignment="1" applyBorder="1" applyFont="1">
      <alignment horizontal="left" shrinkToFit="0" wrapText="1"/>
    </xf>
    <xf borderId="3" fillId="4" fontId="3" numFmtId="0" xfId="0" applyAlignment="1" applyBorder="1" applyFont="1">
      <alignment horizontal="left" readingOrder="0" shrinkToFit="0" wrapText="1"/>
    </xf>
    <xf borderId="3" fillId="4" fontId="3" numFmtId="0" xfId="0" applyAlignment="1" applyBorder="1" applyFont="1">
      <alignment shrinkToFit="0" vertical="bottom" wrapText="1"/>
    </xf>
    <xf borderId="3" fillId="2" fontId="3" numFmtId="0" xfId="0" applyAlignment="1" applyBorder="1" applyFont="1">
      <alignment horizontal="left" shrinkToFit="0" wrapText="1"/>
    </xf>
    <xf borderId="3" fillId="4" fontId="3" numFmtId="0" xfId="0" applyAlignment="1" applyBorder="1" applyFont="1">
      <alignment horizontal="left" shrinkToFit="0" wrapText="1"/>
    </xf>
    <xf borderId="13" fillId="0" fontId="28" numFmtId="0" xfId="0" applyBorder="1" applyFont="1"/>
    <xf borderId="3" fillId="4" fontId="3" numFmtId="0" xfId="0" applyAlignment="1" applyBorder="1" applyFont="1">
      <alignment horizontal="left" readingOrder="0" shrinkToFit="0" vertical="bottom" wrapText="1"/>
    </xf>
    <xf borderId="3" fillId="0" fontId="3" numFmtId="0" xfId="0" applyAlignment="1" applyBorder="1" applyFont="1">
      <alignment horizontal="left" readingOrder="0" shrinkToFit="0" wrapText="1"/>
    </xf>
    <xf borderId="14"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3" fillId="0" fontId="3" numFmtId="0" xfId="0" applyAlignment="1" applyBorder="1" applyFont="1">
      <alignment horizontal="left" shrinkToFit="0" wrapText="1"/>
    </xf>
    <xf borderId="6" fillId="2" fontId="3" numFmtId="0" xfId="0" applyAlignment="1" applyBorder="1" applyFont="1">
      <alignment horizontal="left" readingOrder="0" shrinkToFit="0" wrapText="1"/>
    </xf>
    <xf borderId="2" fillId="30" fontId="2" numFmtId="0" xfId="0" applyAlignment="1" applyBorder="1" applyFont="1">
      <alignment horizontal="center" readingOrder="0" shrinkToFit="0" vertical="center" wrapText="1"/>
    </xf>
    <xf borderId="15" fillId="2" fontId="3" numFmtId="0" xfId="0" applyAlignment="1" applyBorder="1" applyFont="1">
      <alignment horizontal="center" shrinkToFit="0" vertical="center" wrapText="1"/>
    </xf>
    <xf borderId="15" fillId="2" fontId="3" numFmtId="165" xfId="0" applyAlignment="1" applyBorder="1" applyFont="1" applyNumberFormat="1">
      <alignment horizontal="center" shrinkToFit="0" vertical="center" wrapText="1"/>
    </xf>
    <xf borderId="15" fillId="2" fontId="3" numFmtId="164" xfId="0" applyAlignment="1" applyBorder="1" applyFont="1" applyNumberFormat="1">
      <alignment horizontal="center" shrinkToFit="0" vertical="center" wrapText="1"/>
    </xf>
    <xf borderId="15" fillId="2" fontId="2" numFmtId="0" xfId="0" applyAlignment="1" applyBorder="1" applyFont="1">
      <alignment horizontal="center" readingOrder="0" shrinkToFit="0" vertical="center" wrapText="1"/>
    </xf>
    <xf borderId="16" fillId="2" fontId="3" numFmtId="0" xfId="0" applyAlignment="1" applyBorder="1" applyFont="1">
      <alignment horizontal="left" readingOrder="0" shrinkToFit="0" wrapText="1"/>
    </xf>
    <xf borderId="0" fillId="2" fontId="3" numFmtId="0" xfId="0" applyAlignment="1" applyFont="1">
      <alignment horizontal="center" shrinkToFit="0" vertical="center" wrapText="1"/>
    </xf>
    <xf borderId="0" fillId="2" fontId="3" numFmtId="165" xfId="0" applyAlignment="1" applyFont="1" applyNumberFormat="1">
      <alignment horizontal="center" shrinkToFit="0" vertical="center" wrapText="1"/>
    </xf>
    <xf borderId="0" fillId="2" fontId="3" numFmtId="164" xfId="0" applyAlignment="1" applyFont="1" applyNumberFormat="1">
      <alignment horizontal="center" shrinkToFit="0" vertical="center" wrapText="1"/>
    </xf>
    <xf borderId="0" fillId="2" fontId="2"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left" readingOrder="0" shrinkToFit="0" wrapText="1"/>
    </xf>
    <xf borderId="3" fillId="4" fontId="3" numFmtId="0" xfId="0" applyAlignment="1" applyBorder="1" applyFont="1">
      <alignment shrinkToFit="0" wrapText="1"/>
    </xf>
    <xf borderId="3" fillId="0" fontId="3" numFmtId="0" xfId="0" applyAlignment="1" applyBorder="1" applyFont="1">
      <alignment readingOrder="0" shrinkToFit="0" wrapText="1"/>
    </xf>
    <xf borderId="3" fillId="0" fontId="3" numFmtId="0" xfId="0" applyAlignment="1" applyBorder="1" applyFont="1">
      <alignment shrinkToFit="0" wrapText="1"/>
    </xf>
    <xf borderId="3" fillId="2" fontId="3" numFmtId="0" xfId="0" applyAlignment="1" applyBorder="1" applyFont="1">
      <alignment shrinkToFit="0" vertical="bottom" wrapText="1"/>
    </xf>
    <xf borderId="3" fillId="2" fontId="3" numFmtId="0" xfId="0" applyAlignment="1" applyBorder="1" applyFont="1">
      <alignment readingOrder="0" shrinkToFit="0" vertical="bottom" wrapText="1"/>
    </xf>
    <xf borderId="3" fillId="4" fontId="3" numFmtId="0" xfId="0" applyAlignment="1" applyBorder="1" applyFont="1">
      <alignment readingOrder="0" shrinkToFit="0" vertical="bottom" wrapText="1"/>
    </xf>
    <xf borderId="1" fillId="4"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4" fillId="2" fontId="2" numFmtId="0" xfId="0" applyAlignment="1" applyBorder="1" applyFont="1">
      <alignment horizontal="center" readingOrder="0" shrinkToFit="0" vertical="center" wrapText="1"/>
    </xf>
    <xf borderId="13" fillId="0" fontId="29" numFmtId="0" xfId="0" applyAlignment="1" applyBorder="1" applyFont="1">
      <alignment horizontal="center" vertical="center"/>
    </xf>
    <xf borderId="13" fillId="0" fontId="30" numFmtId="0" xfId="0" applyAlignment="1" applyBorder="1" applyFont="1">
      <alignment horizontal="center" shrinkToFit="0" vertical="center" wrapText="1"/>
    </xf>
    <xf borderId="13" fillId="0" fontId="31" numFmtId="0" xfId="0" applyAlignment="1" applyBorder="1" applyFont="1">
      <alignment horizontal="center" shrinkToFit="0" vertical="center" wrapText="1"/>
    </xf>
    <xf borderId="0" fillId="0" fontId="13" numFmtId="0" xfId="0" applyAlignment="1" applyFont="1">
      <alignment horizontal="center" vertical="center"/>
    </xf>
    <xf borderId="0" fillId="0" fontId="20" numFmtId="0" xfId="0" applyAlignment="1" applyFont="1">
      <alignment horizontal="center" vertical="center"/>
    </xf>
    <xf borderId="0" fillId="0" fontId="32" numFmtId="0" xfId="0" applyAlignment="1" applyFont="1">
      <alignment horizontal="center" vertical="center"/>
    </xf>
    <xf borderId="0" fillId="0" fontId="33" numFmtId="0" xfId="0" applyAlignment="1" applyFont="1">
      <alignment horizontal="center" vertical="center"/>
    </xf>
    <xf borderId="0" fillId="0" fontId="33" numFmtId="0" xfId="0" applyAlignment="1" applyFont="1">
      <alignment horizontal="center" readingOrder="0" shrinkToFit="0" vertical="center" wrapText="1"/>
    </xf>
    <xf borderId="2" fillId="7" fontId="3" numFmtId="165" xfId="0" applyAlignment="1" applyBorder="1" applyFont="1" applyNumberFormat="1">
      <alignment horizontal="center" shrinkToFit="0" vertical="center" wrapText="1"/>
    </xf>
    <xf borderId="0" fillId="0" fontId="34"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55" fontId="13" numFmtId="0" xfId="0" applyAlignment="1" applyFill="1" applyFont="1">
      <alignment horizontal="center" vertical="center"/>
    </xf>
    <xf borderId="0" fillId="55" fontId="34" numFmtId="0" xfId="0" applyAlignment="1" applyFont="1">
      <alignment horizontal="center" vertical="center"/>
    </xf>
    <xf borderId="2" fillId="7" fontId="3" numFmtId="165" xfId="0" applyAlignment="1" applyBorder="1" applyFont="1" applyNumberFormat="1">
      <alignment horizontal="center" readingOrder="0" shrinkToFit="0" vertical="center" wrapText="1"/>
    </xf>
    <xf borderId="0" fillId="55" fontId="13" numFmtId="165" xfId="0" applyAlignment="1" applyFont="1" applyNumberFormat="1">
      <alignment horizontal="center" vertical="center"/>
    </xf>
    <xf borderId="0" fillId="0" fontId="34"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0" fontId="33" numFmtId="0" xfId="0" applyAlignment="1" applyFont="1">
      <alignment horizontal="center" readingOrder="0" vertical="center"/>
    </xf>
    <xf borderId="0" fillId="0" fontId="13" numFmtId="0" xfId="0" applyAlignment="1" applyFont="1">
      <alignment horizontal="center" readingOrder="0" vertical="center"/>
    </xf>
    <xf borderId="0" fillId="0" fontId="32" numFmtId="0" xfId="0" applyAlignment="1" applyFont="1">
      <alignment horizontal="center" readingOrder="0" vertical="center"/>
    </xf>
    <xf borderId="0" fillId="2" fontId="32" numFmtId="0" xfId="0" applyAlignment="1" applyFont="1">
      <alignment horizontal="center" vertical="center"/>
    </xf>
    <xf borderId="0" fillId="2" fontId="33" numFmtId="0" xfId="0" applyAlignment="1" applyFont="1">
      <alignment horizontal="center" vertical="center"/>
    </xf>
    <xf borderId="0" fillId="2" fontId="13" numFmtId="0" xfId="0" applyAlignment="1" applyFont="1">
      <alignment horizontal="center" vertical="center"/>
    </xf>
    <xf borderId="0" fillId="2" fontId="13" numFmtId="0" xfId="0" applyAlignment="1" applyFont="1">
      <alignment horizontal="center" readingOrder="0" shrinkToFit="0" vertical="center" wrapText="1"/>
    </xf>
    <xf borderId="0" fillId="2" fontId="13" numFmtId="0" xfId="0" applyAlignment="1" applyFont="1">
      <alignment horizontal="center" readingOrder="0" vertical="center"/>
    </xf>
    <xf borderId="0" fillId="0" fontId="13" numFmtId="165" xfId="0" applyAlignment="1" applyFont="1" applyNumberFormat="1">
      <alignment horizontal="center" vertical="center"/>
    </xf>
    <xf borderId="0" fillId="0" fontId="13" numFmtId="0" xfId="0" applyAlignment="1" applyFont="1">
      <alignment horizontal="center" readingOrder="0" shrinkToFit="0" vertical="center" wrapText="1"/>
    </xf>
    <xf borderId="0" fillId="0" fontId="33" numFmtId="0" xfId="0" applyAlignment="1" applyFont="1">
      <alignment horizontal="center" shrinkToFit="0" vertical="center" wrapText="1"/>
    </xf>
    <xf borderId="0" fillId="55" fontId="33"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July 2026 Dynasty Ranks, 9Cat-style">
      <tableStyleElement dxfId="1" type="headerRow"/>
      <tableStyleElement dxfId="2" type="firstRowStripe"/>
      <tableStyleElement dxfId="3" type="secondRowStripe"/>
      <tableStyleElement dxfId="4" size="0" type="wholeTable"/>
    </tableStyle>
    <tableStyle count="4" pivot="0" name="July 2026 Dynasty Ranks, Points-style">
      <tableStyleElement dxfId="1" type="headerRow"/>
      <tableStyleElement dxfId="2" type="firstRowStripe"/>
      <tableStyleElement dxfId="3" type="secondRowStripe"/>
      <tableStyleElement dxfId="4" size="0" type="wholeTable"/>
    </tableStyle>
    <tableStyle count="4" pivot="0" name="July 2026 Rookie Ranks, 9Cat-style">
      <tableStyleElement dxfId="1" type="headerRow"/>
      <tableStyleElement dxfId="2" type="firstRowStripe"/>
      <tableStyleElement dxfId="3" type="secondRowStripe"/>
      <tableStyleElement dxfId="4" size="0" type="wholeTable"/>
    </tableStyle>
    <tableStyle count="4" pivot="0" name="July 2026 Rookie Ranks, Points-style">
      <tableStyleElement dxfId="1" type="headerRow"/>
      <tableStyleElement dxfId="2" type="firstRowStripe"/>
      <tableStyleElement dxfId="3" type="secondRowStripe"/>
      <tableStyleElement dxfId="4" size="0" type="wholeTable"/>
    </tableStyle>
    <tableStyle count="4" pivot="0" name="Pick Valu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I2" displayName="Table1" name="Table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9Ca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I2" displayName="Table1_3" name="Table1_3"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July 2026 Dynasty Ranks, Poin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A2" displayName="Table1_2" name="Table1_2" id="3">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9Ca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A2" displayName="Table1_4" name="Table1_4" id="4">
  <autoFilter ref="$A$2:$AA$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July 2026 Rookie Ranks, Po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1" displayName="Table2" name="Table2" id="5">
  <tableColumns count="4">
    <tableColumn name="Column1" id="1"/>
    <tableColumn name="Column2" id="2"/>
    <tableColumn name="Column3" id="3"/>
    <tableColumn name="Column4" id="4"/>
  </tableColumns>
  <tableStyleInfo name="Pick Valu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2638907/jakobi-gillespie" TargetMode="External"/><Relationship Id="rId41" Type="http://schemas.openxmlformats.org/officeDocument/2006/relationships/hyperlink" Target="https://dizzledynasty.substack.com/i/192651657/izaiayah-nelson" TargetMode="External"/><Relationship Id="rId44" Type="http://schemas.openxmlformats.org/officeDocument/2006/relationships/hyperlink" Target="https://dizzledynasty.substack.com/i/192639224/trevon-brazile" TargetMode="External"/><Relationship Id="rId43" Type="http://schemas.openxmlformats.org/officeDocument/2006/relationships/hyperlink" Target="https://dizzledynasty.substack.com/i/192652312/dillon-mitchell" TargetMode="External"/><Relationship Id="rId46" Type="http://schemas.openxmlformats.org/officeDocument/2006/relationships/hyperlink" Target="https://dizzledynasty.substack.com/i/191612368/nick-martinelli" TargetMode="External"/><Relationship Id="rId45" Type="http://schemas.openxmlformats.org/officeDocument/2006/relationships/hyperlink" Target="https://dizzledynasty.substack.com/i/191082981/jaden-bradley"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p/nba-draft-scouting-darryn-peterson?r=277267" TargetMode="External"/><Relationship Id="rId3" Type="http://schemas.openxmlformats.org/officeDocument/2006/relationships/hyperlink" Target="https://dizzledynasty.substack.com/i/191612368/aj-dybansta"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3019/morez-johnson" TargetMode="External"/><Relationship Id="rId48" Type="http://schemas.openxmlformats.org/officeDocument/2006/relationships/hyperlink" Target="https://dizzledynasty.substack.com/i/192652216/otega-oweh" TargetMode="External"/><Relationship Id="rId47" Type="http://schemas.openxmlformats.org/officeDocument/2006/relationships/hyperlink" Target="https://dizzledynasty.substack.com/i/191083048/maliq-brown" TargetMode="External"/><Relationship Id="rId49" Type="http://schemas.openxmlformats.org/officeDocument/2006/relationships/hyperlink" Target="https://dizzledynasty.substack.com/p/nba-draft-scouting-zuby-ejiofor-dillon?r=277267" TargetMode="External"/><Relationship Id="rId5" Type="http://schemas.openxmlformats.org/officeDocument/2006/relationships/hyperlink" Target="https://dizzledynasty.substack.com/i/192651910/keaton-wagler" TargetMode="External"/><Relationship Id="rId6" Type="http://schemas.openxmlformats.org/officeDocument/2006/relationships/hyperlink" Target="https://dizzledynasty.substack.com/i/191082841/mikel-brown-jr" TargetMode="External"/><Relationship Id="rId7" Type="http://schemas.openxmlformats.org/officeDocument/2006/relationships/hyperlink" Target="https://dizzledynasty.substack.com/i/192639224/darius-acuff-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1612368/baba-miller"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2639224/meleek-thomas" TargetMode="External"/><Relationship Id="rId35" Type="http://schemas.openxmlformats.org/officeDocument/2006/relationships/hyperlink" Target="https://dizzledynasty.substack.com/i/190804630/henri-veesaar" TargetMode="External"/><Relationship Id="rId34" Type="http://schemas.openxmlformats.org/officeDocument/2006/relationships/hyperlink" Target="https://dizzledynasty.substack.com/i/192651476/alex-karaban" TargetMode="External"/><Relationship Id="rId70" Type="http://schemas.openxmlformats.org/officeDocument/2006/relationships/table" Target="../tables/table3.xml"/><Relationship Id="rId37" Type="http://schemas.openxmlformats.org/officeDocument/2006/relationships/hyperlink" Target="https://dizzledynasty.substack.com/i/191082841/ryan-conwell" TargetMode="External"/><Relationship Id="rId36" Type="http://schemas.openxmlformats.org/officeDocument/2006/relationships/hyperlink" Target="https://dizzledynasty.substack.com/i/191083048/isaiah-evans" TargetMode="External"/><Relationship Id="rId39" Type="http://schemas.openxmlformats.org/officeDocument/2006/relationships/hyperlink" Target="https://dizzledynasty.substack.com/i/192639224/ugonna-onyenso" TargetMode="External"/><Relationship Id="rId38" Type="http://schemas.openxmlformats.org/officeDocument/2006/relationships/hyperlink" Target="https://dizzledynasty.substack.com/i/191083105/emanuel-sharp"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0045935/nate-bittle" TargetMode="External"/><Relationship Id="rId20" Type="http://schemas.openxmlformats.org/officeDocument/2006/relationships/hyperlink" Target="https://dizzledynasty.substack.com/i/192651657/labaron-philon" TargetMode="External"/><Relationship Id="rId64" Type="http://schemas.openxmlformats.org/officeDocument/2006/relationships/hyperlink" Target="https://dizzledynasty.substack.com/i/192651910/kylan-boswell" TargetMode="External"/><Relationship Id="rId63" Type="http://schemas.openxmlformats.org/officeDocument/2006/relationships/hyperlink" Target="https://dizzledynasty.substack.com/p/nba-draft-scouting-darryn-peterson?r=277267" TargetMode="External"/><Relationship Id="rId22" Type="http://schemas.openxmlformats.org/officeDocument/2006/relationships/hyperlink" Target="https://dizzledynasty.substack.com/p/nba-draft-scouting-karim-lopez-sergio?r=277267" TargetMode="External"/><Relationship Id="rId66" Type="http://schemas.openxmlformats.org/officeDocument/2006/relationships/hyperlink" Target="https://dizzledynasty.substack.com/p/nba-draft-scouting-darryn-peterson?r=277267" TargetMode="External"/><Relationship Id="rId21" Type="http://schemas.openxmlformats.org/officeDocument/2006/relationships/hyperlink" Target="https://dizzledynasty.substack.com/i/192638907/nate-ament" TargetMode="External"/><Relationship Id="rId65" Type="http://schemas.openxmlformats.org/officeDocument/2006/relationships/hyperlink" Target="https://dizzledynasty.substack.com/i/192651476/jaylin-sellers" TargetMode="External"/><Relationship Id="rId24" Type="http://schemas.openxmlformats.org/officeDocument/2006/relationships/hyperlink" Target="https://dizzledynasty.substack.com/i/192652216/jayden-quaintance" TargetMode="External"/><Relationship Id="rId68" Type="http://schemas.openxmlformats.org/officeDocument/2006/relationships/drawing" Target="../drawings/drawing3.xml"/><Relationship Id="rId23" Type="http://schemas.openxmlformats.org/officeDocument/2006/relationships/hyperlink" Target="https://dizzledynasty.substack.com/p/nba-draft-scouting-karim-lopez-sergio?r=277267" TargetMode="External"/><Relationship Id="rId67" Type="http://schemas.openxmlformats.org/officeDocument/2006/relationships/hyperlink" Target="https://dizzledynasty.substack.com/i/192651205/tamin-lipsey" TargetMode="External"/><Relationship Id="rId60" Type="http://schemas.openxmlformats.org/officeDocument/2006/relationships/hyperlink" Target="https://dizzledynasty.substack.com/p/nba-draft-scouting-nate-ament-jakobi?r=277267" TargetMode="External"/><Relationship Id="rId26" Type="http://schemas.openxmlformats.org/officeDocument/2006/relationships/hyperlink" Target="https://dizzledynasty.substack.com/i/191082981/koa-peat" TargetMode="External"/><Relationship Id="rId25" Type="http://schemas.openxmlformats.org/officeDocument/2006/relationships/hyperlink" Target="https://dizzledynasty.substack.com/i/192651476/tarris-reed" TargetMode="External"/><Relationship Id="rId28" Type="http://schemas.openxmlformats.org/officeDocument/2006/relationships/hyperlink" Target="https://dizzledynasty.substack.com/i/191083105/chris-cenac-jr" TargetMode="External"/><Relationship Id="rId27" Type="http://schemas.openxmlformats.org/officeDocument/2006/relationships/hyperlink" Target="https://dizzledynasty.substack.com/i/191083019/bruce-thornton" TargetMode="External"/><Relationship Id="rId29" Type="http://schemas.openxmlformats.org/officeDocument/2006/relationships/hyperlink" Target="https://dizzledynasty.substack.com/p/nba-draft-scouting-zuby-ejiofor-dillon?r=277267" TargetMode="External"/><Relationship Id="rId51" Type="http://schemas.openxmlformats.org/officeDocument/2006/relationships/hyperlink" Target="https://dizzledynasty.substack.com/p/nba-draft-scouting-karim-lopez-sergio?r=277267" TargetMode="External"/><Relationship Id="rId50" Type="http://schemas.openxmlformats.org/officeDocument/2006/relationships/hyperlink" Target="https://dizzledynasty.substack.com/i/192638907/aaron-nkrumah" TargetMode="External"/><Relationship Id="rId53" Type="http://schemas.openxmlformats.org/officeDocument/2006/relationships/hyperlink" Target="https://dizzledynasty.substack.com/i/192651579/tyler-bilodeau" TargetMode="External"/><Relationship Id="rId52" Type="http://schemas.openxmlformats.org/officeDocument/2006/relationships/hyperlink" Target="https://dizzledynasty.substack.com/i/192638907/felix-okpara" TargetMode="External"/><Relationship Id="rId11" Type="http://schemas.openxmlformats.org/officeDocument/2006/relationships/hyperlink" Target="https://dizzledynasty.substack.com/i/191082981/brayden-burries"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aday-mara"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2652216/quadir-copeland" TargetMode="External"/><Relationship Id="rId12" Type="http://schemas.openxmlformats.org/officeDocument/2006/relationships/hyperlink" Target="https://dizzledynasty.substack.com/i/191083019/yaxel-lendeborg" TargetMode="External"/><Relationship Id="rId56" Type="http://schemas.openxmlformats.org/officeDocument/2006/relationships/hyperlink" Target="https://dizzledynasty.substack.com/i/191648851/rafael-castro" TargetMode="External"/><Relationship Id="rId15" Type="http://schemas.openxmlformats.org/officeDocument/2006/relationships/hyperlink" Target="https://dizzledynasty.substack.com/i/190045935/hannes-steinbach" TargetMode="External"/><Relationship Id="rId59" Type="http://schemas.openxmlformats.org/officeDocument/2006/relationships/hyperlink" Target="https://dizzledynasty.substack.com/i/192651910/trey-kaufman-renn" TargetMode="External"/><Relationship Id="rId14" Type="http://schemas.openxmlformats.org/officeDocument/2006/relationships/hyperlink" Target="https://dizzledynasty.substack.com/i/192651579/dailyn-swain" TargetMode="External"/><Relationship Id="rId58" Type="http://schemas.openxmlformats.org/officeDocument/2006/relationships/hyperlink" Target="https://dizzledynasty.substack.com/i/197238673/duke-miles" TargetMode="External"/><Relationship Id="rId17" Type="http://schemas.openxmlformats.org/officeDocument/2006/relationships/hyperlink" Target="https://dizzledynasty.substack.com/i/192651579/christian-anderson" TargetMode="External"/><Relationship Id="rId16" Type="http://schemas.openxmlformats.org/officeDocument/2006/relationships/hyperlink" Target="https://dizzledynasty.substack.com/i/192651205/bennett-stirtz" TargetMode="External"/><Relationship Id="rId19" Type="http://schemas.openxmlformats.org/officeDocument/2006/relationships/hyperlink" Target="https://dizzledynasty.substack.com/i/192651579/allen-graves" TargetMode="External"/><Relationship Id="rId18" Type="http://schemas.openxmlformats.org/officeDocument/2006/relationships/hyperlink" Target="https://dizzledynasty.substack.com/i/190045896/cameron-carr"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izzledynasty.substack.com/i/192651910/braden-smith" TargetMode="External"/><Relationship Id="rId42" Type="http://schemas.openxmlformats.org/officeDocument/2006/relationships/hyperlink" Target="https://dizzledynasty.substack.com/i/191082981/jaden-bradley" TargetMode="External"/><Relationship Id="rId41" Type="http://schemas.openxmlformats.org/officeDocument/2006/relationships/hyperlink" Target="https://dizzledynasty.substack.com/i/191612368/nick-martinelli" TargetMode="External"/><Relationship Id="rId44" Type="http://schemas.openxmlformats.org/officeDocument/2006/relationships/hyperlink" Target="https://dizzledynasty.substack.com/i/192639224/ugonna-onyenso" TargetMode="External"/><Relationship Id="rId43" Type="http://schemas.openxmlformats.org/officeDocument/2006/relationships/hyperlink" Target="https://dizzledynasty.substack.com/i/192639224/trevon-brazile" TargetMode="External"/><Relationship Id="rId46" Type="http://schemas.openxmlformats.org/officeDocument/2006/relationships/hyperlink" Target="https://dizzledynasty.substack.com/i/192651657/izaiayah-nelson" TargetMode="External"/><Relationship Id="rId45" Type="http://schemas.openxmlformats.org/officeDocument/2006/relationships/hyperlink" Target="https://dizzledynasty.substack.com/i/192652312/dillon-mitchell" TargetMode="External"/><Relationship Id="rId1" Type="http://schemas.openxmlformats.org/officeDocument/2006/relationships/hyperlink" Target="https://dizzledynasty.substack.com/i/191083048/cameron-boozer" TargetMode="External"/><Relationship Id="rId2" Type="http://schemas.openxmlformats.org/officeDocument/2006/relationships/hyperlink" Target="https://dizzledynasty.substack.com/i/191612368/aj-dybansta" TargetMode="External"/><Relationship Id="rId3" Type="http://schemas.openxmlformats.org/officeDocument/2006/relationships/hyperlink" Target="https://dizzledynasty.substack.com/p/nba-draft-scouting-darryn-peterson?r=277267" TargetMode="External"/><Relationship Id="rId4" Type="http://schemas.openxmlformats.org/officeDocument/2006/relationships/hyperlink" Target="https://dizzledynasty.substack.com/i/190804630/caleb-wilson" TargetMode="External"/><Relationship Id="rId9" Type="http://schemas.openxmlformats.org/officeDocument/2006/relationships/hyperlink" Target="https://dizzledynasty.substack.com/i/191082981/brayden-burries" TargetMode="External"/><Relationship Id="rId48" Type="http://schemas.openxmlformats.org/officeDocument/2006/relationships/hyperlink" Target="https://dizzledynasty.substack.com/i/192651579/tyler-bilodeau" TargetMode="External"/><Relationship Id="rId47" Type="http://schemas.openxmlformats.org/officeDocument/2006/relationships/hyperlink" Target="https://dizzledynasty.substack.com/i/192638907/felix-okpara" TargetMode="External"/><Relationship Id="rId49" Type="http://schemas.openxmlformats.org/officeDocument/2006/relationships/hyperlink" Target="https://dizzledynasty.substack.com/p/nba-draft-scouting-karim-lopez-sergio?r=277267" TargetMode="External"/><Relationship Id="rId5" Type="http://schemas.openxmlformats.org/officeDocument/2006/relationships/hyperlink" Target="https://dizzledynasty.substack.com/i/192639224/darius-acuff-jr" TargetMode="External"/><Relationship Id="rId6" Type="http://schemas.openxmlformats.org/officeDocument/2006/relationships/hyperlink" Target="https://dizzledynasty.substack.com/i/192651910/keaton-wagler" TargetMode="External"/><Relationship Id="rId7" Type="http://schemas.openxmlformats.org/officeDocument/2006/relationships/hyperlink" Target="https://dizzledynasty.substack.com/i/191082841/mikel-brown-jr" TargetMode="External"/><Relationship Id="rId8" Type="http://schemas.openxmlformats.org/officeDocument/2006/relationships/hyperlink" Target="https://dizzledynasty.substack.com/i/191083105/kingston-flemings" TargetMode="External"/><Relationship Id="rId31" Type="http://schemas.openxmlformats.org/officeDocument/2006/relationships/hyperlink" Target="https://dizzledynasty.substack.com/i/192651205/joshua-jefferson" TargetMode="External"/><Relationship Id="rId30" Type="http://schemas.openxmlformats.org/officeDocument/2006/relationships/hyperlink" Target="https://dizzledynasty.substack.com/i/192652216/jayden-quaintance" TargetMode="External"/><Relationship Id="rId33" Type="http://schemas.openxmlformats.org/officeDocument/2006/relationships/hyperlink" Target="https://dizzledynasty.substack.com/i/191612368/richie-saunders" TargetMode="External"/><Relationship Id="rId32" Type="http://schemas.openxmlformats.org/officeDocument/2006/relationships/hyperlink" Target="https://dizzledynasty.substack.com/i/191083048/isaiah-evans" TargetMode="External"/><Relationship Id="rId35" Type="http://schemas.openxmlformats.org/officeDocument/2006/relationships/hyperlink" Target="https://dizzledynasty.substack.com/i/191082841/ryan-conwell" TargetMode="External"/><Relationship Id="rId34" Type="http://schemas.openxmlformats.org/officeDocument/2006/relationships/hyperlink" Target="https://dizzledynasty.substack.com/i/192651476/alex-karaban" TargetMode="External"/><Relationship Id="rId37" Type="http://schemas.openxmlformats.org/officeDocument/2006/relationships/hyperlink" Target="https://dizzledynasty.substack.com/i/191612368/baba-miller" TargetMode="External"/><Relationship Id="rId36" Type="http://schemas.openxmlformats.org/officeDocument/2006/relationships/hyperlink" Target="https://dizzledynasty.substack.com/i/190804630/henri-veesaar" TargetMode="External"/><Relationship Id="rId39" Type="http://schemas.openxmlformats.org/officeDocument/2006/relationships/hyperlink" Target="https://dizzledynasty.substack.com/i/191083105/emanuel-sharp" TargetMode="External"/><Relationship Id="rId38" Type="http://schemas.openxmlformats.org/officeDocument/2006/relationships/hyperlink" Target="https://dizzledynasty.substack.com/i/192638907/jakobi-gillespie" TargetMode="External"/><Relationship Id="rId62" Type="http://schemas.openxmlformats.org/officeDocument/2006/relationships/hyperlink" Target="https://dizzledynasty.substack.com/i/192651657/keyshawn-hall" TargetMode="External"/><Relationship Id="rId61" Type="http://schemas.openxmlformats.org/officeDocument/2006/relationships/hyperlink" Target="https://dizzledynasty.substack.com/i/192651910/kylan-boswell" TargetMode="External"/><Relationship Id="rId20" Type="http://schemas.openxmlformats.org/officeDocument/2006/relationships/hyperlink" Target="https://dizzledynasty.substack.com/i/192638907/nate-ament" TargetMode="External"/><Relationship Id="rId64" Type="http://schemas.openxmlformats.org/officeDocument/2006/relationships/hyperlink" Target="https://dizzledynasty.substack.com/i/190045935/nate-bittle" TargetMode="External"/><Relationship Id="rId63" Type="http://schemas.openxmlformats.org/officeDocument/2006/relationships/hyperlink" Target="https://dizzledynasty.substack.com/i/192651476/jaylin-sellers" TargetMode="External"/><Relationship Id="rId22" Type="http://schemas.openxmlformats.org/officeDocument/2006/relationships/hyperlink" Target="https://dizzledynasty.substack.com/i/192651476/tarris-reed" TargetMode="External"/><Relationship Id="rId66" Type="http://schemas.openxmlformats.org/officeDocument/2006/relationships/hyperlink" Target="https://dizzledynasty.substack.com/i/192651205/tamin-lipsey" TargetMode="External"/><Relationship Id="rId21" Type="http://schemas.openxmlformats.org/officeDocument/2006/relationships/hyperlink" Target="https://dizzledynasty.substack.com/p/nba-draft-scouting-karim-lopez-sergio?r=277267" TargetMode="External"/><Relationship Id="rId65" Type="http://schemas.openxmlformats.org/officeDocument/2006/relationships/hyperlink" Target="https://dizzledynasty.substack.com/p/nba-draft-scouting-darryn-peterson?r=277267" TargetMode="External"/><Relationship Id="rId24" Type="http://schemas.openxmlformats.org/officeDocument/2006/relationships/hyperlink" Target="https://dizzledynasty.substack.com/i/191083019/bruce-thornton" TargetMode="External"/><Relationship Id="rId23" Type="http://schemas.openxmlformats.org/officeDocument/2006/relationships/hyperlink" Target="https://dizzledynasty.substack.com/i/192651579/allen-graves" TargetMode="External"/><Relationship Id="rId67" Type="http://schemas.openxmlformats.org/officeDocument/2006/relationships/drawing" Target="../drawings/drawing4.xml"/><Relationship Id="rId60" Type="http://schemas.openxmlformats.org/officeDocument/2006/relationships/hyperlink" Target="https://dizzledynasty.substack.com/p/nba-draft-scouting-darryn-peterson?r=277267" TargetMode="External"/><Relationship Id="rId26" Type="http://schemas.openxmlformats.org/officeDocument/2006/relationships/hyperlink" Target="https://dizzledynasty.substack.com/p/nba-draft-scouting-zuby-ejiofor-dillon?r=277267" TargetMode="External"/><Relationship Id="rId25" Type="http://schemas.openxmlformats.org/officeDocument/2006/relationships/hyperlink" Target="https://dizzledynasty.substack.com/p/nba-draft-scouting-karim-lopez-sergio?r=277267" TargetMode="External"/><Relationship Id="rId69" Type="http://schemas.openxmlformats.org/officeDocument/2006/relationships/table" Target="../tables/table4.xml"/><Relationship Id="rId28" Type="http://schemas.openxmlformats.org/officeDocument/2006/relationships/hyperlink" Target="https://dizzledynasty.substack.com/i/192639224/meleek-thomas" TargetMode="External"/><Relationship Id="rId27" Type="http://schemas.openxmlformats.org/officeDocument/2006/relationships/hyperlink" Target="https://dizzledynasty.substack.com/i/191082981/koa-peat" TargetMode="External"/><Relationship Id="rId29" Type="http://schemas.openxmlformats.org/officeDocument/2006/relationships/hyperlink" Target="https://dizzledynasty.substack.com/i/191083105/chris-cenac-jr" TargetMode="External"/><Relationship Id="rId51" Type="http://schemas.openxmlformats.org/officeDocument/2006/relationships/hyperlink" Target="https://dizzledynasty.substack.com/i/191083048/maliq-brown" TargetMode="External"/><Relationship Id="rId50" Type="http://schemas.openxmlformats.org/officeDocument/2006/relationships/hyperlink" Target="https://dizzledynasty.substack.com/i/192652216/otega-oweh" TargetMode="External"/><Relationship Id="rId53" Type="http://schemas.openxmlformats.org/officeDocument/2006/relationships/hyperlink" Target="https://dizzledynasty.substack.com/i/192638907/aaron-nkrumah" TargetMode="External"/><Relationship Id="rId52" Type="http://schemas.openxmlformats.org/officeDocument/2006/relationships/hyperlink" Target="https://dizzledynasty.substack.com/p/nba-draft-scouting-zuby-ejiofor-dillon?r=277267" TargetMode="External"/><Relationship Id="rId11" Type="http://schemas.openxmlformats.org/officeDocument/2006/relationships/hyperlink" Target="https://dizzledynasty.substack.com/i/191083019/aday-mara" TargetMode="External"/><Relationship Id="rId55" Type="http://schemas.openxmlformats.org/officeDocument/2006/relationships/hyperlink" Target="https://dizzledynasty.substack.com/i/192652216/tobi-lawal" TargetMode="External"/><Relationship Id="rId10" Type="http://schemas.openxmlformats.org/officeDocument/2006/relationships/hyperlink" Target="https://dizzledynasty.substack.com/i/191083019/yaxel-lendeborg" TargetMode="External"/><Relationship Id="rId54" Type="http://schemas.openxmlformats.org/officeDocument/2006/relationships/hyperlink" Target="https://dizzledynasty.substack.com/i/197238673/tyler-nickel" TargetMode="External"/><Relationship Id="rId13" Type="http://schemas.openxmlformats.org/officeDocument/2006/relationships/hyperlink" Target="https://dizzledynasty.substack.com/i/190045935/ebuka-okorie" TargetMode="External"/><Relationship Id="rId57" Type="http://schemas.openxmlformats.org/officeDocument/2006/relationships/hyperlink" Target="https://dizzledynasty.substack.com/i/191648851/rafael-castro" TargetMode="External"/><Relationship Id="rId12" Type="http://schemas.openxmlformats.org/officeDocument/2006/relationships/hyperlink" Target="https://dizzledynasty.substack.com/i/191083019/morez-johnson" TargetMode="External"/><Relationship Id="rId56" Type="http://schemas.openxmlformats.org/officeDocument/2006/relationships/hyperlink" Target="https://dizzledynasty.substack.com/i/192652216/quadir-copeland" TargetMode="External"/><Relationship Id="rId15" Type="http://schemas.openxmlformats.org/officeDocument/2006/relationships/hyperlink" Target="https://dizzledynasty.substack.com/i/192651205/bennett-stirtz" TargetMode="External"/><Relationship Id="rId59" Type="http://schemas.openxmlformats.org/officeDocument/2006/relationships/hyperlink" Target="https://dizzledynasty.substack.com/p/nba-draft-scouting-nate-ament-jakobi?r=277267" TargetMode="External"/><Relationship Id="rId14" Type="http://schemas.openxmlformats.org/officeDocument/2006/relationships/hyperlink" Target="https://dizzledynasty.substack.com/i/190045935/hannes-steinbach" TargetMode="External"/><Relationship Id="rId58" Type="http://schemas.openxmlformats.org/officeDocument/2006/relationships/hyperlink" Target="https://dizzledynasty.substack.com/i/192651910/trey-kaufman-renn" TargetMode="External"/><Relationship Id="rId17" Type="http://schemas.openxmlformats.org/officeDocument/2006/relationships/hyperlink" Target="https://dizzledynasty.substack.com/i/190045896/cameron-carr" TargetMode="External"/><Relationship Id="rId16" Type="http://schemas.openxmlformats.org/officeDocument/2006/relationships/hyperlink" Target="https://dizzledynasty.substack.com/i/192651579/dailyn-swain" TargetMode="External"/><Relationship Id="rId19" Type="http://schemas.openxmlformats.org/officeDocument/2006/relationships/hyperlink" Target="https://dizzledynasty.substack.com/i/192651657/labaron-philon" TargetMode="External"/><Relationship Id="rId18" Type="http://schemas.openxmlformats.org/officeDocument/2006/relationships/hyperlink" Target="https://dizzledynasty.substack.com/i/192651579/christian-anders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2" t="s">
        <v>0</v>
      </c>
      <c r="B2" s="3" t="s">
        <v>1</v>
      </c>
      <c r="C2" s="3" t="s">
        <v>2</v>
      </c>
      <c r="D2" s="3" t="s">
        <v>3</v>
      </c>
      <c r="E2" s="2" t="s">
        <v>4</v>
      </c>
      <c r="F2" s="4" t="s">
        <v>5</v>
      </c>
      <c r="G2" s="2" t="s">
        <v>6</v>
      </c>
      <c r="H2" s="2" t="s">
        <v>7</v>
      </c>
      <c r="I2" s="2" t="s">
        <v>8</v>
      </c>
    </row>
    <row r="3">
      <c r="A3" s="5">
        <v>1.0</v>
      </c>
      <c r="B3" s="6" t="s">
        <v>9</v>
      </c>
      <c r="C3" s="6" t="s">
        <v>10</v>
      </c>
      <c r="D3" s="6" t="s">
        <v>11</v>
      </c>
      <c r="E3" s="7">
        <v>37990.0</v>
      </c>
      <c r="F3" s="8">
        <f t="shared" ref="F3:F9" si="1">YEARFRAC(E3, TODAY(),1)</f>
        <v>22.52331013</v>
      </c>
      <c r="G3" s="9">
        <v>1.0</v>
      </c>
      <c r="H3" s="9">
        <f t="shared" ref="H3:H9" si="2">MINUS(G3, A3)</f>
        <v>0</v>
      </c>
      <c r="I3" s="10" t="s">
        <v>12</v>
      </c>
    </row>
    <row r="4">
      <c r="A4" s="5">
        <v>2.0</v>
      </c>
      <c r="B4" s="11" t="s">
        <v>13</v>
      </c>
      <c r="C4" s="11" t="s">
        <v>14</v>
      </c>
      <c r="D4" s="11" t="s">
        <v>15</v>
      </c>
      <c r="E4" s="12">
        <v>35988.0</v>
      </c>
      <c r="F4" s="8">
        <f t="shared" si="1"/>
        <v>28.00547945</v>
      </c>
      <c r="G4" s="9">
        <v>2.0</v>
      </c>
      <c r="H4" s="9">
        <f t="shared" si="2"/>
        <v>0</v>
      </c>
      <c r="I4" s="13" t="s">
        <v>16</v>
      </c>
    </row>
    <row r="5">
      <c r="A5" s="5">
        <v>3.0</v>
      </c>
      <c r="B5" s="11" t="s">
        <v>17</v>
      </c>
      <c r="C5" s="11" t="s">
        <v>14</v>
      </c>
      <c r="D5" s="6" t="s">
        <v>18</v>
      </c>
      <c r="E5" s="12">
        <v>36219.0</v>
      </c>
      <c r="F5" s="8">
        <f t="shared" si="1"/>
        <v>27.37260274</v>
      </c>
      <c r="G5" s="9">
        <v>3.0</v>
      </c>
      <c r="H5" s="9">
        <f t="shared" si="2"/>
        <v>0</v>
      </c>
      <c r="I5" s="13" t="s">
        <v>19</v>
      </c>
    </row>
    <row r="6">
      <c r="A6" s="5">
        <v>4.0</v>
      </c>
      <c r="B6" s="11" t="s">
        <v>20</v>
      </c>
      <c r="C6" s="11" t="s">
        <v>21</v>
      </c>
      <c r="D6" s="11" t="s">
        <v>22</v>
      </c>
      <c r="E6" s="12">
        <v>34749.0</v>
      </c>
      <c r="F6" s="8">
        <f t="shared" si="1"/>
        <v>31.39726027</v>
      </c>
      <c r="G6" s="9">
        <v>4.0</v>
      </c>
      <c r="H6" s="9">
        <f t="shared" si="2"/>
        <v>0</v>
      </c>
      <c r="I6" s="13" t="s">
        <v>23</v>
      </c>
    </row>
    <row r="7">
      <c r="A7" s="5">
        <v>5.0</v>
      </c>
      <c r="B7" s="14" t="s">
        <v>24</v>
      </c>
      <c r="C7" s="15" t="s">
        <v>25</v>
      </c>
      <c r="D7" s="14" t="s">
        <v>26</v>
      </c>
      <c r="E7" s="16">
        <v>39072.0</v>
      </c>
      <c r="F7" s="17">
        <f t="shared" si="1"/>
        <v>19.56164384</v>
      </c>
      <c r="G7" s="18">
        <v>5.0</v>
      </c>
      <c r="H7" s="18">
        <f t="shared" si="2"/>
        <v>0</v>
      </c>
      <c r="I7" s="19" t="s">
        <v>27</v>
      </c>
    </row>
    <row r="8">
      <c r="A8" s="5">
        <v>6.0</v>
      </c>
      <c r="B8" s="11" t="s">
        <v>28</v>
      </c>
      <c r="C8" s="11" t="s">
        <v>14</v>
      </c>
      <c r="D8" s="11" t="s">
        <v>29</v>
      </c>
      <c r="E8" s="12">
        <v>37159.0</v>
      </c>
      <c r="F8" s="8">
        <f t="shared" si="1"/>
        <v>24.8</v>
      </c>
      <c r="G8" s="9">
        <v>6.0</v>
      </c>
      <c r="H8" s="9">
        <f t="shared" si="2"/>
        <v>0</v>
      </c>
      <c r="I8" s="13" t="s">
        <v>30</v>
      </c>
    </row>
    <row r="9">
      <c r="A9" s="5">
        <v>7.0</v>
      </c>
      <c r="B9" s="11" t="s">
        <v>31</v>
      </c>
      <c r="C9" s="11" t="s">
        <v>25</v>
      </c>
      <c r="D9" s="11" t="s">
        <v>32</v>
      </c>
      <c r="E9" s="12">
        <v>35857.0</v>
      </c>
      <c r="F9" s="8">
        <f t="shared" si="1"/>
        <v>28.36438356</v>
      </c>
      <c r="G9" s="9">
        <v>10.0</v>
      </c>
      <c r="H9" s="9">
        <f t="shared" si="2"/>
        <v>3</v>
      </c>
      <c r="I9" s="13" t="s">
        <v>33</v>
      </c>
    </row>
    <row r="10">
      <c r="A10" s="20"/>
      <c r="B10" s="21" t="s">
        <v>34</v>
      </c>
      <c r="C10" s="22"/>
      <c r="D10" s="22"/>
      <c r="E10" s="23"/>
      <c r="F10" s="24"/>
      <c r="G10" s="25"/>
      <c r="H10" s="25"/>
      <c r="I10" s="26"/>
    </row>
    <row r="11">
      <c r="A11" s="5">
        <v>8.0</v>
      </c>
      <c r="B11" s="11" t="s">
        <v>35</v>
      </c>
      <c r="C11" s="11" t="s">
        <v>36</v>
      </c>
      <c r="D11" s="11" t="s">
        <v>37</v>
      </c>
      <c r="E11" s="12">
        <v>37108.0</v>
      </c>
      <c r="F11" s="8">
        <f t="shared" ref="F11:F16" si="3">YEARFRAC(E11, TODAY(),1)</f>
        <v>24.93972603</v>
      </c>
      <c r="G11" s="9">
        <v>8.0</v>
      </c>
      <c r="H11" s="9">
        <f t="shared" ref="H11:H16" si="4">MINUS(G11, A11)</f>
        <v>0</v>
      </c>
      <c r="I11" s="13" t="s">
        <v>38</v>
      </c>
    </row>
    <row r="12">
      <c r="A12" s="5">
        <v>9.0</v>
      </c>
      <c r="B12" s="6" t="s">
        <v>39</v>
      </c>
      <c r="C12" s="6" t="s">
        <v>14</v>
      </c>
      <c r="D12" s="6" t="s">
        <v>40</v>
      </c>
      <c r="E12" s="12">
        <v>36834.0</v>
      </c>
      <c r="F12" s="8">
        <f t="shared" si="3"/>
        <v>25.68997679</v>
      </c>
      <c r="G12" s="9">
        <v>7.0</v>
      </c>
      <c r="H12" s="9">
        <f t="shared" si="4"/>
        <v>-2</v>
      </c>
      <c r="I12" s="13" t="s">
        <v>41</v>
      </c>
    </row>
    <row r="13">
      <c r="A13" s="5">
        <v>10.0</v>
      </c>
      <c r="B13" s="6" t="s">
        <v>42</v>
      </c>
      <c r="C13" s="6" t="s">
        <v>25</v>
      </c>
      <c r="D13" s="6" t="s">
        <v>43</v>
      </c>
      <c r="E13" s="12">
        <v>37243.0</v>
      </c>
      <c r="F13" s="8">
        <f t="shared" si="3"/>
        <v>24.56986301</v>
      </c>
      <c r="G13" s="9">
        <v>9.0</v>
      </c>
      <c r="H13" s="9">
        <f t="shared" si="4"/>
        <v>-1</v>
      </c>
      <c r="I13" s="13" t="s">
        <v>44</v>
      </c>
    </row>
    <row r="14">
      <c r="A14" s="5">
        <v>11.0</v>
      </c>
      <c r="B14" s="11" t="s">
        <v>45</v>
      </c>
      <c r="C14" s="11" t="s">
        <v>14</v>
      </c>
      <c r="D14" s="11" t="s">
        <v>46</v>
      </c>
      <c r="E14" s="12">
        <v>36585.0</v>
      </c>
      <c r="F14" s="8">
        <f t="shared" si="3"/>
        <v>26.37030466</v>
      </c>
      <c r="G14" s="9">
        <v>11.0</v>
      </c>
      <c r="H14" s="9">
        <f t="shared" si="4"/>
        <v>0</v>
      </c>
      <c r="I14" s="13" t="s">
        <v>47</v>
      </c>
    </row>
    <row r="15">
      <c r="A15" s="27">
        <v>12.0</v>
      </c>
      <c r="B15" s="28" t="s">
        <v>48</v>
      </c>
      <c r="C15" s="29" t="s">
        <v>10</v>
      </c>
      <c r="D15" s="28" t="s">
        <v>49</v>
      </c>
      <c r="E15" s="30">
        <v>39281.0</v>
      </c>
      <c r="F15" s="31">
        <f t="shared" si="3"/>
        <v>18.9890411</v>
      </c>
      <c r="G15" s="32">
        <v>12.0</v>
      </c>
      <c r="H15" s="32">
        <f t="shared" si="4"/>
        <v>0</v>
      </c>
      <c r="I15" s="33" t="s">
        <v>50</v>
      </c>
    </row>
    <row r="16">
      <c r="A16" s="5">
        <v>13.0</v>
      </c>
      <c r="B16" s="11" t="s">
        <v>51</v>
      </c>
      <c r="C16" s="11" t="s">
        <v>25</v>
      </c>
      <c r="D16" s="11" t="s">
        <v>52</v>
      </c>
      <c r="E16" s="12">
        <v>37104.0</v>
      </c>
      <c r="F16" s="8">
        <f t="shared" si="3"/>
        <v>24.95068493</v>
      </c>
      <c r="G16" s="9">
        <v>16.0</v>
      </c>
      <c r="H16" s="9">
        <f t="shared" si="4"/>
        <v>3</v>
      </c>
      <c r="I16" s="13" t="s">
        <v>53</v>
      </c>
    </row>
    <row r="17">
      <c r="A17" s="20"/>
      <c r="B17" s="21" t="s">
        <v>34</v>
      </c>
      <c r="C17" s="22"/>
      <c r="D17" s="22"/>
      <c r="E17" s="23"/>
      <c r="F17" s="24"/>
      <c r="G17" s="25"/>
      <c r="H17" s="25"/>
      <c r="I17" s="26"/>
    </row>
    <row r="18">
      <c r="A18" s="5">
        <v>14.0</v>
      </c>
      <c r="B18" s="6" t="s">
        <v>54</v>
      </c>
      <c r="C18" s="6" t="s">
        <v>21</v>
      </c>
      <c r="D18" s="6" t="s">
        <v>55</v>
      </c>
      <c r="E18" s="12">
        <v>37462.0</v>
      </c>
      <c r="F18" s="8">
        <f t="shared" ref="F18:F29" si="5">YEARFRAC(E18, TODAY(),1)</f>
        <v>23.96986301</v>
      </c>
      <c r="G18" s="9">
        <v>13.0</v>
      </c>
      <c r="H18" s="9">
        <f t="shared" ref="H18:H29" si="6">MINUS(G18, A18)</f>
        <v>-1</v>
      </c>
      <c r="I18" s="13" t="s">
        <v>56</v>
      </c>
    </row>
    <row r="19">
      <c r="A19" s="27">
        <v>15.0</v>
      </c>
      <c r="B19" s="28" t="s">
        <v>57</v>
      </c>
      <c r="C19" s="34" t="s">
        <v>14</v>
      </c>
      <c r="D19" s="28" t="s">
        <v>58</v>
      </c>
      <c r="E19" s="30">
        <v>39099.0</v>
      </c>
      <c r="F19" s="31">
        <f t="shared" si="5"/>
        <v>19.48767123</v>
      </c>
      <c r="G19" s="32">
        <v>18.0</v>
      </c>
      <c r="H19" s="32">
        <f t="shared" si="6"/>
        <v>3</v>
      </c>
      <c r="I19" s="33" t="s">
        <v>59</v>
      </c>
    </row>
    <row r="20">
      <c r="A20" s="5">
        <v>16.0</v>
      </c>
      <c r="B20" s="11" t="s">
        <v>60</v>
      </c>
      <c r="C20" s="11" t="s">
        <v>10</v>
      </c>
      <c r="D20" s="11" t="s">
        <v>15</v>
      </c>
      <c r="E20" s="12">
        <v>37377.0</v>
      </c>
      <c r="F20" s="8">
        <f t="shared" si="5"/>
        <v>24.20273973</v>
      </c>
      <c r="G20" s="9">
        <v>14.0</v>
      </c>
      <c r="H20" s="9">
        <f t="shared" si="6"/>
        <v>-2</v>
      </c>
      <c r="I20" s="13" t="s">
        <v>61</v>
      </c>
    </row>
    <row r="21">
      <c r="A21" s="5">
        <v>17.0</v>
      </c>
      <c r="B21" s="11" t="s">
        <v>62</v>
      </c>
      <c r="C21" s="11" t="s">
        <v>10</v>
      </c>
      <c r="D21" s="35" t="s">
        <v>63</v>
      </c>
      <c r="E21" s="12">
        <v>34674.0</v>
      </c>
      <c r="F21" s="8">
        <f t="shared" si="5"/>
        <v>31.60273973</v>
      </c>
      <c r="G21" s="9">
        <v>19.0</v>
      </c>
      <c r="H21" s="9">
        <f t="shared" si="6"/>
        <v>2</v>
      </c>
      <c r="I21" s="13" t="s">
        <v>64</v>
      </c>
    </row>
    <row r="22">
      <c r="A22" s="27">
        <v>18.0</v>
      </c>
      <c r="B22" s="28" t="s">
        <v>65</v>
      </c>
      <c r="C22" s="34" t="s">
        <v>36</v>
      </c>
      <c r="D22" s="28" t="s">
        <v>66</v>
      </c>
      <c r="E22" s="30">
        <v>39111.0</v>
      </c>
      <c r="F22" s="31">
        <f t="shared" si="5"/>
        <v>19.45479452</v>
      </c>
      <c r="G22" s="32">
        <v>24.0</v>
      </c>
      <c r="H22" s="32">
        <f t="shared" si="6"/>
        <v>6</v>
      </c>
      <c r="I22" s="33" t="s">
        <v>67</v>
      </c>
    </row>
    <row r="23">
      <c r="A23" s="5">
        <v>19.0</v>
      </c>
      <c r="B23" s="11" t="s">
        <v>68</v>
      </c>
      <c r="C23" s="11" t="s">
        <v>10</v>
      </c>
      <c r="D23" s="11" t="s">
        <v>69</v>
      </c>
      <c r="E23" s="12">
        <v>37060.0</v>
      </c>
      <c r="F23" s="8">
        <f t="shared" si="5"/>
        <v>25.07123288</v>
      </c>
      <c r="G23" s="9">
        <v>15.0</v>
      </c>
      <c r="H23" s="9">
        <f t="shared" si="6"/>
        <v>-4</v>
      </c>
      <c r="I23" s="13" t="s">
        <v>70</v>
      </c>
    </row>
    <row r="24">
      <c r="A24" s="5">
        <v>20.0</v>
      </c>
      <c r="B24" s="14" t="s">
        <v>71</v>
      </c>
      <c r="C24" s="14" t="s">
        <v>14</v>
      </c>
      <c r="D24" s="14" t="s">
        <v>11</v>
      </c>
      <c r="E24" s="16">
        <v>38778.0</v>
      </c>
      <c r="F24" s="17">
        <f t="shared" si="5"/>
        <v>20.36712329</v>
      </c>
      <c r="G24" s="18">
        <v>26.0</v>
      </c>
      <c r="H24" s="9">
        <f t="shared" si="6"/>
        <v>6</v>
      </c>
      <c r="I24" s="19" t="s">
        <v>72</v>
      </c>
    </row>
    <row r="25">
      <c r="A25" s="5">
        <v>21.0</v>
      </c>
      <c r="B25" s="11" t="s">
        <v>73</v>
      </c>
      <c r="C25" s="11" t="s">
        <v>74</v>
      </c>
      <c r="D25" s="11" t="s">
        <v>55</v>
      </c>
      <c r="E25" s="12">
        <v>37651.0</v>
      </c>
      <c r="F25" s="8">
        <f t="shared" si="5"/>
        <v>23.45205479</v>
      </c>
      <c r="G25" s="9">
        <v>20.0</v>
      </c>
      <c r="H25" s="9">
        <f t="shared" si="6"/>
        <v>-1</v>
      </c>
      <c r="I25" s="13" t="s">
        <v>75</v>
      </c>
    </row>
    <row r="26">
      <c r="A26" s="5">
        <v>22.0</v>
      </c>
      <c r="B26" s="11" t="s">
        <v>76</v>
      </c>
      <c r="C26" s="6" t="s">
        <v>77</v>
      </c>
      <c r="D26" s="11" t="s">
        <v>15</v>
      </c>
      <c r="E26" s="12">
        <v>36995.0</v>
      </c>
      <c r="F26" s="8">
        <f t="shared" si="5"/>
        <v>25.24931507</v>
      </c>
      <c r="G26" s="9">
        <v>17.0</v>
      </c>
      <c r="H26" s="9">
        <f t="shared" si="6"/>
        <v>-5</v>
      </c>
      <c r="I26" s="13" t="s">
        <v>78</v>
      </c>
    </row>
    <row r="27">
      <c r="A27" s="5">
        <v>23.0</v>
      </c>
      <c r="B27" s="11" t="s">
        <v>79</v>
      </c>
      <c r="C27" s="11" t="s">
        <v>14</v>
      </c>
      <c r="D27" s="11" t="s">
        <v>18</v>
      </c>
      <c r="E27" s="12">
        <v>35944.0</v>
      </c>
      <c r="F27" s="8">
        <f t="shared" si="5"/>
        <v>28.1260274</v>
      </c>
      <c r="G27" s="9">
        <v>22.0</v>
      </c>
      <c r="H27" s="9">
        <f t="shared" si="6"/>
        <v>-1</v>
      </c>
      <c r="I27" s="13" t="s">
        <v>80</v>
      </c>
    </row>
    <row r="28">
      <c r="A28" s="5">
        <v>24.0</v>
      </c>
      <c r="B28" s="6" t="s">
        <v>81</v>
      </c>
      <c r="C28" s="6" t="s">
        <v>77</v>
      </c>
      <c r="D28" s="6" t="s">
        <v>82</v>
      </c>
      <c r="E28" s="12">
        <v>37130.0</v>
      </c>
      <c r="F28" s="8">
        <f t="shared" si="5"/>
        <v>24.87945205</v>
      </c>
      <c r="G28" s="9">
        <v>21.0</v>
      </c>
      <c r="H28" s="9">
        <f t="shared" si="6"/>
        <v>-3</v>
      </c>
      <c r="I28" s="13" t="s">
        <v>83</v>
      </c>
    </row>
    <row r="29">
      <c r="A29" s="5">
        <v>25.0</v>
      </c>
      <c r="B29" s="11" t="s">
        <v>84</v>
      </c>
      <c r="C29" s="11" t="s">
        <v>14</v>
      </c>
      <c r="D29" s="11" t="s">
        <v>69</v>
      </c>
      <c r="E29" s="12">
        <v>35315.0</v>
      </c>
      <c r="F29" s="8">
        <f t="shared" si="5"/>
        <v>29.84844674</v>
      </c>
      <c r="G29" s="9">
        <v>23.0</v>
      </c>
      <c r="H29" s="9">
        <f t="shared" si="6"/>
        <v>-2</v>
      </c>
      <c r="I29" s="13" t="s">
        <v>85</v>
      </c>
    </row>
    <row r="30">
      <c r="A30" s="20"/>
      <c r="B30" s="21" t="s">
        <v>34</v>
      </c>
      <c r="C30" s="22"/>
      <c r="D30" s="22"/>
      <c r="E30" s="23"/>
      <c r="F30" s="24"/>
      <c r="G30" s="25"/>
      <c r="H30" s="25"/>
      <c r="I30" s="26"/>
    </row>
    <row r="31">
      <c r="A31" s="5">
        <v>26.0</v>
      </c>
      <c r="B31" s="11" t="s">
        <v>86</v>
      </c>
      <c r="C31" s="6" t="s">
        <v>74</v>
      </c>
      <c r="D31" s="6" t="s">
        <v>87</v>
      </c>
      <c r="E31" s="12">
        <v>37539.0</v>
      </c>
      <c r="F31" s="8">
        <f t="shared" ref="F31:F38" si="7">YEARFRAC(E31, TODAY(),1)</f>
        <v>23.75890411</v>
      </c>
      <c r="G31" s="9">
        <v>31.0</v>
      </c>
      <c r="H31" s="9">
        <f t="shared" ref="H31:H38" si="8">MINUS(G31, A31)</f>
        <v>5</v>
      </c>
      <c r="I31" s="13" t="s">
        <v>88</v>
      </c>
    </row>
    <row r="32">
      <c r="A32" s="5">
        <v>27.0</v>
      </c>
      <c r="B32" s="14" t="s">
        <v>89</v>
      </c>
      <c r="C32" s="14" t="s">
        <v>36</v>
      </c>
      <c r="D32" s="14" t="s">
        <v>90</v>
      </c>
      <c r="E32" s="16">
        <v>38567.0</v>
      </c>
      <c r="F32" s="17">
        <f t="shared" si="7"/>
        <v>20.94520548</v>
      </c>
      <c r="G32" s="18">
        <v>33.0</v>
      </c>
      <c r="H32" s="9">
        <f t="shared" si="8"/>
        <v>6</v>
      </c>
      <c r="I32" s="19" t="s">
        <v>91</v>
      </c>
    </row>
    <row r="33">
      <c r="A33" s="27">
        <v>28.0</v>
      </c>
      <c r="B33" s="28" t="s">
        <v>92</v>
      </c>
      <c r="C33" s="34" t="s">
        <v>25</v>
      </c>
      <c r="D33" s="28" t="s">
        <v>87</v>
      </c>
      <c r="E33" s="30">
        <v>38916.0</v>
      </c>
      <c r="F33" s="31">
        <f t="shared" si="7"/>
        <v>19.9890411</v>
      </c>
      <c r="G33" s="32">
        <v>37.0</v>
      </c>
      <c r="H33" s="32">
        <f t="shared" si="8"/>
        <v>9</v>
      </c>
      <c r="I33" s="33" t="s">
        <v>93</v>
      </c>
    </row>
    <row r="34">
      <c r="A34" s="5">
        <v>29.0</v>
      </c>
      <c r="B34" s="6" t="s">
        <v>94</v>
      </c>
      <c r="C34" s="6" t="s">
        <v>25</v>
      </c>
      <c r="D34" s="6" t="s">
        <v>95</v>
      </c>
      <c r="E34" s="12">
        <v>36894.0</v>
      </c>
      <c r="F34" s="8">
        <f t="shared" si="7"/>
        <v>25.5260274</v>
      </c>
      <c r="G34" s="9">
        <v>25.0</v>
      </c>
      <c r="H34" s="9">
        <f t="shared" si="8"/>
        <v>-4</v>
      </c>
      <c r="I34" s="13" t="s">
        <v>96</v>
      </c>
    </row>
    <row r="35">
      <c r="A35" s="5">
        <v>30.0</v>
      </c>
      <c r="B35" s="11" t="s">
        <v>97</v>
      </c>
      <c r="C35" s="11" t="s">
        <v>14</v>
      </c>
      <c r="D35" s="35" t="s">
        <v>98</v>
      </c>
      <c r="E35" s="12">
        <v>36551.0</v>
      </c>
      <c r="F35" s="8">
        <f t="shared" si="7"/>
        <v>26.46320084</v>
      </c>
      <c r="G35" s="9">
        <v>27.0</v>
      </c>
      <c r="H35" s="9">
        <f t="shared" si="8"/>
        <v>-3</v>
      </c>
      <c r="I35" s="13" t="s">
        <v>99</v>
      </c>
    </row>
    <row r="36">
      <c r="A36" s="5">
        <v>31.0</v>
      </c>
      <c r="B36" s="11" t="s">
        <v>100</v>
      </c>
      <c r="C36" s="11" t="s">
        <v>14</v>
      </c>
      <c r="D36" s="11" t="s">
        <v>22</v>
      </c>
      <c r="E36" s="12">
        <v>35484.0</v>
      </c>
      <c r="F36" s="8">
        <f t="shared" si="7"/>
        <v>29.38630137</v>
      </c>
      <c r="G36" s="9">
        <v>36.0</v>
      </c>
      <c r="H36" s="9">
        <f t="shared" si="8"/>
        <v>5</v>
      </c>
      <c r="I36" s="13" t="s">
        <v>101</v>
      </c>
    </row>
    <row r="37">
      <c r="A37" s="5">
        <v>32.0</v>
      </c>
      <c r="B37" s="11" t="s">
        <v>102</v>
      </c>
      <c r="C37" s="11" t="s">
        <v>14</v>
      </c>
      <c r="D37" s="35" t="s">
        <v>103</v>
      </c>
      <c r="E37" s="12">
        <v>37125.0</v>
      </c>
      <c r="F37" s="8">
        <f t="shared" si="7"/>
        <v>24.89315068</v>
      </c>
      <c r="G37" s="9">
        <v>30.0</v>
      </c>
      <c r="H37" s="9">
        <f t="shared" si="8"/>
        <v>-2</v>
      </c>
      <c r="I37" s="13" t="s">
        <v>104</v>
      </c>
    </row>
    <row r="38">
      <c r="A38" s="5">
        <v>33.0</v>
      </c>
      <c r="B38" s="15" t="s">
        <v>105</v>
      </c>
      <c r="C38" s="15" t="s">
        <v>14</v>
      </c>
      <c r="D38" s="15" t="s">
        <v>106</v>
      </c>
      <c r="E38" s="16">
        <v>35308.0</v>
      </c>
      <c r="F38" s="17">
        <f t="shared" si="7"/>
        <v>29.86757242</v>
      </c>
      <c r="G38" s="18">
        <v>32.0</v>
      </c>
      <c r="H38" s="9">
        <f t="shared" si="8"/>
        <v>-1</v>
      </c>
      <c r="I38" s="19" t="s">
        <v>107</v>
      </c>
    </row>
    <row r="39">
      <c r="A39" s="20"/>
      <c r="B39" s="21" t="s">
        <v>34</v>
      </c>
      <c r="C39" s="22"/>
      <c r="D39" s="22"/>
      <c r="E39" s="23"/>
      <c r="F39" s="24"/>
      <c r="G39" s="25"/>
      <c r="H39" s="25"/>
      <c r="I39" s="26"/>
    </row>
    <row r="40">
      <c r="A40" s="5">
        <v>34.0</v>
      </c>
      <c r="B40" s="15" t="s">
        <v>108</v>
      </c>
      <c r="C40" s="15" t="s">
        <v>21</v>
      </c>
      <c r="D40" s="36" t="s">
        <v>29</v>
      </c>
      <c r="E40" s="37">
        <v>37943.0</v>
      </c>
      <c r="F40" s="17">
        <f t="shared" ref="F40:F51" si="9">YEARFRAC(E40, TODAY(),1)</f>
        <v>22.65205479</v>
      </c>
      <c r="G40" s="18">
        <v>34.0</v>
      </c>
      <c r="H40" s="9">
        <f t="shared" ref="H40:H51" si="10">MINUS(G40, A40)</f>
        <v>0</v>
      </c>
      <c r="I40" s="19" t="s">
        <v>109</v>
      </c>
    </row>
    <row r="41">
      <c r="A41" s="5">
        <v>35.0</v>
      </c>
      <c r="B41" s="11" t="s">
        <v>110</v>
      </c>
      <c r="C41" s="11" t="s">
        <v>36</v>
      </c>
      <c r="D41" s="11" t="s">
        <v>111</v>
      </c>
      <c r="E41" s="12">
        <v>35368.0</v>
      </c>
      <c r="F41" s="8">
        <f t="shared" si="9"/>
        <v>29.703638</v>
      </c>
      <c r="G41" s="9">
        <v>29.0</v>
      </c>
      <c r="H41" s="9">
        <f t="shared" si="10"/>
        <v>-6</v>
      </c>
      <c r="I41" s="13" t="s">
        <v>112</v>
      </c>
    </row>
    <row r="42">
      <c r="A42" s="5">
        <v>36.0</v>
      </c>
      <c r="B42" s="11" t="s">
        <v>113</v>
      </c>
      <c r="C42" s="11" t="s">
        <v>77</v>
      </c>
      <c r="D42" s="11" t="s">
        <v>114</v>
      </c>
      <c r="E42" s="12">
        <v>36695.0</v>
      </c>
      <c r="F42" s="8">
        <f t="shared" si="9"/>
        <v>26.06975822</v>
      </c>
      <c r="G42" s="9">
        <v>35.0</v>
      </c>
      <c r="H42" s="9">
        <f t="shared" si="10"/>
        <v>-1</v>
      </c>
      <c r="I42" s="13" t="s">
        <v>115</v>
      </c>
    </row>
    <row r="43">
      <c r="A43" s="5">
        <v>37.0</v>
      </c>
      <c r="B43" s="11" t="s">
        <v>116</v>
      </c>
      <c r="C43" s="11" t="s">
        <v>10</v>
      </c>
      <c r="D43" s="35" t="s">
        <v>106</v>
      </c>
      <c r="E43" s="12">
        <v>35018.0</v>
      </c>
      <c r="F43" s="8">
        <f t="shared" si="9"/>
        <v>30.66027397</v>
      </c>
      <c r="G43" s="9">
        <v>43.0</v>
      </c>
      <c r="H43" s="9">
        <f t="shared" si="10"/>
        <v>6</v>
      </c>
      <c r="I43" s="13" t="s">
        <v>117</v>
      </c>
    </row>
    <row r="44">
      <c r="A44" s="5">
        <v>38.0</v>
      </c>
      <c r="B44" s="11" t="s">
        <v>118</v>
      </c>
      <c r="C44" s="35" t="s">
        <v>25</v>
      </c>
      <c r="D44" s="11" t="s">
        <v>82</v>
      </c>
      <c r="E44" s="12">
        <v>37572.0</v>
      </c>
      <c r="F44" s="8">
        <f t="shared" si="9"/>
        <v>23.66849315</v>
      </c>
      <c r="G44" s="9">
        <v>38.0</v>
      </c>
      <c r="H44" s="9">
        <f t="shared" si="10"/>
        <v>0</v>
      </c>
      <c r="I44" s="13" t="s">
        <v>119</v>
      </c>
    </row>
    <row r="45">
      <c r="A45" s="5">
        <v>39.0</v>
      </c>
      <c r="B45" s="11" t="s">
        <v>120</v>
      </c>
      <c r="C45" s="11" t="s">
        <v>10</v>
      </c>
      <c r="D45" s="35" t="s">
        <v>58</v>
      </c>
      <c r="E45" s="12">
        <v>36418.0</v>
      </c>
      <c r="F45" s="8">
        <f t="shared" si="9"/>
        <v>26.82739726</v>
      </c>
      <c r="G45" s="9">
        <v>41.0</v>
      </c>
      <c r="H45" s="9">
        <f t="shared" si="10"/>
        <v>2</v>
      </c>
      <c r="I45" s="13" t="s">
        <v>121</v>
      </c>
    </row>
    <row r="46">
      <c r="A46" s="5">
        <v>40.0</v>
      </c>
      <c r="B46" s="14" t="s">
        <v>122</v>
      </c>
      <c r="C46" s="36" t="s">
        <v>36</v>
      </c>
      <c r="D46" s="36" t="s">
        <v>123</v>
      </c>
      <c r="E46" s="16">
        <v>35362.0</v>
      </c>
      <c r="F46" s="17">
        <f t="shared" si="9"/>
        <v>29.72003144</v>
      </c>
      <c r="G46" s="18">
        <v>42.0</v>
      </c>
      <c r="H46" s="9">
        <f t="shared" si="10"/>
        <v>2</v>
      </c>
      <c r="I46" s="19" t="s">
        <v>124</v>
      </c>
    </row>
    <row r="47">
      <c r="A47" s="5">
        <v>41.0</v>
      </c>
      <c r="B47" s="11" t="s">
        <v>125</v>
      </c>
      <c r="C47" s="11" t="s">
        <v>14</v>
      </c>
      <c r="D47" s="35" t="s">
        <v>66</v>
      </c>
      <c r="E47" s="12">
        <v>36057.0</v>
      </c>
      <c r="F47" s="8">
        <f t="shared" si="9"/>
        <v>27.81643836</v>
      </c>
      <c r="G47" s="9">
        <v>28.0</v>
      </c>
      <c r="H47" s="9">
        <f t="shared" si="10"/>
        <v>-13</v>
      </c>
      <c r="I47" s="13" t="s">
        <v>126</v>
      </c>
    </row>
    <row r="48">
      <c r="A48" s="5">
        <v>42.0</v>
      </c>
      <c r="B48" s="11" t="s">
        <v>127</v>
      </c>
      <c r="C48" s="11" t="s">
        <v>10</v>
      </c>
      <c r="D48" s="11" t="s">
        <v>128</v>
      </c>
      <c r="E48" s="12">
        <v>35629.0</v>
      </c>
      <c r="F48" s="8">
        <f t="shared" si="9"/>
        <v>28.9890411</v>
      </c>
      <c r="G48" s="9">
        <v>44.0</v>
      </c>
      <c r="H48" s="9">
        <f t="shared" si="10"/>
        <v>2</v>
      </c>
      <c r="I48" s="13" t="s">
        <v>129</v>
      </c>
    </row>
    <row r="49">
      <c r="A49" s="5">
        <v>43.0</v>
      </c>
      <c r="B49" s="14" t="s">
        <v>130</v>
      </c>
      <c r="C49" s="14" t="s">
        <v>14</v>
      </c>
      <c r="D49" s="14" t="s">
        <v>40</v>
      </c>
      <c r="E49" s="16">
        <v>38563.0</v>
      </c>
      <c r="F49" s="17">
        <f t="shared" si="9"/>
        <v>20.95616438</v>
      </c>
      <c r="G49" s="18">
        <v>45.0</v>
      </c>
      <c r="H49" s="9">
        <f t="shared" si="10"/>
        <v>2</v>
      </c>
      <c r="I49" s="19" t="s">
        <v>131</v>
      </c>
    </row>
    <row r="50">
      <c r="A50" s="5">
        <v>44.0</v>
      </c>
      <c r="B50" s="6" t="s">
        <v>132</v>
      </c>
      <c r="C50" s="6" t="s">
        <v>74</v>
      </c>
      <c r="D50" s="6" t="s">
        <v>11</v>
      </c>
      <c r="E50" s="12">
        <v>38292.0</v>
      </c>
      <c r="F50" s="8">
        <f t="shared" si="9"/>
        <v>21.69817352</v>
      </c>
      <c r="G50" s="9">
        <v>58.0</v>
      </c>
      <c r="H50" s="9">
        <f t="shared" si="10"/>
        <v>14</v>
      </c>
      <c r="I50" s="13" t="s">
        <v>133</v>
      </c>
    </row>
    <row r="51">
      <c r="A51" s="5">
        <v>45.0</v>
      </c>
      <c r="B51" s="6" t="s">
        <v>134</v>
      </c>
      <c r="C51" s="6" t="s">
        <v>25</v>
      </c>
      <c r="D51" s="6" t="s">
        <v>90</v>
      </c>
      <c r="E51" s="12">
        <v>37582.0</v>
      </c>
      <c r="F51" s="8">
        <f t="shared" si="9"/>
        <v>23.64109589</v>
      </c>
      <c r="G51" s="9">
        <v>56.0</v>
      </c>
      <c r="H51" s="9">
        <f t="shared" si="10"/>
        <v>11</v>
      </c>
      <c r="I51" s="13" t="s">
        <v>135</v>
      </c>
    </row>
    <row r="52">
      <c r="A52" s="20"/>
      <c r="B52" s="21" t="s">
        <v>34</v>
      </c>
      <c r="C52" s="22"/>
      <c r="D52" s="22"/>
      <c r="E52" s="23"/>
      <c r="F52" s="24"/>
      <c r="G52" s="25"/>
      <c r="H52" s="25"/>
      <c r="I52" s="26"/>
    </row>
    <row r="53">
      <c r="A53" s="5">
        <v>46.0</v>
      </c>
      <c r="B53" s="11" t="s">
        <v>136</v>
      </c>
      <c r="C53" s="11" t="s">
        <v>21</v>
      </c>
      <c r="D53" s="11" t="s">
        <v>95</v>
      </c>
      <c r="E53" s="12">
        <v>38040.0</v>
      </c>
      <c r="F53" s="8">
        <f t="shared" ref="F53:F64" si="11">YEARFRAC(E53, TODAY(),1)</f>
        <v>22.38669811</v>
      </c>
      <c r="G53" s="9">
        <v>40.0</v>
      </c>
      <c r="H53" s="9">
        <f t="shared" ref="H53:H64" si="12">MINUS(G53, A53)</f>
        <v>-6</v>
      </c>
      <c r="I53" s="13" t="s">
        <v>137</v>
      </c>
    </row>
    <row r="54">
      <c r="A54" s="5">
        <v>47.0</v>
      </c>
      <c r="B54" s="6" t="s">
        <v>138</v>
      </c>
      <c r="C54" s="11" t="s">
        <v>10</v>
      </c>
      <c r="D54" s="6" t="s">
        <v>66</v>
      </c>
      <c r="E54" s="12">
        <v>38468.0</v>
      </c>
      <c r="F54" s="8">
        <f t="shared" si="11"/>
        <v>21.21643836</v>
      </c>
      <c r="G54" s="9">
        <v>39.0</v>
      </c>
      <c r="H54" s="9">
        <f t="shared" si="12"/>
        <v>-8</v>
      </c>
      <c r="I54" s="13" t="s">
        <v>139</v>
      </c>
    </row>
    <row r="55">
      <c r="A55" s="5">
        <v>48.0</v>
      </c>
      <c r="B55" s="11" t="s">
        <v>140</v>
      </c>
      <c r="C55" s="11" t="s">
        <v>25</v>
      </c>
      <c r="D55" s="11" t="s">
        <v>58</v>
      </c>
      <c r="E55" s="12">
        <v>35572.0</v>
      </c>
      <c r="F55" s="8">
        <f t="shared" si="11"/>
        <v>29.14520548</v>
      </c>
      <c r="G55" s="9">
        <v>48.0</v>
      </c>
      <c r="H55" s="9">
        <f t="shared" si="12"/>
        <v>0</v>
      </c>
      <c r="I55" s="13" t="s">
        <v>141</v>
      </c>
    </row>
    <row r="56">
      <c r="A56" s="5">
        <v>49.0</v>
      </c>
      <c r="B56" s="14" t="s">
        <v>142</v>
      </c>
      <c r="C56" s="14" t="s">
        <v>21</v>
      </c>
      <c r="D56" s="14" t="s">
        <v>49</v>
      </c>
      <c r="E56" s="16">
        <v>37390.0</v>
      </c>
      <c r="F56" s="17">
        <f t="shared" si="11"/>
        <v>24.16712329</v>
      </c>
      <c r="G56" s="9">
        <v>55.0</v>
      </c>
      <c r="H56" s="9">
        <f t="shared" si="12"/>
        <v>6</v>
      </c>
      <c r="I56" s="19" t="s">
        <v>143</v>
      </c>
    </row>
    <row r="57">
      <c r="A57" s="5">
        <v>50.0</v>
      </c>
      <c r="B57" s="11" t="s">
        <v>144</v>
      </c>
      <c r="C57" s="11" t="s">
        <v>36</v>
      </c>
      <c r="D57" s="6" t="s">
        <v>82</v>
      </c>
      <c r="E57" s="12">
        <v>35971.0</v>
      </c>
      <c r="F57" s="8">
        <f t="shared" si="11"/>
        <v>28.05205479</v>
      </c>
      <c r="G57" s="9">
        <v>47.0</v>
      </c>
      <c r="H57" s="9">
        <f t="shared" si="12"/>
        <v>-3</v>
      </c>
      <c r="I57" s="13" t="s">
        <v>145</v>
      </c>
    </row>
    <row r="58">
      <c r="A58" s="5">
        <v>51.0</v>
      </c>
      <c r="B58" s="11" t="s">
        <v>146</v>
      </c>
      <c r="C58" s="11" t="s">
        <v>14</v>
      </c>
      <c r="D58" s="11" t="s">
        <v>58</v>
      </c>
      <c r="E58" s="12">
        <v>37933.0</v>
      </c>
      <c r="F58" s="8">
        <f t="shared" si="11"/>
        <v>22.67945205</v>
      </c>
      <c r="G58" s="9">
        <v>61.0</v>
      </c>
      <c r="H58" s="9">
        <f t="shared" si="12"/>
        <v>10</v>
      </c>
      <c r="I58" s="13" t="s">
        <v>147</v>
      </c>
    </row>
    <row r="59">
      <c r="A59" s="27">
        <v>52.0</v>
      </c>
      <c r="B59" s="28" t="s">
        <v>148</v>
      </c>
      <c r="C59" s="34" t="s">
        <v>14</v>
      </c>
      <c r="D59" s="28" t="s">
        <v>98</v>
      </c>
      <c r="E59" s="30">
        <v>39116.0</v>
      </c>
      <c r="F59" s="31">
        <f t="shared" si="11"/>
        <v>19.44109589</v>
      </c>
      <c r="G59" s="32">
        <v>50.0</v>
      </c>
      <c r="H59" s="32">
        <f t="shared" si="12"/>
        <v>-2</v>
      </c>
      <c r="I59" s="33" t="s">
        <v>149</v>
      </c>
    </row>
    <row r="60">
      <c r="A60" s="5">
        <v>53.0</v>
      </c>
      <c r="B60" s="6" t="s">
        <v>150</v>
      </c>
      <c r="C60" s="6" t="s">
        <v>10</v>
      </c>
      <c r="D60" s="6" t="s">
        <v>43</v>
      </c>
      <c r="E60" s="12">
        <v>36871.0</v>
      </c>
      <c r="F60" s="8">
        <f t="shared" si="11"/>
        <v>25.5888839</v>
      </c>
      <c r="G60" s="9">
        <v>62.0</v>
      </c>
      <c r="H60" s="9">
        <f t="shared" si="12"/>
        <v>9</v>
      </c>
      <c r="I60" s="13" t="s">
        <v>151</v>
      </c>
    </row>
    <row r="61">
      <c r="A61" s="5">
        <v>54.0</v>
      </c>
      <c r="B61" s="11" t="s">
        <v>152</v>
      </c>
      <c r="C61" s="11" t="s">
        <v>21</v>
      </c>
      <c r="D61" s="35" t="s">
        <v>153</v>
      </c>
      <c r="E61" s="12">
        <v>37098.0</v>
      </c>
      <c r="F61" s="8">
        <f t="shared" si="11"/>
        <v>24.96712329</v>
      </c>
      <c r="G61" s="9">
        <v>68.0</v>
      </c>
      <c r="H61" s="9">
        <f t="shared" si="12"/>
        <v>14</v>
      </c>
      <c r="I61" s="13" t="s">
        <v>154</v>
      </c>
    </row>
    <row r="62">
      <c r="A62" s="5">
        <v>55.0</v>
      </c>
      <c r="B62" s="6" t="s">
        <v>155</v>
      </c>
      <c r="C62" s="6" t="s">
        <v>21</v>
      </c>
      <c r="D62" s="35" t="s">
        <v>46</v>
      </c>
      <c r="E62" s="12">
        <v>35507.0</v>
      </c>
      <c r="F62" s="8">
        <f t="shared" si="11"/>
        <v>29.32328767</v>
      </c>
      <c r="G62" s="9">
        <v>59.0</v>
      </c>
      <c r="H62" s="9">
        <f t="shared" si="12"/>
        <v>4</v>
      </c>
      <c r="I62" s="13" t="s">
        <v>156</v>
      </c>
    </row>
    <row r="63">
      <c r="A63" s="27">
        <v>56.0</v>
      </c>
      <c r="B63" s="28" t="s">
        <v>157</v>
      </c>
      <c r="C63" s="29" t="s">
        <v>14</v>
      </c>
      <c r="D63" s="28" t="s">
        <v>158</v>
      </c>
      <c r="E63" s="30">
        <v>38810.0</v>
      </c>
      <c r="F63" s="31">
        <f t="shared" si="11"/>
        <v>20.27945205</v>
      </c>
      <c r="G63" s="32">
        <v>67.0</v>
      </c>
      <c r="H63" s="32">
        <f t="shared" si="12"/>
        <v>11</v>
      </c>
      <c r="I63" s="38" t="s">
        <v>159</v>
      </c>
    </row>
    <row r="64">
      <c r="A64" s="5">
        <v>57.0</v>
      </c>
      <c r="B64" s="15" t="s">
        <v>160</v>
      </c>
      <c r="C64" s="15" t="s">
        <v>25</v>
      </c>
      <c r="D64" s="36" t="s">
        <v>161</v>
      </c>
      <c r="E64" s="16">
        <v>35675.0</v>
      </c>
      <c r="F64" s="17">
        <f t="shared" si="11"/>
        <v>28.8630137</v>
      </c>
      <c r="G64" s="18">
        <v>85.0</v>
      </c>
      <c r="H64" s="9">
        <f t="shared" si="12"/>
        <v>28</v>
      </c>
      <c r="I64" s="19" t="s">
        <v>162</v>
      </c>
    </row>
    <row r="65">
      <c r="A65" s="20"/>
      <c r="B65" s="21" t="s">
        <v>34</v>
      </c>
      <c r="C65" s="22"/>
      <c r="D65" s="22"/>
      <c r="E65" s="23"/>
      <c r="F65" s="24"/>
      <c r="G65" s="25"/>
      <c r="H65" s="25"/>
      <c r="I65" s="26"/>
    </row>
    <row r="66">
      <c r="A66" s="5">
        <v>58.0</v>
      </c>
      <c r="B66" s="6" t="s">
        <v>163</v>
      </c>
      <c r="C66" s="11" t="s">
        <v>21</v>
      </c>
      <c r="D66" s="35" t="s">
        <v>164</v>
      </c>
      <c r="E66" s="12">
        <v>38097.0</v>
      </c>
      <c r="F66" s="8">
        <f t="shared" ref="F66:F77" si="13">YEARFRAC(E66, TODAY(),1)</f>
        <v>22.2309604</v>
      </c>
      <c r="G66" s="9">
        <v>64.0</v>
      </c>
      <c r="H66" s="9">
        <f t="shared" ref="H66:H77" si="14">MINUS(G66, A66)</f>
        <v>6</v>
      </c>
      <c r="I66" s="13" t="s">
        <v>165</v>
      </c>
    </row>
    <row r="67">
      <c r="A67" s="5">
        <v>59.0</v>
      </c>
      <c r="B67" s="15" t="s">
        <v>166</v>
      </c>
      <c r="C67" s="15" t="s">
        <v>10</v>
      </c>
      <c r="D67" s="36" t="s">
        <v>167</v>
      </c>
      <c r="E67" s="16">
        <v>35188.0</v>
      </c>
      <c r="F67" s="17">
        <f t="shared" si="13"/>
        <v>30.19544128</v>
      </c>
      <c r="G67" s="18">
        <v>51.0</v>
      </c>
      <c r="H67" s="9">
        <f t="shared" si="14"/>
        <v>-8</v>
      </c>
      <c r="I67" s="19" t="s">
        <v>168</v>
      </c>
    </row>
    <row r="68">
      <c r="A68" s="5">
        <v>60.0</v>
      </c>
      <c r="B68" s="11" t="s">
        <v>169</v>
      </c>
      <c r="C68" s="11" t="s">
        <v>14</v>
      </c>
      <c r="D68" s="35" t="s">
        <v>69</v>
      </c>
      <c r="E68" s="39">
        <v>32746.0</v>
      </c>
      <c r="F68" s="8">
        <f t="shared" si="13"/>
        <v>36.88219178</v>
      </c>
      <c r="G68" s="9">
        <v>49.0</v>
      </c>
      <c r="H68" s="9">
        <f t="shared" si="14"/>
        <v>-11</v>
      </c>
      <c r="I68" s="13" t="s">
        <v>170</v>
      </c>
    </row>
    <row r="69">
      <c r="A69" s="5">
        <v>61.0</v>
      </c>
      <c r="B69" s="11" t="s">
        <v>171</v>
      </c>
      <c r="C69" s="11" t="s">
        <v>25</v>
      </c>
      <c r="D69" s="6" t="s">
        <v>55</v>
      </c>
      <c r="E69" s="12">
        <v>32415.0</v>
      </c>
      <c r="F69" s="8">
        <f t="shared" si="13"/>
        <v>37.78833745</v>
      </c>
      <c r="G69" s="9">
        <v>52.0</v>
      </c>
      <c r="H69" s="9">
        <f t="shared" si="14"/>
        <v>-9</v>
      </c>
      <c r="I69" s="13" t="s">
        <v>172</v>
      </c>
    </row>
    <row r="70">
      <c r="A70" s="5">
        <v>62.0</v>
      </c>
      <c r="B70" s="11" t="s">
        <v>173</v>
      </c>
      <c r="C70" s="11" t="s">
        <v>14</v>
      </c>
      <c r="D70" s="6" t="s">
        <v>11</v>
      </c>
      <c r="E70" s="12">
        <v>35784.0</v>
      </c>
      <c r="F70" s="8">
        <f t="shared" si="13"/>
        <v>28.56438356</v>
      </c>
      <c r="G70" s="9">
        <v>46.0</v>
      </c>
      <c r="H70" s="9">
        <f t="shared" si="14"/>
        <v>-16</v>
      </c>
      <c r="I70" s="13" t="s">
        <v>174</v>
      </c>
    </row>
    <row r="71">
      <c r="A71" s="5">
        <v>63.0</v>
      </c>
      <c r="B71" s="11" t="s">
        <v>175</v>
      </c>
      <c r="C71" s="11" t="s">
        <v>14</v>
      </c>
      <c r="D71" s="6" t="s">
        <v>176</v>
      </c>
      <c r="E71" s="12">
        <v>32216.0</v>
      </c>
      <c r="F71" s="8">
        <f t="shared" si="13"/>
        <v>38.3320533</v>
      </c>
      <c r="G71" s="9">
        <v>57.0</v>
      </c>
      <c r="H71" s="9">
        <f t="shared" si="14"/>
        <v>-6</v>
      </c>
      <c r="I71" s="13" t="s">
        <v>177</v>
      </c>
    </row>
    <row r="72">
      <c r="A72" s="5">
        <v>64.0</v>
      </c>
      <c r="B72" s="15" t="s">
        <v>178</v>
      </c>
      <c r="C72" s="15" t="s">
        <v>10</v>
      </c>
      <c r="D72" s="36" t="s">
        <v>66</v>
      </c>
      <c r="E72" s="16">
        <v>34039.0</v>
      </c>
      <c r="F72" s="17">
        <f t="shared" si="13"/>
        <v>33.34246575</v>
      </c>
      <c r="G72" s="18">
        <v>53.0</v>
      </c>
      <c r="H72" s="9">
        <f t="shared" si="14"/>
        <v>-11</v>
      </c>
      <c r="I72" s="19" t="s">
        <v>179</v>
      </c>
    </row>
    <row r="73">
      <c r="A73" s="5">
        <v>65.0</v>
      </c>
      <c r="B73" s="11" t="s">
        <v>180</v>
      </c>
      <c r="C73" s="11" t="s">
        <v>77</v>
      </c>
      <c r="D73" s="6" t="s">
        <v>106</v>
      </c>
      <c r="E73" s="12">
        <v>35628.0</v>
      </c>
      <c r="F73" s="8">
        <f t="shared" si="13"/>
        <v>28.99178082</v>
      </c>
      <c r="G73" s="9">
        <v>72.0</v>
      </c>
      <c r="H73" s="9">
        <f t="shared" si="14"/>
        <v>7</v>
      </c>
      <c r="I73" s="40" t="s">
        <v>181</v>
      </c>
    </row>
    <row r="74">
      <c r="A74" s="27">
        <v>66.0</v>
      </c>
      <c r="B74" s="28" t="s">
        <v>182</v>
      </c>
      <c r="C74" s="34" t="s">
        <v>183</v>
      </c>
      <c r="D74" s="28" t="s">
        <v>167</v>
      </c>
      <c r="E74" s="30">
        <v>39037.0</v>
      </c>
      <c r="F74" s="31">
        <f t="shared" si="13"/>
        <v>19.65753425</v>
      </c>
      <c r="G74" s="32">
        <v>76.0</v>
      </c>
      <c r="H74" s="32">
        <f t="shared" si="14"/>
        <v>10</v>
      </c>
      <c r="I74" s="41" t="s">
        <v>184</v>
      </c>
    </row>
    <row r="75">
      <c r="A75" s="5">
        <v>67.0</v>
      </c>
      <c r="B75" s="14" t="s">
        <v>185</v>
      </c>
      <c r="C75" s="6" t="s">
        <v>14</v>
      </c>
      <c r="D75" s="6" t="s">
        <v>32</v>
      </c>
      <c r="E75" s="12">
        <v>34517.0</v>
      </c>
      <c r="F75" s="8">
        <f t="shared" si="13"/>
        <v>32.03287671</v>
      </c>
      <c r="G75" s="9">
        <v>60.0</v>
      </c>
      <c r="H75" s="9">
        <f t="shared" si="14"/>
        <v>-7</v>
      </c>
      <c r="I75" s="13" t="s">
        <v>186</v>
      </c>
    </row>
    <row r="76">
      <c r="A76" s="5">
        <v>68.0</v>
      </c>
      <c r="B76" s="6" t="s">
        <v>187</v>
      </c>
      <c r="C76" s="6" t="s">
        <v>25</v>
      </c>
      <c r="D76" s="6" t="s">
        <v>87</v>
      </c>
      <c r="E76" s="12">
        <v>38263.0</v>
      </c>
      <c r="F76" s="8">
        <f t="shared" si="13"/>
        <v>21.77740849</v>
      </c>
      <c r="G76" s="9">
        <v>71.0</v>
      </c>
      <c r="H76" s="9">
        <f t="shared" si="14"/>
        <v>3</v>
      </c>
      <c r="I76" s="13" t="s">
        <v>188</v>
      </c>
    </row>
    <row r="77">
      <c r="A77" s="5">
        <v>69.0</v>
      </c>
      <c r="B77" s="11" t="s">
        <v>189</v>
      </c>
      <c r="C77" s="11" t="s">
        <v>10</v>
      </c>
      <c r="D77" s="11" t="s">
        <v>114</v>
      </c>
      <c r="E77" s="12">
        <v>36713.0</v>
      </c>
      <c r="F77" s="8">
        <f t="shared" si="13"/>
        <v>26.02057789</v>
      </c>
      <c r="G77" s="9">
        <v>65.0</v>
      </c>
      <c r="H77" s="9">
        <f t="shared" si="14"/>
        <v>-4</v>
      </c>
      <c r="I77" s="13" t="s">
        <v>190</v>
      </c>
    </row>
    <row r="78">
      <c r="A78" s="20"/>
      <c r="B78" s="21" t="s">
        <v>34</v>
      </c>
      <c r="C78" s="22"/>
      <c r="D78" s="22"/>
      <c r="E78" s="23"/>
      <c r="F78" s="24"/>
      <c r="G78" s="25"/>
      <c r="H78" s="25"/>
      <c r="I78" s="26"/>
    </row>
    <row r="79">
      <c r="A79" s="5">
        <v>70.0</v>
      </c>
      <c r="B79" s="6" t="s">
        <v>191</v>
      </c>
      <c r="C79" s="6" t="s">
        <v>10</v>
      </c>
      <c r="D79" s="6" t="s">
        <v>46</v>
      </c>
      <c r="E79" s="12">
        <v>34426.0</v>
      </c>
      <c r="F79" s="8">
        <f t="shared" ref="F79:F91" si="15">YEARFRAC(E79, TODAY(),1)</f>
        <v>32.28219178</v>
      </c>
      <c r="G79" s="9">
        <v>63.0</v>
      </c>
      <c r="H79" s="9">
        <f t="shared" ref="H79:H91" si="16">MINUS(G79, A79)</f>
        <v>-7</v>
      </c>
      <c r="I79" s="42" t="s">
        <v>192</v>
      </c>
    </row>
    <row r="80">
      <c r="A80" s="5">
        <v>71.0</v>
      </c>
      <c r="B80" s="15" t="s">
        <v>193</v>
      </c>
      <c r="C80" s="15" t="s">
        <v>10</v>
      </c>
      <c r="D80" s="14" t="s">
        <v>52</v>
      </c>
      <c r="E80" s="16">
        <v>38513.0</v>
      </c>
      <c r="F80" s="17">
        <f t="shared" si="15"/>
        <v>21.09315068</v>
      </c>
      <c r="G80" s="18">
        <v>95.0</v>
      </c>
      <c r="H80" s="9">
        <f t="shared" si="16"/>
        <v>24</v>
      </c>
      <c r="I80" s="19" t="s">
        <v>194</v>
      </c>
    </row>
    <row r="81">
      <c r="A81" s="5">
        <v>72.0</v>
      </c>
      <c r="B81" s="15" t="s">
        <v>195</v>
      </c>
      <c r="C81" s="11" t="s">
        <v>14</v>
      </c>
      <c r="D81" s="35" t="s">
        <v>164</v>
      </c>
      <c r="E81" s="12">
        <v>36545.0</v>
      </c>
      <c r="F81" s="8">
        <f t="shared" si="15"/>
        <v>26.47959428</v>
      </c>
      <c r="G81" s="9">
        <v>54.0</v>
      </c>
      <c r="H81" s="9">
        <f t="shared" si="16"/>
        <v>-18</v>
      </c>
      <c r="I81" s="13" t="s">
        <v>196</v>
      </c>
    </row>
    <row r="82">
      <c r="A82" s="5">
        <v>73.0</v>
      </c>
      <c r="B82" s="11" t="s">
        <v>197</v>
      </c>
      <c r="C82" s="11" t="s">
        <v>25</v>
      </c>
      <c r="D82" s="11" t="s">
        <v>37</v>
      </c>
      <c r="E82" s="12">
        <v>36798.0</v>
      </c>
      <c r="F82" s="8">
        <f t="shared" si="15"/>
        <v>25.78833745</v>
      </c>
      <c r="G82" s="9">
        <v>89.0</v>
      </c>
      <c r="H82" s="9">
        <f t="shared" si="16"/>
        <v>16</v>
      </c>
      <c r="I82" s="43" t="s">
        <v>198</v>
      </c>
    </row>
    <row r="83">
      <c r="A83" s="5">
        <v>74.0</v>
      </c>
      <c r="B83" s="11" t="s">
        <v>199</v>
      </c>
      <c r="C83" s="11" t="s">
        <v>14</v>
      </c>
      <c r="D83" s="11" t="s">
        <v>82</v>
      </c>
      <c r="E83" s="12">
        <v>37045.0</v>
      </c>
      <c r="F83" s="8">
        <f t="shared" si="15"/>
        <v>25.11232877</v>
      </c>
      <c r="G83" s="9">
        <v>70.0</v>
      </c>
      <c r="H83" s="9">
        <f t="shared" si="16"/>
        <v>-4</v>
      </c>
      <c r="I83" s="13" t="s">
        <v>200</v>
      </c>
    </row>
    <row r="84">
      <c r="A84" s="5">
        <v>75.0</v>
      </c>
      <c r="B84" s="11" t="s">
        <v>201</v>
      </c>
      <c r="C84" s="11" t="s">
        <v>14</v>
      </c>
      <c r="D84" s="11" t="s">
        <v>26</v>
      </c>
      <c r="E84" s="12">
        <v>33686.0</v>
      </c>
      <c r="F84" s="8">
        <f t="shared" si="15"/>
        <v>34.30746313</v>
      </c>
      <c r="G84" s="9">
        <v>75.0</v>
      </c>
      <c r="H84" s="9">
        <f t="shared" si="16"/>
        <v>0</v>
      </c>
      <c r="I84" s="13" t="s">
        <v>202</v>
      </c>
    </row>
    <row r="85">
      <c r="A85" s="5">
        <v>76.0</v>
      </c>
      <c r="B85" s="6" t="s">
        <v>203</v>
      </c>
      <c r="C85" s="6" t="s">
        <v>14</v>
      </c>
      <c r="D85" s="6" t="s">
        <v>43</v>
      </c>
      <c r="E85" s="12">
        <v>37697.0</v>
      </c>
      <c r="F85" s="8">
        <f t="shared" si="15"/>
        <v>23.3260274</v>
      </c>
      <c r="G85" s="9">
        <v>69.0</v>
      </c>
      <c r="H85" s="9">
        <f t="shared" si="16"/>
        <v>-7</v>
      </c>
      <c r="I85" s="13" t="s">
        <v>204</v>
      </c>
    </row>
    <row r="86">
      <c r="A86" s="5">
        <v>77.0</v>
      </c>
      <c r="B86" s="15" t="s">
        <v>205</v>
      </c>
      <c r="C86" s="15" t="s">
        <v>36</v>
      </c>
      <c r="D86" s="36" t="s">
        <v>206</v>
      </c>
      <c r="E86" s="16">
        <v>33418.0</v>
      </c>
      <c r="F86" s="17">
        <f t="shared" si="15"/>
        <v>35.04109589</v>
      </c>
      <c r="G86" s="18">
        <v>78.0</v>
      </c>
      <c r="H86" s="9">
        <f t="shared" si="16"/>
        <v>1</v>
      </c>
      <c r="I86" s="19" t="s">
        <v>207</v>
      </c>
    </row>
    <row r="87">
      <c r="A87" s="27">
        <v>78.0</v>
      </c>
      <c r="B87" s="28" t="s">
        <v>208</v>
      </c>
      <c r="C87" s="34" t="s">
        <v>14</v>
      </c>
      <c r="D87" s="28" t="s">
        <v>43</v>
      </c>
      <c r="E87" s="44">
        <v>39085.0</v>
      </c>
      <c r="F87" s="31">
        <f t="shared" si="15"/>
        <v>19.5260274</v>
      </c>
      <c r="G87" s="32">
        <v>86.0</v>
      </c>
      <c r="H87" s="32">
        <f t="shared" si="16"/>
        <v>8</v>
      </c>
      <c r="I87" s="33" t="s">
        <v>209</v>
      </c>
    </row>
    <row r="88">
      <c r="A88" s="5">
        <v>79.0</v>
      </c>
      <c r="B88" s="15" t="s">
        <v>210</v>
      </c>
      <c r="C88" s="15" t="s">
        <v>36</v>
      </c>
      <c r="D88" s="15" t="s">
        <v>49</v>
      </c>
      <c r="E88" s="16">
        <v>37875.0</v>
      </c>
      <c r="F88" s="17">
        <f t="shared" si="15"/>
        <v>22.83835616</v>
      </c>
      <c r="G88" s="18">
        <v>82.0</v>
      </c>
      <c r="H88" s="9">
        <f t="shared" si="16"/>
        <v>3</v>
      </c>
      <c r="I88" s="45" t="s">
        <v>211</v>
      </c>
    </row>
    <row r="89">
      <c r="A89" s="5">
        <v>80.0</v>
      </c>
      <c r="B89" s="11" t="s">
        <v>212</v>
      </c>
      <c r="C89" s="11" t="s">
        <v>14</v>
      </c>
      <c r="D89" s="11" t="s">
        <v>213</v>
      </c>
      <c r="E89" s="12">
        <v>37440.0</v>
      </c>
      <c r="F89" s="8">
        <f t="shared" si="15"/>
        <v>24.03013699</v>
      </c>
      <c r="G89" s="9">
        <v>100.0</v>
      </c>
      <c r="H89" s="9">
        <f t="shared" si="16"/>
        <v>20</v>
      </c>
      <c r="I89" s="13" t="s">
        <v>214</v>
      </c>
    </row>
    <row r="90">
      <c r="A90" s="5">
        <v>81.0</v>
      </c>
      <c r="B90" s="11" t="s">
        <v>215</v>
      </c>
      <c r="C90" s="11" t="s">
        <v>21</v>
      </c>
      <c r="D90" s="11" t="s">
        <v>40</v>
      </c>
      <c r="E90" s="12">
        <v>34409.0</v>
      </c>
      <c r="F90" s="8">
        <f t="shared" si="15"/>
        <v>32.32876712</v>
      </c>
      <c r="G90" s="9">
        <v>83.0</v>
      </c>
      <c r="H90" s="9">
        <f t="shared" si="16"/>
        <v>2</v>
      </c>
      <c r="I90" s="13" t="s">
        <v>216</v>
      </c>
    </row>
    <row r="91">
      <c r="A91" s="5">
        <v>82.0</v>
      </c>
      <c r="B91" s="11" t="s">
        <v>217</v>
      </c>
      <c r="C91" s="11" t="s">
        <v>14</v>
      </c>
      <c r="D91" s="35" t="s">
        <v>218</v>
      </c>
      <c r="E91" s="12">
        <v>36382.0</v>
      </c>
      <c r="F91" s="8">
        <f t="shared" si="15"/>
        <v>26.9260274</v>
      </c>
      <c r="G91" s="9">
        <v>66.0</v>
      </c>
      <c r="H91" s="9">
        <f t="shared" si="16"/>
        <v>-16</v>
      </c>
      <c r="I91" s="13" t="s">
        <v>219</v>
      </c>
    </row>
    <row r="92">
      <c r="A92" s="20"/>
      <c r="B92" s="21" t="s">
        <v>34</v>
      </c>
      <c r="C92" s="22"/>
      <c r="D92" s="22"/>
      <c r="E92" s="23"/>
      <c r="F92" s="24"/>
      <c r="G92" s="25"/>
      <c r="H92" s="25"/>
      <c r="I92" s="26"/>
    </row>
    <row r="93">
      <c r="A93" s="5">
        <v>83.0</v>
      </c>
      <c r="B93" s="11" t="s">
        <v>220</v>
      </c>
      <c r="C93" s="11" t="s">
        <v>36</v>
      </c>
      <c r="D93" s="11" t="s">
        <v>66</v>
      </c>
      <c r="E93" s="46">
        <v>37967.0</v>
      </c>
      <c r="F93" s="8">
        <f t="shared" ref="F93:F106" si="17">YEARFRAC(E93, TODAY(),1)</f>
        <v>22.58630137</v>
      </c>
      <c r="G93" s="9">
        <v>80.0</v>
      </c>
      <c r="H93" s="9">
        <f t="shared" ref="H93:H106" si="18">MINUS(G93, A93)</f>
        <v>-3</v>
      </c>
      <c r="I93" s="13" t="s">
        <v>221</v>
      </c>
    </row>
    <row r="94">
      <c r="A94" s="5">
        <v>84.0</v>
      </c>
      <c r="B94" s="6" t="s">
        <v>222</v>
      </c>
      <c r="C94" s="11" t="s">
        <v>21</v>
      </c>
      <c r="D94" s="6" t="s">
        <v>69</v>
      </c>
      <c r="E94" s="12">
        <v>35906.0</v>
      </c>
      <c r="F94" s="8">
        <f t="shared" si="17"/>
        <v>28.23013699</v>
      </c>
      <c r="G94" s="9">
        <v>79.0</v>
      </c>
      <c r="H94" s="9">
        <f t="shared" si="18"/>
        <v>-5</v>
      </c>
      <c r="I94" s="13" t="s">
        <v>223</v>
      </c>
    </row>
    <row r="95">
      <c r="A95" s="5">
        <v>85.0</v>
      </c>
      <c r="B95" s="6" t="s">
        <v>224</v>
      </c>
      <c r="C95" s="11" t="s">
        <v>36</v>
      </c>
      <c r="D95" s="11" t="s">
        <v>29</v>
      </c>
      <c r="E95" s="12">
        <v>37651.0</v>
      </c>
      <c r="F95" s="8">
        <f t="shared" si="17"/>
        <v>23.45205479</v>
      </c>
      <c r="G95" s="9">
        <v>90.0</v>
      </c>
      <c r="H95" s="9">
        <f t="shared" si="18"/>
        <v>5</v>
      </c>
      <c r="I95" s="13" t="s">
        <v>225</v>
      </c>
    </row>
    <row r="96">
      <c r="A96" s="5">
        <v>86.0</v>
      </c>
      <c r="B96" s="6" t="s">
        <v>226</v>
      </c>
      <c r="C96" s="6" t="s">
        <v>14</v>
      </c>
      <c r="D96" s="6" t="s">
        <v>55</v>
      </c>
      <c r="E96" s="12">
        <v>38162.0</v>
      </c>
      <c r="F96" s="8">
        <f t="shared" si="17"/>
        <v>22.05336477</v>
      </c>
      <c r="G96" s="9">
        <v>73.0</v>
      </c>
      <c r="H96" s="9">
        <f t="shared" si="18"/>
        <v>-13</v>
      </c>
      <c r="I96" s="13" t="s">
        <v>227</v>
      </c>
    </row>
    <row r="97">
      <c r="A97" s="5">
        <v>87.0</v>
      </c>
      <c r="B97" s="14" t="s">
        <v>228</v>
      </c>
      <c r="C97" s="14" t="s">
        <v>21</v>
      </c>
      <c r="D97" s="14" t="s">
        <v>15</v>
      </c>
      <c r="E97" s="16">
        <v>35920.0</v>
      </c>
      <c r="F97" s="17">
        <f t="shared" si="17"/>
        <v>28.19178082</v>
      </c>
      <c r="G97" s="9">
        <v>74.0</v>
      </c>
      <c r="H97" s="9">
        <f t="shared" si="18"/>
        <v>-13</v>
      </c>
      <c r="I97" s="19" t="s">
        <v>229</v>
      </c>
    </row>
    <row r="98">
      <c r="A98" s="5">
        <v>88.0</v>
      </c>
      <c r="B98" s="11" t="s">
        <v>230</v>
      </c>
      <c r="C98" s="11" t="s">
        <v>36</v>
      </c>
      <c r="D98" s="11" t="s">
        <v>43</v>
      </c>
      <c r="E98" s="12">
        <v>36040.0</v>
      </c>
      <c r="F98" s="8">
        <f t="shared" si="17"/>
        <v>27.8630137</v>
      </c>
      <c r="G98" s="9">
        <v>103.0</v>
      </c>
      <c r="H98" s="9">
        <f t="shared" si="18"/>
        <v>15</v>
      </c>
      <c r="I98" s="13" t="s">
        <v>231</v>
      </c>
    </row>
    <row r="99">
      <c r="A99" s="5">
        <v>89.0</v>
      </c>
      <c r="B99" s="14" t="s">
        <v>232</v>
      </c>
      <c r="C99" s="14" t="s">
        <v>10</v>
      </c>
      <c r="D99" s="14" t="s">
        <v>114</v>
      </c>
      <c r="E99" s="16">
        <v>38348.0</v>
      </c>
      <c r="F99" s="17">
        <f t="shared" si="17"/>
        <v>21.54516805</v>
      </c>
      <c r="G99" s="18">
        <v>81.0</v>
      </c>
      <c r="H99" s="9">
        <f t="shared" si="18"/>
        <v>-8</v>
      </c>
      <c r="I99" s="19" t="s">
        <v>233</v>
      </c>
    </row>
    <row r="100">
      <c r="A100" s="5">
        <v>90.0</v>
      </c>
      <c r="B100" s="11" t="s">
        <v>234</v>
      </c>
      <c r="C100" s="11" t="s">
        <v>36</v>
      </c>
      <c r="D100" s="6" t="s">
        <v>106</v>
      </c>
      <c r="E100" s="12">
        <v>35307.0</v>
      </c>
      <c r="F100" s="8">
        <f t="shared" si="17"/>
        <v>29.87030466</v>
      </c>
      <c r="G100" s="9">
        <v>84.0</v>
      </c>
      <c r="H100" s="9">
        <f t="shared" si="18"/>
        <v>-6</v>
      </c>
      <c r="I100" s="13" t="s">
        <v>235</v>
      </c>
    </row>
    <row r="101">
      <c r="A101" s="27">
        <v>91.0</v>
      </c>
      <c r="B101" s="28" t="s">
        <v>236</v>
      </c>
      <c r="C101" s="29" t="s">
        <v>10</v>
      </c>
      <c r="D101" s="28" t="s">
        <v>26</v>
      </c>
      <c r="E101" s="44">
        <v>38743.0</v>
      </c>
      <c r="F101" s="31">
        <f t="shared" si="17"/>
        <v>20.4630137</v>
      </c>
      <c r="G101" s="32">
        <v>87.0</v>
      </c>
      <c r="H101" s="32">
        <f t="shared" si="18"/>
        <v>-4</v>
      </c>
      <c r="I101" s="33" t="s">
        <v>237</v>
      </c>
    </row>
    <row r="102">
      <c r="A102" s="5">
        <v>92.0</v>
      </c>
      <c r="B102" s="6" t="s">
        <v>238</v>
      </c>
      <c r="C102" s="6" t="s">
        <v>14</v>
      </c>
      <c r="D102" s="6" t="s">
        <v>90</v>
      </c>
      <c r="E102" s="12">
        <v>36572.0</v>
      </c>
      <c r="F102" s="8">
        <f t="shared" si="17"/>
        <v>26.40582379</v>
      </c>
      <c r="G102" s="9">
        <v>98.0</v>
      </c>
      <c r="H102" s="9">
        <f t="shared" si="18"/>
        <v>6</v>
      </c>
      <c r="I102" s="13" t="s">
        <v>239</v>
      </c>
    </row>
    <row r="103">
      <c r="A103" s="5">
        <v>93.0</v>
      </c>
      <c r="B103" s="15" t="s">
        <v>240</v>
      </c>
      <c r="C103" s="15" t="s">
        <v>14</v>
      </c>
      <c r="D103" s="15" t="s">
        <v>95</v>
      </c>
      <c r="E103" s="16">
        <v>38020.0</v>
      </c>
      <c r="F103" s="17">
        <f t="shared" si="17"/>
        <v>22.44134291</v>
      </c>
      <c r="G103" s="18">
        <v>88.0</v>
      </c>
      <c r="H103" s="9">
        <f t="shared" si="18"/>
        <v>-5</v>
      </c>
      <c r="I103" s="19" t="s">
        <v>241</v>
      </c>
    </row>
    <row r="104">
      <c r="A104" s="5">
        <v>94.0</v>
      </c>
      <c r="B104" s="15" t="s">
        <v>242</v>
      </c>
      <c r="C104" s="15" t="s">
        <v>25</v>
      </c>
      <c r="D104" s="15" t="s">
        <v>58</v>
      </c>
      <c r="E104" s="16">
        <v>38942.0</v>
      </c>
      <c r="F104" s="17">
        <f t="shared" si="17"/>
        <v>19.91780822</v>
      </c>
      <c r="G104" s="18">
        <v>77.0</v>
      </c>
      <c r="H104" s="9">
        <f t="shared" si="18"/>
        <v>-17</v>
      </c>
      <c r="I104" s="19" t="s">
        <v>243</v>
      </c>
    </row>
    <row r="105">
      <c r="A105" s="5">
        <v>95.0</v>
      </c>
      <c r="B105" s="6" t="s">
        <v>244</v>
      </c>
      <c r="C105" s="6" t="s">
        <v>14</v>
      </c>
      <c r="D105" s="6" t="s">
        <v>32</v>
      </c>
      <c r="E105" s="12">
        <v>35823.0</v>
      </c>
      <c r="F105" s="8">
        <f t="shared" si="17"/>
        <v>28.45753425</v>
      </c>
      <c r="G105" s="9">
        <v>110.0</v>
      </c>
      <c r="H105" s="9">
        <f t="shared" si="18"/>
        <v>15</v>
      </c>
      <c r="I105" s="13" t="s">
        <v>245</v>
      </c>
    </row>
    <row r="106">
      <c r="A106" s="5">
        <v>96.0</v>
      </c>
      <c r="B106" s="11" t="s">
        <v>246</v>
      </c>
      <c r="C106" s="11" t="s">
        <v>21</v>
      </c>
      <c r="D106" s="35" t="s">
        <v>247</v>
      </c>
      <c r="E106" s="12">
        <v>36267.0</v>
      </c>
      <c r="F106" s="8">
        <f t="shared" si="17"/>
        <v>27.24109589</v>
      </c>
      <c r="G106" s="9">
        <v>96.0</v>
      </c>
      <c r="H106" s="9">
        <f t="shared" si="18"/>
        <v>0</v>
      </c>
      <c r="I106" s="13" t="s">
        <v>248</v>
      </c>
    </row>
    <row r="107">
      <c r="A107" s="20"/>
      <c r="B107" s="21" t="s">
        <v>34</v>
      </c>
      <c r="C107" s="22"/>
      <c r="D107" s="22"/>
      <c r="E107" s="23"/>
      <c r="F107" s="24"/>
      <c r="G107" s="25"/>
      <c r="H107" s="25"/>
      <c r="I107" s="26"/>
    </row>
    <row r="108">
      <c r="A108" s="5">
        <v>97.0</v>
      </c>
      <c r="B108" s="11" t="s">
        <v>249</v>
      </c>
      <c r="C108" s="11" t="s">
        <v>25</v>
      </c>
      <c r="D108" s="6" t="s">
        <v>158</v>
      </c>
      <c r="E108" s="12">
        <v>35975.0</v>
      </c>
      <c r="F108" s="8">
        <f t="shared" ref="F108:F124" si="19">YEARFRAC(E108, TODAY(),1)</f>
        <v>28.04109589</v>
      </c>
      <c r="G108" s="9">
        <v>91.0</v>
      </c>
      <c r="H108" s="9">
        <f t="shared" ref="H108:H124" si="20">MINUS(G108, A108)</f>
        <v>-6</v>
      </c>
      <c r="I108" s="13" t="s">
        <v>250</v>
      </c>
    </row>
    <row r="109">
      <c r="A109" s="5">
        <v>98.0</v>
      </c>
      <c r="B109" s="11" t="s">
        <v>251</v>
      </c>
      <c r="C109" s="6" t="s">
        <v>10</v>
      </c>
      <c r="D109" s="35" t="s">
        <v>252</v>
      </c>
      <c r="E109" s="12">
        <v>36397.0</v>
      </c>
      <c r="F109" s="8">
        <f t="shared" si="19"/>
        <v>26.88493151</v>
      </c>
      <c r="G109" s="9">
        <v>116.0</v>
      </c>
      <c r="H109" s="9">
        <f t="shared" si="20"/>
        <v>18</v>
      </c>
      <c r="I109" s="13" t="s">
        <v>253</v>
      </c>
    </row>
    <row r="110">
      <c r="A110" s="5">
        <v>99.0</v>
      </c>
      <c r="B110" s="6" t="s">
        <v>254</v>
      </c>
      <c r="C110" s="11" t="s">
        <v>25</v>
      </c>
      <c r="D110" s="11" t="s">
        <v>55</v>
      </c>
      <c r="E110" s="12">
        <v>37021.0</v>
      </c>
      <c r="F110" s="8">
        <f t="shared" si="19"/>
        <v>25.17808219</v>
      </c>
      <c r="G110" s="9">
        <v>97.0</v>
      </c>
      <c r="H110" s="9">
        <f t="shared" si="20"/>
        <v>-2</v>
      </c>
      <c r="I110" s="13" t="s">
        <v>255</v>
      </c>
    </row>
    <row r="111">
      <c r="A111" s="5">
        <v>100.0</v>
      </c>
      <c r="B111" s="6" t="s">
        <v>256</v>
      </c>
      <c r="C111" s="6" t="s">
        <v>25</v>
      </c>
      <c r="D111" s="6" t="s">
        <v>22</v>
      </c>
      <c r="E111" s="12">
        <v>37510.0</v>
      </c>
      <c r="F111" s="8">
        <f t="shared" si="19"/>
        <v>23.83835616</v>
      </c>
      <c r="G111" s="9">
        <v>117.0</v>
      </c>
      <c r="H111" s="9">
        <f t="shared" si="20"/>
        <v>17</v>
      </c>
      <c r="I111" s="40" t="s">
        <v>257</v>
      </c>
    </row>
    <row r="112">
      <c r="A112" s="5">
        <v>101.0</v>
      </c>
      <c r="B112" s="11" t="s">
        <v>258</v>
      </c>
      <c r="C112" s="11" t="s">
        <v>14</v>
      </c>
      <c r="D112" s="11" t="s">
        <v>52</v>
      </c>
      <c r="E112" s="12">
        <v>36328.0</v>
      </c>
      <c r="F112" s="8">
        <f t="shared" si="19"/>
        <v>27.0739726</v>
      </c>
      <c r="G112" s="9">
        <v>94.0</v>
      </c>
      <c r="H112" s="9">
        <f t="shared" si="20"/>
        <v>-7</v>
      </c>
      <c r="I112" s="40" t="s">
        <v>259</v>
      </c>
    </row>
    <row r="113">
      <c r="A113" s="5">
        <v>102.0</v>
      </c>
      <c r="B113" s="6" t="s">
        <v>260</v>
      </c>
      <c r="C113" s="6" t="s">
        <v>14</v>
      </c>
      <c r="D113" s="6" t="s">
        <v>15</v>
      </c>
      <c r="E113" s="12">
        <v>37432.0</v>
      </c>
      <c r="F113" s="8">
        <f t="shared" si="19"/>
        <v>24.05205479</v>
      </c>
      <c r="G113" s="9">
        <v>120.0</v>
      </c>
      <c r="H113" s="9">
        <f t="shared" si="20"/>
        <v>18</v>
      </c>
      <c r="I113" s="13" t="s">
        <v>261</v>
      </c>
    </row>
    <row r="114">
      <c r="A114" s="5">
        <v>103.0</v>
      </c>
      <c r="B114" s="15" t="s">
        <v>262</v>
      </c>
      <c r="C114" s="15" t="s">
        <v>74</v>
      </c>
      <c r="D114" s="14" t="s">
        <v>158</v>
      </c>
      <c r="E114" s="16">
        <v>38779.0</v>
      </c>
      <c r="F114" s="17">
        <f t="shared" si="19"/>
        <v>20.36438356</v>
      </c>
      <c r="G114" s="18">
        <v>118.0</v>
      </c>
      <c r="H114" s="9">
        <f t="shared" si="20"/>
        <v>15</v>
      </c>
      <c r="I114" s="19" t="s">
        <v>263</v>
      </c>
    </row>
    <row r="115">
      <c r="A115" s="27">
        <v>104.0</v>
      </c>
      <c r="B115" s="28" t="s">
        <v>264</v>
      </c>
      <c r="C115" s="28" t="s">
        <v>21</v>
      </c>
      <c r="D115" s="28" t="s">
        <v>15</v>
      </c>
      <c r="E115" s="44">
        <v>38449.0</v>
      </c>
      <c r="F115" s="31">
        <f t="shared" si="19"/>
        <v>21.26849315</v>
      </c>
      <c r="G115" s="32">
        <v>92.0</v>
      </c>
      <c r="H115" s="32">
        <f t="shared" si="20"/>
        <v>-12</v>
      </c>
      <c r="I115" s="33" t="s">
        <v>265</v>
      </c>
    </row>
    <row r="116">
      <c r="A116" s="5">
        <v>105.0</v>
      </c>
      <c r="B116" s="11" t="s">
        <v>266</v>
      </c>
      <c r="C116" s="11" t="s">
        <v>267</v>
      </c>
      <c r="D116" s="35" t="s">
        <v>268</v>
      </c>
      <c r="E116" s="12">
        <v>34667.0</v>
      </c>
      <c r="F116" s="8">
        <f t="shared" si="19"/>
        <v>31.62191781</v>
      </c>
      <c r="G116" s="9">
        <v>99.0</v>
      </c>
      <c r="H116" s="9">
        <f t="shared" si="20"/>
        <v>-6</v>
      </c>
      <c r="I116" s="13" t="s">
        <v>269</v>
      </c>
    </row>
    <row r="117">
      <c r="A117" s="5">
        <v>106.0</v>
      </c>
      <c r="B117" s="11" t="s">
        <v>270</v>
      </c>
      <c r="C117" s="11" t="s">
        <v>74</v>
      </c>
      <c r="D117" s="11" t="s">
        <v>82</v>
      </c>
      <c r="E117" s="12">
        <v>38006.0</v>
      </c>
      <c r="F117" s="8">
        <f t="shared" si="19"/>
        <v>22.47959428</v>
      </c>
      <c r="G117" s="9">
        <v>101.0</v>
      </c>
      <c r="H117" s="9">
        <f t="shared" si="20"/>
        <v>-5</v>
      </c>
      <c r="I117" s="13" t="s">
        <v>271</v>
      </c>
    </row>
    <row r="118">
      <c r="A118" s="27">
        <v>107.0</v>
      </c>
      <c r="B118" s="28" t="s">
        <v>272</v>
      </c>
      <c r="C118" s="29" t="s">
        <v>14</v>
      </c>
      <c r="D118" s="28" t="s">
        <v>213</v>
      </c>
      <c r="E118" s="30">
        <v>38613.0</v>
      </c>
      <c r="F118" s="31">
        <f t="shared" si="19"/>
        <v>20.81917808</v>
      </c>
      <c r="G118" s="32">
        <v>105.0</v>
      </c>
      <c r="H118" s="32">
        <f t="shared" si="20"/>
        <v>-2</v>
      </c>
      <c r="I118" s="38" t="s">
        <v>273</v>
      </c>
    </row>
    <row r="119">
      <c r="A119" s="5">
        <v>108.0</v>
      </c>
      <c r="B119" s="6" t="s">
        <v>274</v>
      </c>
      <c r="C119" s="6" t="s">
        <v>14</v>
      </c>
      <c r="D119" s="6" t="s">
        <v>111</v>
      </c>
      <c r="E119" s="12">
        <v>37296.0</v>
      </c>
      <c r="F119" s="8">
        <f t="shared" si="19"/>
        <v>24.42465753</v>
      </c>
      <c r="G119" s="9">
        <v>112.0</v>
      </c>
      <c r="H119" s="9">
        <f t="shared" si="20"/>
        <v>4</v>
      </c>
      <c r="I119" s="13" t="s">
        <v>275</v>
      </c>
    </row>
    <row r="120">
      <c r="A120" s="5">
        <v>109.0</v>
      </c>
      <c r="B120" s="14" t="s">
        <v>276</v>
      </c>
      <c r="C120" s="14" t="s">
        <v>14</v>
      </c>
      <c r="D120" s="14" t="s">
        <v>114</v>
      </c>
      <c r="E120" s="16">
        <v>39004.0</v>
      </c>
      <c r="F120" s="17">
        <f t="shared" si="19"/>
        <v>19.74794521</v>
      </c>
      <c r="G120" s="18">
        <v>93.0</v>
      </c>
      <c r="H120" s="9">
        <f t="shared" si="20"/>
        <v>-16</v>
      </c>
      <c r="I120" s="19" t="s">
        <v>277</v>
      </c>
    </row>
    <row r="121">
      <c r="A121" s="5">
        <v>110.0</v>
      </c>
      <c r="B121" s="14" t="s">
        <v>278</v>
      </c>
      <c r="C121" s="14" t="s">
        <v>21</v>
      </c>
      <c r="D121" s="14" t="s">
        <v>37</v>
      </c>
      <c r="E121" s="16">
        <v>39032.0</v>
      </c>
      <c r="F121" s="17">
        <f t="shared" si="19"/>
        <v>19.67123288</v>
      </c>
      <c r="G121" s="18">
        <v>164.0</v>
      </c>
      <c r="H121" s="9">
        <f t="shared" si="20"/>
        <v>54</v>
      </c>
      <c r="I121" s="19" t="s">
        <v>279</v>
      </c>
    </row>
    <row r="122">
      <c r="A122" s="5">
        <v>111.0</v>
      </c>
      <c r="B122" s="6" t="s">
        <v>280</v>
      </c>
      <c r="C122" s="6" t="s">
        <v>21</v>
      </c>
      <c r="D122" s="6" t="s">
        <v>111</v>
      </c>
      <c r="E122" s="12">
        <v>37241.0</v>
      </c>
      <c r="F122" s="8">
        <f t="shared" si="19"/>
        <v>24.57534247</v>
      </c>
      <c r="G122" s="9">
        <v>106.0</v>
      </c>
      <c r="H122" s="9">
        <f t="shared" si="20"/>
        <v>-5</v>
      </c>
      <c r="I122" s="13" t="s">
        <v>281</v>
      </c>
    </row>
    <row r="123">
      <c r="A123" s="5">
        <v>112.0</v>
      </c>
      <c r="B123" s="11" t="s">
        <v>282</v>
      </c>
      <c r="C123" s="11" t="s">
        <v>25</v>
      </c>
      <c r="D123" s="11" t="s">
        <v>167</v>
      </c>
      <c r="E123" s="12">
        <v>36757.0</v>
      </c>
      <c r="F123" s="8">
        <f t="shared" si="19"/>
        <v>25.90035931</v>
      </c>
      <c r="G123" s="9">
        <v>114.0</v>
      </c>
      <c r="H123" s="9">
        <f t="shared" si="20"/>
        <v>2</v>
      </c>
      <c r="I123" s="40" t="s">
        <v>283</v>
      </c>
    </row>
    <row r="124">
      <c r="A124" s="5">
        <v>113.0</v>
      </c>
      <c r="B124" s="6" t="s">
        <v>284</v>
      </c>
      <c r="C124" s="6" t="s">
        <v>267</v>
      </c>
      <c r="D124" s="6" t="s">
        <v>55</v>
      </c>
      <c r="E124" s="12">
        <v>37754.0</v>
      </c>
      <c r="F124" s="8">
        <f t="shared" si="19"/>
        <v>23.16986301</v>
      </c>
      <c r="G124" s="9">
        <v>108.0</v>
      </c>
      <c r="H124" s="9">
        <f t="shared" si="20"/>
        <v>-5</v>
      </c>
      <c r="I124" s="13" t="s">
        <v>285</v>
      </c>
    </row>
    <row r="125">
      <c r="A125" s="20"/>
      <c r="B125" s="21" t="s">
        <v>34</v>
      </c>
      <c r="C125" s="22"/>
      <c r="D125" s="22"/>
      <c r="E125" s="23"/>
      <c r="F125" s="24"/>
      <c r="G125" s="25"/>
      <c r="H125" s="25"/>
      <c r="I125" s="26"/>
    </row>
    <row r="126">
      <c r="A126" s="5">
        <v>114.0</v>
      </c>
      <c r="B126" s="11" t="s">
        <v>286</v>
      </c>
      <c r="C126" s="11" t="s">
        <v>14</v>
      </c>
      <c r="D126" s="11" t="s">
        <v>114</v>
      </c>
      <c r="E126" s="12">
        <v>35327.0</v>
      </c>
      <c r="F126" s="8">
        <f t="shared" ref="F126:F137" si="21">YEARFRAC(E126, TODAY(),1)</f>
        <v>29.81565985</v>
      </c>
      <c r="G126" s="9">
        <v>104.0</v>
      </c>
      <c r="H126" s="9">
        <f t="shared" ref="H126:H137" si="22">MINUS(G126, A126)</f>
        <v>-10</v>
      </c>
      <c r="I126" s="40" t="s">
        <v>287</v>
      </c>
    </row>
    <row r="127">
      <c r="A127" s="5">
        <v>115.0</v>
      </c>
      <c r="B127" s="6" t="s">
        <v>288</v>
      </c>
      <c r="C127" s="6" t="s">
        <v>25</v>
      </c>
      <c r="D127" s="35" t="s">
        <v>289</v>
      </c>
      <c r="E127" s="12">
        <v>35875.0</v>
      </c>
      <c r="F127" s="8">
        <f t="shared" si="21"/>
        <v>28.31506849</v>
      </c>
      <c r="G127" s="9">
        <v>134.0</v>
      </c>
      <c r="H127" s="9">
        <f t="shared" si="22"/>
        <v>19</v>
      </c>
      <c r="I127" s="13" t="s">
        <v>290</v>
      </c>
    </row>
    <row r="128">
      <c r="A128" s="5">
        <v>116.0</v>
      </c>
      <c r="B128" s="11" t="s">
        <v>291</v>
      </c>
      <c r="C128" s="11" t="s">
        <v>14</v>
      </c>
      <c r="D128" s="11" t="s">
        <v>15</v>
      </c>
      <c r="E128" s="12">
        <v>37932.0</v>
      </c>
      <c r="F128" s="8">
        <f t="shared" si="21"/>
        <v>22.68219178</v>
      </c>
      <c r="G128" s="9">
        <v>123.0</v>
      </c>
      <c r="H128" s="9">
        <f t="shared" si="22"/>
        <v>7</v>
      </c>
      <c r="I128" s="40" t="s">
        <v>292</v>
      </c>
    </row>
    <row r="129">
      <c r="A129" s="5">
        <v>117.0</v>
      </c>
      <c r="B129" s="11" t="s">
        <v>293</v>
      </c>
      <c r="C129" s="11" t="s">
        <v>36</v>
      </c>
      <c r="D129" s="11" t="s">
        <v>167</v>
      </c>
      <c r="E129" s="12">
        <v>34768.0</v>
      </c>
      <c r="F129" s="8">
        <f t="shared" si="21"/>
        <v>31.34520548</v>
      </c>
      <c r="G129" s="9">
        <v>107.0</v>
      </c>
      <c r="H129" s="9">
        <f t="shared" si="22"/>
        <v>-10</v>
      </c>
      <c r="I129" s="43" t="s">
        <v>294</v>
      </c>
    </row>
    <row r="130">
      <c r="A130" s="27">
        <v>118.0</v>
      </c>
      <c r="B130" s="28" t="s">
        <v>295</v>
      </c>
      <c r="C130" s="29" t="s">
        <v>267</v>
      </c>
      <c r="D130" s="28" t="s">
        <v>176</v>
      </c>
      <c r="E130" s="30">
        <v>37529.0</v>
      </c>
      <c r="F130" s="31">
        <f t="shared" si="21"/>
        <v>23.78630137</v>
      </c>
      <c r="G130" s="32">
        <v>105.0</v>
      </c>
      <c r="H130" s="32">
        <f t="shared" si="22"/>
        <v>-13</v>
      </c>
      <c r="I130" s="41" t="s">
        <v>296</v>
      </c>
    </row>
    <row r="131">
      <c r="A131" s="5">
        <v>119.0</v>
      </c>
      <c r="B131" s="6" t="s">
        <v>297</v>
      </c>
      <c r="C131" s="6" t="s">
        <v>14</v>
      </c>
      <c r="D131" s="6" t="s">
        <v>46</v>
      </c>
      <c r="E131" s="12">
        <v>36541.0</v>
      </c>
      <c r="F131" s="8">
        <f t="shared" si="21"/>
        <v>26.49052324</v>
      </c>
      <c r="G131" s="9">
        <v>119.0</v>
      </c>
      <c r="H131" s="9">
        <f t="shared" si="22"/>
        <v>0</v>
      </c>
      <c r="I131" s="13" t="s">
        <v>298</v>
      </c>
    </row>
    <row r="132">
      <c r="A132" s="5">
        <v>120.0</v>
      </c>
      <c r="B132" s="6" t="s">
        <v>299</v>
      </c>
      <c r="C132" s="6" t="s">
        <v>36</v>
      </c>
      <c r="D132" s="6" t="s">
        <v>106</v>
      </c>
      <c r="E132" s="12">
        <v>34764.0</v>
      </c>
      <c r="F132" s="8">
        <f t="shared" si="21"/>
        <v>31.35616438</v>
      </c>
      <c r="G132" s="9">
        <v>124.0</v>
      </c>
      <c r="H132" s="9">
        <f t="shared" si="22"/>
        <v>4</v>
      </c>
      <c r="I132" s="40" t="s">
        <v>300</v>
      </c>
    </row>
    <row r="133">
      <c r="A133" s="5">
        <v>121.0</v>
      </c>
      <c r="B133" s="15" t="s">
        <v>301</v>
      </c>
      <c r="C133" s="15" t="s">
        <v>21</v>
      </c>
      <c r="D133" s="15" t="s">
        <v>111</v>
      </c>
      <c r="E133" s="16">
        <v>38974.0</v>
      </c>
      <c r="F133" s="17">
        <f t="shared" si="21"/>
        <v>19.83013699</v>
      </c>
      <c r="G133" s="18">
        <v>131.0</v>
      </c>
      <c r="H133" s="9">
        <f t="shared" si="22"/>
        <v>10</v>
      </c>
      <c r="I133" s="45" t="s">
        <v>302</v>
      </c>
    </row>
    <row r="134">
      <c r="A134" s="5">
        <v>122.0</v>
      </c>
      <c r="B134" s="6" t="s">
        <v>303</v>
      </c>
      <c r="C134" s="6" t="s">
        <v>36</v>
      </c>
      <c r="D134" s="6" t="s">
        <v>11</v>
      </c>
      <c r="E134" s="12">
        <v>36761.0</v>
      </c>
      <c r="F134" s="8">
        <f t="shared" si="21"/>
        <v>25.88943035</v>
      </c>
      <c r="G134" s="9">
        <v>111.0</v>
      </c>
      <c r="H134" s="9">
        <f t="shared" si="22"/>
        <v>-11</v>
      </c>
      <c r="I134" s="40" t="s">
        <v>304</v>
      </c>
    </row>
    <row r="135">
      <c r="A135" s="5">
        <v>123.0</v>
      </c>
      <c r="B135" s="6" t="s">
        <v>305</v>
      </c>
      <c r="C135" s="6" t="s">
        <v>21</v>
      </c>
      <c r="D135" s="6" t="s">
        <v>213</v>
      </c>
      <c r="E135" s="12">
        <v>35148.0</v>
      </c>
      <c r="F135" s="8">
        <f t="shared" si="21"/>
        <v>30.30473089</v>
      </c>
      <c r="G135" s="9">
        <v>113.0</v>
      </c>
      <c r="H135" s="9">
        <f t="shared" si="22"/>
        <v>-10</v>
      </c>
      <c r="I135" s="40" t="s">
        <v>306</v>
      </c>
    </row>
    <row r="136">
      <c r="A136" s="5">
        <v>124.0</v>
      </c>
      <c r="B136" s="6" t="s">
        <v>307</v>
      </c>
      <c r="C136" s="35" t="s">
        <v>21</v>
      </c>
      <c r="D136" s="6" t="s">
        <v>158</v>
      </c>
      <c r="E136" s="12">
        <v>37201.0</v>
      </c>
      <c r="F136" s="8">
        <f t="shared" si="21"/>
        <v>24.68493151</v>
      </c>
      <c r="G136" s="9">
        <v>204.0</v>
      </c>
      <c r="H136" s="9">
        <f t="shared" si="22"/>
        <v>80</v>
      </c>
      <c r="I136" s="10" t="s">
        <v>308</v>
      </c>
    </row>
    <row r="137">
      <c r="A137" s="5">
        <v>125.0</v>
      </c>
      <c r="B137" s="11" t="s">
        <v>309</v>
      </c>
      <c r="C137" s="11" t="s">
        <v>25</v>
      </c>
      <c r="D137" s="11" t="s">
        <v>95</v>
      </c>
      <c r="E137" s="12">
        <v>36654.0</v>
      </c>
      <c r="F137" s="8">
        <f t="shared" si="21"/>
        <v>26.18178007</v>
      </c>
      <c r="G137" s="9">
        <v>133.0</v>
      </c>
      <c r="H137" s="9">
        <f t="shared" si="22"/>
        <v>8</v>
      </c>
      <c r="I137" s="13" t="s">
        <v>310</v>
      </c>
    </row>
    <row r="138">
      <c r="A138" s="20"/>
      <c r="B138" s="21" t="s">
        <v>34</v>
      </c>
      <c r="C138" s="22"/>
      <c r="D138" s="22"/>
      <c r="E138" s="23"/>
      <c r="F138" s="24"/>
      <c r="G138" s="25"/>
      <c r="H138" s="25"/>
      <c r="I138" s="26"/>
    </row>
    <row r="139">
      <c r="A139" s="27">
        <v>126.0</v>
      </c>
      <c r="B139" s="28" t="s">
        <v>311</v>
      </c>
      <c r="C139" s="29" t="s">
        <v>14</v>
      </c>
      <c r="D139" s="28" t="s">
        <v>29</v>
      </c>
      <c r="E139" s="44">
        <v>39182.0</v>
      </c>
      <c r="F139" s="31">
        <f t="shared" ref="F139:F151" si="23">YEARFRAC(E139, TODAY(),1)</f>
        <v>19.26027397</v>
      </c>
      <c r="G139" s="32">
        <v>130.0</v>
      </c>
      <c r="H139" s="32">
        <f t="shared" ref="H139:H151" si="24">MINUS(G139, A139)</f>
        <v>4</v>
      </c>
      <c r="I139" s="33" t="s">
        <v>312</v>
      </c>
    </row>
    <row r="140">
      <c r="A140" s="5">
        <v>127.0</v>
      </c>
      <c r="B140" s="6" t="s">
        <v>313</v>
      </c>
      <c r="C140" s="6" t="s">
        <v>77</v>
      </c>
      <c r="D140" s="35" t="s">
        <v>314</v>
      </c>
      <c r="E140" s="12">
        <v>32995.0</v>
      </c>
      <c r="F140" s="8">
        <f t="shared" si="23"/>
        <v>36.2</v>
      </c>
      <c r="G140" s="9">
        <v>170.0</v>
      </c>
      <c r="H140" s="9">
        <f t="shared" si="24"/>
        <v>43</v>
      </c>
      <c r="I140" s="13" t="s">
        <v>315</v>
      </c>
    </row>
    <row r="141">
      <c r="A141" s="5">
        <v>128.0</v>
      </c>
      <c r="B141" s="14" t="s">
        <v>316</v>
      </c>
      <c r="C141" s="14" t="s">
        <v>36</v>
      </c>
      <c r="D141" s="14" t="s">
        <v>66</v>
      </c>
      <c r="E141" s="16">
        <v>38783.0</v>
      </c>
      <c r="F141" s="17">
        <f t="shared" si="23"/>
        <v>20.35342466</v>
      </c>
      <c r="G141" s="18">
        <v>115.0</v>
      </c>
      <c r="H141" s="9">
        <f t="shared" si="24"/>
        <v>-13</v>
      </c>
      <c r="I141" s="19" t="s">
        <v>317</v>
      </c>
    </row>
    <row r="142">
      <c r="A142" s="5">
        <v>129.0</v>
      </c>
      <c r="B142" s="36" t="s">
        <v>318</v>
      </c>
      <c r="C142" s="14" t="s">
        <v>25</v>
      </c>
      <c r="D142" s="14" t="s">
        <v>11</v>
      </c>
      <c r="E142" s="16">
        <v>38682.0</v>
      </c>
      <c r="F142" s="17">
        <f t="shared" si="23"/>
        <v>20.63013699</v>
      </c>
      <c r="G142" s="18">
        <v>172.0</v>
      </c>
      <c r="H142" s="9">
        <f t="shared" si="24"/>
        <v>43</v>
      </c>
      <c r="I142" s="47" t="s">
        <v>319</v>
      </c>
    </row>
    <row r="143">
      <c r="A143" s="5">
        <v>130.0</v>
      </c>
      <c r="B143" s="6" t="s">
        <v>320</v>
      </c>
      <c r="C143" s="6" t="s">
        <v>10</v>
      </c>
      <c r="D143" s="6" t="s">
        <v>26</v>
      </c>
      <c r="E143" s="12">
        <v>36030.0</v>
      </c>
      <c r="F143" s="8">
        <f t="shared" si="23"/>
        <v>27.89041096</v>
      </c>
      <c r="G143" s="9">
        <v>122.0</v>
      </c>
      <c r="H143" s="9">
        <f t="shared" si="24"/>
        <v>-8</v>
      </c>
      <c r="I143" s="13" t="s">
        <v>321</v>
      </c>
    </row>
    <row r="144">
      <c r="A144" s="5">
        <v>131.0</v>
      </c>
      <c r="B144" s="11" t="s">
        <v>322</v>
      </c>
      <c r="C144" s="11" t="s">
        <v>36</v>
      </c>
      <c r="D144" s="11" t="s">
        <v>95</v>
      </c>
      <c r="E144" s="12">
        <v>37771.0</v>
      </c>
      <c r="F144" s="8">
        <f t="shared" si="23"/>
        <v>23.12328767</v>
      </c>
      <c r="G144" s="9">
        <v>102.0</v>
      </c>
      <c r="H144" s="9">
        <f t="shared" si="24"/>
        <v>-29</v>
      </c>
      <c r="I144" s="40" t="s">
        <v>323</v>
      </c>
    </row>
    <row r="145">
      <c r="A145" s="5">
        <v>132.0</v>
      </c>
      <c r="B145" s="11" t="s">
        <v>324</v>
      </c>
      <c r="C145" s="11" t="s">
        <v>36</v>
      </c>
      <c r="D145" s="35" t="s">
        <v>325</v>
      </c>
      <c r="E145" s="12">
        <v>34114.0</v>
      </c>
      <c r="F145" s="8">
        <f t="shared" si="23"/>
        <v>33.1369863</v>
      </c>
      <c r="G145" s="9">
        <v>139.0</v>
      </c>
      <c r="H145" s="9">
        <f t="shared" si="24"/>
        <v>7</v>
      </c>
      <c r="I145" s="13" t="s">
        <v>326</v>
      </c>
    </row>
    <row r="146">
      <c r="A146" s="5">
        <v>133.0</v>
      </c>
      <c r="B146" s="14" t="s">
        <v>327</v>
      </c>
      <c r="C146" s="14" t="s">
        <v>21</v>
      </c>
      <c r="D146" s="14" t="s">
        <v>52</v>
      </c>
      <c r="E146" s="16">
        <v>34987.0</v>
      </c>
      <c r="F146" s="17">
        <f t="shared" si="23"/>
        <v>30.74520548</v>
      </c>
      <c r="G146" s="9">
        <v>109.0</v>
      </c>
      <c r="H146" s="9">
        <f t="shared" si="24"/>
        <v>-24</v>
      </c>
      <c r="I146" s="19" t="s">
        <v>328</v>
      </c>
    </row>
    <row r="147">
      <c r="A147" s="27">
        <v>134.0</v>
      </c>
      <c r="B147" s="28" t="s">
        <v>329</v>
      </c>
      <c r="C147" s="28" t="s">
        <v>36</v>
      </c>
      <c r="D147" s="28" t="s">
        <v>87</v>
      </c>
      <c r="E147" s="30">
        <v>38548.0</v>
      </c>
      <c r="F147" s="31">
        <f t="shared" si="23"/>
        <v>20.99726027</v>
      </c>
      <c r="G147" s="32">
        <v>132.0</v>
      </c>
      <c r="H147" s="32">
        <f t="shared" si="24"/>
        <v>-2</v>
      </c>
      <c r="I147" s="41" t="s">
        <v>330</v>
      </c>
    </row>
    <row r="148">
      <c r="A148" s="27">
        <v>135.0</v>
      </c>
      <c r="B148" s="28" t="s">
        <v>331</v>
      </c>
      <c r="C148" s="28" t="s">
        <v>10</v>
      </c>
      <c r="D148" s="28" t="s">
        <v>90</v>
      </c>
      <c r="E148" s="44">
        <v>38838.0</v>
      </c>
      <c r="F148" s="31">
        <f t="shared" si="23"/>
        <v>20.20273973</v>
      </c>
      <c r="G148" s="32">
        <v>135.0</v>
      </c>
      <c r="H148" s="32">
        <f t="shared" si="24"/>
        <v>0</v>
      </c>
      <c r="I148" s="33" t="s">
        <v>332</v>
      </c>
    </row>
    <row r="149">
      <c r="A149" s="5">
        <v>136.0</v>
      </c>
      <c r="B149" s="11" t="s">
        <v>333</v>
      </c>
      <c r="C149" s="11" t="s">
        <v>21</v>
      </c>
      <c r="D149" s="11" t="s">
        <v>37</v>
      </c>
      <c r="E149" s="12">
        <v>33781.0</v>
      </c>
      <c r="F149" s="8">
        <f t="shared" si="23"/>
        <v>34.04790029</v>
      </c>
      <c r="G149" s="9">
        <v>137.0</v>
      </c>
      <c r="H149" s="9">
        <f t="shared" si="24"/>
        <v>1</v>
      </c>
      <c r="I149" s="13" t="s">
        <v>334</v>
      </c>
    </row>
    <row r="150">
      <c r="A150" s="5">
        <v>137.0</v>
      </c>
      <c r="B150" s="6" t="s">
        <v>335</v>
      </c>
      <c r="C150" s="6" t="s">
        <v>10</v>
      </c>
      <c r="D150" s="6" t="s">
        <v>176</v>
      </c>
      <c r="E150" s="12">
        <v>34913.0</v>
      </c>
      <c r="F150" s="8">
        <f t="shared" si="23"/>
        <v>30.94794521</v>
      </c>
      <c r="G150" s="9">
        <v>128.0</v>
      </c>
      <c r="H150" s="9">
        <f t="shared" si="24"/>
        <v>-9</v>
      </c>
      <c r="I150" s="13" t="s">
        <v>336</v>
      </c>
    </row>
    <row r="151">
      <c r="A151" s="5">
        <v>138.0</v>
      </c>
      <c r="B151" s="15" t="s">
        <v>337</v>
      </c>
      <c r="C151" s="15" t="s">
        <v>14</v>
      </c>
      <c r="D151" s="15" t="s">
        <v>49</v>
      </c>
      <c r="E151" s="16">
        <v>35619.0</v>
      </c>
      <c r="F151" s="17">
        <f t="shared" si="23"/>
        <v>29.01643836</v>
      </c>
      <c r="G151" s="9">
        <v>141.0</v>
      </c>
      <c r="H151" s="9">
        <f t="shared" si="24"/>
        <v>3</v>
      </c>
      <c r="I151" s="19" t="s">
        <v>338</v>
      </c>
    </row>
    <row r="152">
      <c r="A152" s="20"/>
      <c r="B152" s="21" t="s">
        <v>34</v>
      </c>
      <c r="C152" s="22"/>
      <c r="D152" s="22"/>
      <c r="E152" s="23"/>
      <c r="F152" s="24"/>
      <c r="G152" s="25"/>
      <c r="H152" s="25"/>
      <c r="I152" s="26"/>
    </row>
    <row r="153">
      <c r="A153" s="27">
        <v>139.0</v>
      </c>
      <c r="B153" s="28" t="s">
        <v>339</v>
      </c>
      <c r="C153" s="28" t="s">
        <v>14</v>
      </c>
      <c r="D153" s="28" t="s">
        <v>15</v>
      </c>
      <c r="E153" s="44">
        <v>37897.0</v>
      </c>
      <c r="F153" s="31">
        <f t="shared" ref="F153:F167" si="25">YEARFRAC(E153, TODAY(),1)</f>
        <v>22.77808219</v>
      </c>
      <c r="G153" s="32">
        <v>136.0</v>
      </c>
      <c r="H153" s="32">
        <f t="shared" ref="H153:H166" si="26">MINUS(G153, A153)</f>
        <v>-3</v>
      </c>
      <c r="I153" s="33" t="s">
        <v>340</v>
      </c>
    </row>
    <row r="154">
      <c r="A154" s="5">
        <v>140.0</v>
      </c>
      <c r="B154" s="6" t="s">
        <v>341</v>
      </c>
      <c r="C154" s="6" t="s">
        <v>14</v>
      </c>
      <c r="D154" s="6" t="s">
        <v>55</v>
      </c>
      <c r="E154" s="12">
        <v>34390.0</v>
      </c>
      <c r="F154" s="8">
        <f t="shared" si="25"/>
        <v>32.38082192</v>
      </c>
      <c r="G154" s="9">
        <v>169.0</v>
      </c>
      <c r="H154" s="9">
        <f t="shared" si="26"/>
        <v>29</v>
      </c>
      <c r="I154" s="13" t="s">
        <v>342</v>
      </c>
    </row>
    <row r="155">
      <c r="A155" s="5">
        <v>141.0</v>
      </c>
      <c r="B155" s="6" t="s">
        <v>343</v>
      </c>
      <c r="C155" s="35" t="s">
        <v>25</v>
      </c>
      <c r="D155" s="35" t="s">
        <v>344</v>
      </c>
      <c r="E155" s="12">
        <v>36901.0</v>
      </c>
      <c r="F155" s="8">
        <f t="shared" si="25"/>
        <v>25.50684932</v>
      </c>
      <c r="G155" s="9">
        <v>147.0</v>
      </c>
      <c r="H155" s="9">
        <f t="shared" si="26"/>
        <v>6</v>
      </c>
      <c r="I155" s="13" t="s">
        <v>345</v>
      </c>
    </row>
    <row r="156">
      <c r="A156" s="5">
        <v>142.0</v>
      </c>
      <c r="B156" s="6" t="s">
        <v>346</v>
      </c>
      <c r="C156" s="6" t="s">
        <v>10</v>
      </c>
      <c r="D156" s="35" t="s">
        <v>347</v>
      </c>
      <c r="E156" s="12">
        <v>35696.0</v>
      </c>
      <c r="F156" s="8">
        <f t="shared" si="25"/>
        <v>28.80547945</v>
      </c>
      <c r="G156" s="9">
        <v>149.0</v>
      </c>
      <c r="H156" s="9">
        <f t="shared" si="26"/>
        <v>7</v>
      </c>
      <c r="I156" s="13" t="s">
        <v>348</v>
      </c>
    </row>
    <row r="157">
      <c r="A157" s="5">
        <v>143.0</v>
      </c>
      <c r="B157" s="6" t="s">
        <v>349</v>
      </c>
      <c r="C157" s="6" t="s">
        <v>25</v>
      </c>
      <c r="D157" s="6" t="s">
        <v>22</v>
      </c>
      <c r="E157" s="12">
        <v>34958.0</v>
      </c>
      <c r="F157" s="8">
        <f t="shared" si="25"/>
        <v>30.82465753</v>
      </c>
      <c r="G157" s="9">
        <v>152.0</v>
      </c>
      <c r="H157" s="9">
        <f t="shared" si="26"/>
        <v>9</v>
      </c>
      <c r="I157" s="13" t="s">
        <v>350</v>
      </c>
    </row>
    <row r="158">
      <c r="A158" s="5">
        <v>144.0</v>
      </c>
      <c r="B158" s="35" t="s">
        <v>351</v>
      </c>
      <c r="C158" s="11" t="s">
        <v>21</v>
      </c>
      <c r="D158" s="35" t="s">
        <v>32</v>
      </c>
      <c r="E158" s="12">
        <v>36354.0</v>
      </c>
      <c r="F158" s="8">
        <f t="shared" si="25"/>
        <v>27.00273973</v>
      </c>
      <c r="G158" s="9">
        <v>159.0</v>
      </c>
      <c r="H158" s="9">
        <f t="shared" si="26"/>
        <v>15</v>
      </c>
      <c r="I158" s="10" t="s">
        <v>352</v>
      </c>
    </row>
    <row r="159">
      <c r="A159" s="5">
        <v>145.0</v>
      </c>
      <c r="B159" s="14" t="s">
        <v>353</v>
      </c>
      <c r="C159" s="14" t="s">
        <v>21</v>
      </c>
      <c r="D159" s="14" t="s">
        <v>15</v>
      </c>
      <c r="E159" s="16">
        <v>38711.0</v>
      </c>
      <c r="F159" s="17">
        <f t="shared" si="25"/>
        <v>20.55068493</v>
      </c>
      <c r="G159" s="18">
        <v>156.0</v>
      </c>
      <c r="H159" s="9">
        <f t="shared" si="26"/>
        <v>11</v>
      </c>
      <c r="I159" s="19" t="s">
        <v>354</v>
      </c>
    </row>
    <row r="160">
      <c r="A160" s="5">
        <v>146.0</v>
      </c>
      <c r="B160" s="11" t="s">
        <v>355</v>
      </c>
      <c r="C160" s="11" t="s">
        <v>77</v>
      </c>
      <c r="D160" s="35" t="s">
        <v>356</v>
      </c>
      <c r="E160" s="12">
        <v>31046.0</v>
      </c>
      <c r="F160" s="8">
        <f t="shared" si="25"/>
        <v>41.53697133</v>
      </c>
      <c r="G160" s="9">
        <v>138.0</v>
      </c>
      <c r="H160" s="9">
        <f t="shared" si="26"/>
        <v>-8</v>
      </c>
      <c r="I160" s="13" t="s">
        <v>357</v>
      </c>
    </row>
    <row r="161">
      <c r="A161" s="5">
        <v>147.0</v>
      </c>
      <c r="B161" s="11" t="s">
        <v>358</v>
      </c>
      <c r="C161" s="11" t="s">
        <v>14</v>
      </c>
      <c r="D161" s="11" t="s">
        <v>15</v>
      </c>
      <c r="E161" s="12">
        <v>38037.0</v>
      </c>
      <c r="F161" s="8">
        <f t="shared" si="25"/>
        <v>22.39489483</v>
      </c>
      <c r="G161" s="9">
        <v>127.0</v>
      </c>
      <c r="H161" s="9">
        <f t="shared" si="26"/>
        <v>-20</v>
      </c>
      <c r="I161" s="40" t="s">
        <v>359</v>
      </c>
    </row>
    <row r="162">
      <c r="A162" s="5">
        <v>148.0</v>
      </c>
      <c r="B162" s="11" t="s">
        <v>360</v>
      </c>
      <c r="C162" s="11" t="s">
        <v>36</v>
      </c>
      <c r="D162" s="35" t="s">
        <v>164</v>
      </c>
      <c r="E162" s="12">
        <v>36940.0</v>
      </c>
      <c r="F162" s="8">
        <f t="shared" si="25"/>
        <v>25.4</v>
      </c>
      <c r="G162" s="9">
        <v>145.0</v>
      </c>
      <c r="H162" s="9">
        <f t="shared" si="26"/>
        <v>-3</v>
      </c>
      <c r="I162" s="13" t="s">
        <v>361</v>
      </c>
    </row>
    <row r="163">
      <c r="A163" s="5">
        <v>149.0</v>
      </c>
      <c r="B163" s="6" t="s">
        <v>362</v>
      </c>
      <c r="C163" s="6" t="s">
        <v>36</v>
      </c>
      <c r="D163" s="6" t="s">
        <v>66</v>
      </c>
      <c r="E163" s="12">
        <v>38194.0</v>
      </c>
      <c r="F163" s="8">
        <f t="shared" si="25"/>
        <v>21.96593308</v>
      </c>
      <c r="G163" s="9">
        <v>126.0</v>
      </c>
      <c r="H163" s="9">
        <f t="shared" si="26"/>
        <v>-23</v>
      </c>
      <c r="I163" s="40" t="s">
        <v>363</v>
      </c>
    </row>
    <row r="164">
      <c r="A164" s="5">
        <v>150.0</v>
      </c>
      <c r="B164" s="11" t="s">
        <v>364</v>
      </c>
      <c r="C164" s="11" t="s">
        <v>21</v>
      </c>
      <c r="D164" s="11" t="s">
        <v>26</v>
      </c>
      <c r="E164" s="12">
        <v>38029.0</v>
      </c>
      <c r="F164" s="8">
        <f t="shared" si="25"/>
        <v>22.41675275</v>
      </c>
      <c r="G164" s="9">
        <v>129.0</v>
      </c>
      <c r="H164" s="9">
        <f t="shared" si="26"/>
        <v>-21</v>
      </c>
      <c r="I164" s="13" t="s">
        <v>365</v>
      </c>
    </row>
    <row r="165">
      <c r="A165" s="5">
        <v>151.0</v>
      </c>
      <c r="B165" s="36" t="s">
        <v>366</v>
      </c>
      <c r="C165" s="14" t="s">
        <v>10</v>
      </c>
      <c r="D165" s="14" t="s">
        <v>167</v>
      </c>
      <c r="E165" s="16">
        <v>37718.0</v>
      </c>
      <c r="F165" s="17">
        <f t="shared" si="25"/>
        <v>23.26849315</v>
      </c>
      <c r="G165" s="18">
        <v>163.0</v>
      </c>
      <c r="H165" s="9">
        <f t="shared" si="26"/>
        <v>12</v>
      </c>
      <c r="I165" s="47" t="s">
        <v>367</v>
      </c>
    </row>
    <row r="166">
      <c r="A166" s="5">
        <v>152.0</v>
      </c>
      <c r="B166" s="6" t="s">
        <v>368</v>
      </c>
      <c r="C166" s="6" t="s">
        <v>25</v>
      </c>
      <c r="D166" s="6" t="s">
        <v>29</v>
      </c>
      <c r="E166" s="12">
        <v>38540.0</v>
      </c>
      <c r="F166" s="8">
        <f t="shared" si="25"/>
        <v>21.01917808</v>
      </c>
      <c r="G166" s="9">
        <v>151.0</v>
      </c>
      <c r="H166" s="9">
        <f t="shared" si="26"/>
        <v>-1</v>
      </c>
      <c r="I166" s="13" t="s">
        <v>369</v>
      </c>
    </row>
    <row r="167">
      <c r="A167" s="27">
        <v>153.0</v>
      </c>
      <c r="B167" s="28" t="s">
        <v>370</v>
      </c>
      <c r="C167" s="28" t="s">
        <v>14</v>
      </c>
      <c r="D167" s="28" t="s">
        <v>90</v>
      </c>
      <c r="E167" s="44">
        <v>38809.0</v>
      </c>
      <c r="F167" s="31">
        <f t="shared" si="25"/>
        <v>20.28219178</v>
      </c>
      <c r="G167" s="32" t="s">
        <v>371</v>
      </c>
      <c r="H167" s="32" t="s">
        <v>371</v>
      </c>
      <c r="I167" s="33" t="s">
        <v>372</v>
      </c>
    </row>
    <row r="168">
      <c r="A168" s="20"/>
      <c r="B168" s="21" t="s">
        <v>34</v>
      </c>
      <c r="C168" s="22"/>
      <c r="D168" s="22"/>
      <c r="E168" s="23"/>
      <c r="F168" s="24"/>
      <c r="G168" s="25"/>
      <c r="H168" s="25"/>
      <c r="I168" s="26"/>
    </row>
    <row r="169">
      <c r="A169" s="5">
        <v>154.0</v>
      </c>
      <c r="B169" s="6" t="s">
        <v>373</v>
      </c>
      <c r="C169" s="6" t="s">
        <v>21</v>
      </c>
      <c r="D169" s="6" t="s">
        <v>26</v>
      </c>
      <c r="E169" s="12">
        <v>36069.0</v>
      </c>
      <c r="F169" s="8">
        <f t="shared" ref="F169:F190" si="27">YEARFRAC(E169, TODAY(),1)</f>
        <v>27.78356164</v>
      </c>
      <c r="G169" s="9">
        <v>143.0</v>
      </c>
      <c r="H169" s="9">
        <f t="shared" ref="H169:H183" si="28">MINUS(G169, A169)</f>
        <v>-11</v>
      </c>
      <c r="I169" s="13" t="s">
        <v>374</v>
      </c>
    </row>
    <row r="170">
      <c r="A170" s="5">
        <v>155.0</v>
      </c>
      <c r="B170" s="35" t="s">
        <v>375</v>
      </c>
      <c r="C170" s="35" t="s">
        <v>36</v>
      </c>
      <c r="D170" s="6" t="s">
        <v>52</v>
      </c>
      <c r="E170" s="12">
        <v>36691.0</v>
      </c>
      <c r="F170" s="8">
        <f t="shared" si="27"/>
        <v>26.08068718</v>
      </c>
      <c r="G170" s="9">
        <v>154.0</v>
      </c>
      <c r="H170" s="9">
        <f t="shared" si="28"/>
        <v>-1</v>
      </c>
      <c r="I170" s="13" t="s">
        <v>376</v>
      </c>
    </row>
    <row r="171">
      <c r="A171" s="5">
        <v>156.0</v>
      </c>
      <c r="B171" s="6" t="s">
        <v>377</v>
      </c>
      <c r="C171" s="6" t="s">
        <v>36</v>
      </c>
      <c r="D171" s="6" t="s">
        <v>69</v>
      </c>
      <c r="E171" s="12">
        <v>37592.0</v>
      </c>
      <c r="F171" s="8">
        <f t="shared" si="27"/>
        <v>23.61369863</v>
      </c>
      <c r="G171" s="9">
        <v>146.0</v>
      </c>
      <c r="H171" s="9">
        <f t="shared" si="28"/>
        <v>-10</v>
      </c>
      <c r="I171" s="13" t="s">
        <v>378</v>
      </c>
    </row>
    <row r="172">
      <c r="A172" s="5">
        <v>157.0</v>
      </c>
      <c r="B172" s="6" t="s">
        <v>379</v>
      </c>
      <c r="C172" s="6" t="s">
        <v>21</v>
      </c>
      <c r="D172" s="35" t="s">
        <v>380</v>
      </c>
      <c r="E172" s="12">
        <v>35999.0</v>
      </c>
      <c r="F172" s="8">
        <f t="shared" si="27"/>
        <v>27.97534247</v>
      </c>
      <c r="G172" s="9">
        <v>142.0</v>
      </c>
      <c r="H172" s="9">
        <f t="shared" si="28"/>
        <v>-15</v>
      </c>
      <c r="I172" s="13" t="s">
        <v>381</v>
      </c>
    </row>
    <row r="173">
      <c r="A173" s="5">
        <v>158.0</v>
      </c>
      <c r="B173" s="11" t="s">
        <v>382</v>
      </c>
      <c r="C173" s="11" t="s">
        <v>14</v>
      </c>
      <c r="D173" s="35" t="s">
        <v>37</v>
      </c>
      <c r="E173" s="12">
        <v>36542.0</v>
      </c>
      <c r="F173" s="8">
        <f t="shared" si="27"/>
        <v>26.487791</v>
      </c>
      <c r="G173" s="9">
        <v>181.0</v>
      </c>
      <c r="H173" s="9">
        <f t="shared" si="28"/>
        <v>23</v>
      </c>
      <c r="I173" s="10" t="s">
        <v>383</v>
      </c>
    </row>
    <row r="174">
      <c r="A174" s="5">
        <v>159.0</v>
      </c>
      <c r="B174" s="11" t="s">
        <v>384</v>
      </c>
      <c r="C174" s="35" t="s">
        <v>21</v>
      </c>
      <c r="D174" s="11" t="s">
        <v>90</v>
      </c>
      <c r="E174" s="12">
        <v>37277.0</v>
      </c>
      <c r="F174" s="8">
        <f t="shared" si="27"/>
        <v>24.47671233</v>
      </c>
      <c r="G174" s="9">
        <v>153.0</v>
      </c>
      <c r="H174" s="9">
        <f t="shared" si="28"/>
        <v>-6</v>
      </c>
      <c r="I174" s="10" t="s">
        <v>385</v>
      </c>
    </row>
    <row r="175">
      <c r="A175" s="5">
        <v>160.0</v>
      </c>
      <c r="B175" s="6" t="s">
        <v>386</v>
      </c>
      <c r="C175" s="6" t="s">
        <v>14</v>
      </c>
      <c r="D175" s="6" t="s">
        <v>95</v>
      </c>
      <c r="E175" s="12">
        <v>33069.0</v>
      </c>
      <c r="F175" s="8">
        <f t="shared" si="27"/>
        <v>35.99726027</v>
      </c>
      <c r="G175" s="9">
        <v>199.0</v>
      </c>
      <c r="H175" s="9">
        <f t="shared" si="28"/>
        <v>39</v>
      </c>
      <c r="I175" s="10" t="s">
        <v>387</v>
      </c>
    </row>
    <row r="176">
      <c r="A176" s="5">
        <v>161.0</v>
      </c>
      <c r="B176" s="6" t="s">
        <v>388</v>
      </c>
      <c r="C176" s="6" t="s">
        <v>74</v>
      </c>
      <c r="D176" s="6" t="s">
        <v>176</v>
      </c>
      <c r="E176" s="12">
        <v>37677.0</v>
      </c>
      <c r="F176" s="8">
        <f t="shared" si="27"/>
        <v>23.38082192</v>
      </c>
      <c r="G176" s="9">
        <v>148.0</v>
      </c>
      <c r="H176" s="9">
        <f t="shared" si="28"/>
        <v>-13</v>
      </c>
      <c r="I176" s="13" t="s">
        <v>389</v>
      </c>
    </row>
    <row r="177">
      <c r="A177" s="5">
        <v>162.0</v>
      </c>
      <c r="B177" s="11" t="s">
        <v>390</v>
      </c>
      <c r="C177" s="11" t="s">
        <v>25</v>
      </c>
      <c r="D177" s="11" t="s">
        <v>46</v>
      </c>
      <c r="E177" s="12">
        <v>36449.0</v>
      </c>
      <c r="F177" s="8">
        <f t="shared" si="27"/>
        <v>26.74246575</v>
      </c>
      <c r="G177" s="9">
        <v>155.0</v>
      </c>
      <c r="H177" s="9">
        <f t="shared" si="28"/>
        <v>-7</v>
      </c>
      <c r="I177" s="10" t="s">
        <v>391</v>
      </c>
    </row>
    <row r="178">
      <c r="A178" s="5">
        <v>163.0</v>
      </c>
      <c r="B178" s="11" t="s">
        <v>392</v>
      </c>
      <c r="C178" s="11" t="s">
        <v>25</v>
      </c>
      <c r="D178" s="11" t="s">
        <v>26</v>
      </c>
      <c r="E178" s="12">
        <v>35819.0</v>
      </c>
      <c r="F178" s="8">
        <f t="shared" si="27"/>
        <v>28.46849315</v>
      </c>
      <c r="G178" s="9">
        <v>179.0</v>
      </c>
      <c r="H178" s="9">
        <f t="shared" si="28"/>
        <v>16</v>
      </c>
      <c r="I178" s="10" t="s">
        <v>393</v>
      </c>
    </row>
    <row r="179">
      <c r="A179" s="5">
        <v>164.0</v>
      </c>
      <c r="B179" s="14" t="s">
        <v>394</v>
      </c>
      <c r="C179" s="14" t="s">
        <v>36</v>
      </c>
      <c r="D179" s="14" t="s">
        <v>22</v>
      </c>
      <c r="E179" s="16">
        <v>36998.0</v>
      </c>
      <c r="F179" s="17">
        <f t="shared" si="27"/>
        <v>25.24109589</v>
      </c>
      <c r="G179" s="9">
        <v>140.0</v>
      </c>
      <c r="H179" s="9">
        <f t="shared" si="28"/>
        <v>-24</v>
      </c>
      <c r="I179" s="13" t="s">
        <v>395</v>
      </c>
    </row>
    <row r="180">
      <c r="A180" s="5">
        <v>165.0</v>
      </c>
      <c r="B180" s="36" t="s">
        <v>396</v>
      </c>
      <c r="C180" s="14" t="s">
        <v>36</v>
      </c>
      <c r="D180" s="14" t="s">
        <v>32</v>
      </c>
      <c r="E180" s="16">
        <v>38753.0</v>
      </c>
      <c r="F180" s="17">
        <f t="shared" si="27"/>
        <v>20.43561644</v>
      </c>
      <c r="G180" s="18">
        <v>193.0</v>
      </c>
      <c r="H180" s="9">
        <f t="shared" si="28"/>
        <v>28</v>
      </c>
      <c r="I180" s="47" t="s">
        <v>397</v>
      </c>
    </row>
    <row r="181">
      <c r="A181" s="5">
        <v>166.0</v>
      </c>
      <c r="B181" s="6" t="s">
        <v>398</v>
      </c>
      <c r="C181" s="6" t="s">
        <v>36</v>
      </c>
      <c r="D181" s="35" t="s">
        <v>399</v>
      </c>
      <c r="E181" s="12">
        <v>36654.0</v>
      </c>
      <c r="F181" s="8">
        <f t="shared" si="27"/>
        <v>26.18178007</v>
      </c>
      <c r="G181" s="9">
        <v>161.0</v>
      </c>
      <c r="H181" s="9">
        <f t="shared" si="28"/>
        <v>-5</v>
      </c>
      <c r="I181" s="10" t="s">
        <v>400</v>
      </c>
    </row>
    <row r="182">
      <c r="A182" s="5">
        <v>167.0</v>
      </c>
      <c r="B182" s="36" t="s">
        <v>401</v>
      </c>
      <c r="C182" s="36" t="s">
        <v>25</v>
      </c>
      <c r="D182" s="36" t="s">
        <v>66</v>
      </c>
      <c r="E182" s="48">
        <v>38758.0</v>
      </c>
      <c r="F182" s="17">
        <f t="shared" si="27"/>
        <v>20.42191781</v>
      </c>
      <c r="G182" s="18">
        <v>160.0</v>
      </c>
      <c r="H182" s="9">
        <f t="shared" si="28"/>
        <v>-7</v>
      </c>
      <c r="I182" s="47" t="s">
        <v>402</v>
      </c>
    </row>
    <row r="183">
      <c r="A183" s="5">
        <v>168.0</v>
      </c>
      <c r="B183" s="36" t="s">
        <v>403</v>
      </c>
      <c r="C183" s="14" t="s">
        <v>14</v>
      </c>
      <c r="D183" s="36" t="s">
        <v>164</v>
      </c>
      <c r="E183" s="16">
        <v>38866.0</v>
      </c>
      <c r="F183" s="17">
        <f t="shared" si="27"/>
        <v>20.1260274</v>
      </c>
      <c r="G183" s="18">
        <v>192.0</v>
      </c>
      <c r="H183" s="9">
        <f t="shared" si="28"/>
        <v>24</v>
      </c>
      <c r="I183" s="47" t="s">
        <v>404</v>
      </c>
    </row>
    <row r="184">
      <c r="A184" s="27">
        <v>169.0</v>
      </c>
      <c r="B184" s="28" t="s">
        <v>405</v>
      </c>
      <c r="C184" s="28" t="s">
        <v>36</v>
      </c>
      <c r="D184" s="28" t="s">
        <v>18</v>
      </c>
      <c r="E184" s="44">
        <v>38312.0</v>
      </c>
      <c r="F184" s="31">
        <f t="shared" si="27"/>
        <v>21.64352871</v>
      </c>
      <c r="G184" s="32" t="s">
        <v>371</v>
      </c>
      <c r="H184" s="32" t="s">
        <v>371</v>
      </c>
      <c r="I184" s="33" t="s">
        <v>406</v>
      </c>
    </row>
    <row r="185">
      <c r="A185" s="27">
        <v>170.0</v>
      </c>
      <c r="B185" s="28" t="s">
        <v>407</v>
      </c>
      <c r="C185" s="28" t="s">
        <v>267</v>
      </c>
      <c r="D185" s="28" t="s">
        <v>52</v>
      </c>
      <c r="E185" s="44">
        <v>38926.0</v>
      </c>
      <c r="F185" s="31">
        <f t="shared" si="27"/>
        <v>19.96164384</v>
      </c>
      <c r="G185" s="32" t="s">
        <v>371</v>
      </c>
      <c r="H185" s="32" t="s">
        <v>371</v>
      </c>
      <c r="I185" s="33" t="s">
        <v>408</v>
      </c>
    </row>
    <row r="186">
      <c r="A186" s="5">
        <v>171.0</v>
      </c>
      <c r="B186" s="6" t="s">
        <v>409</v>
      </c>
      <c r="C186" s="11" t="s">
        <v>25</v>
      </c>
      <c r="D186" s="11" t="s">
        <v>128</v>
      </c>
      <c r="E186" s="12">
        <v>34753.0</v>
      </c>
      <c r="F186" s="8">
        <f t="shared" si="27"/>
        <v>31.38630137</v>
      </c>
      <c r="G186" s="9">
        <v>176.0</v>
      </c>
      <c r="H186" s="9">
        <f t="shared" ref="H186:H190" si="29">MINUS(G186, A186)</f>
        <v>5</v>
      </c>
      <c r="I186" s="10" t="s">
        <v>410</v>
      </c>
    </row>
    <row r="187">
      <c r="A187" s="5">
        <v>172.0</v>
      </c>
      <c r="B187" s="6" t="s">
        <v>411</v>
      </c>
      <c r="C187" s="6" t="s">
        <v>10</v>
      </c>
      <c r="D187" s="35" t="s">
        <v>412</v>
      </c>
      <c r="E187" s="12">
        <v>37033.0</v>
      </c>
      <c r="F187" s="8">
        <f t="shared" si="27"/>
        <v>25.14520548</v>
      </c>
      <c r="G187" s="9">
        <v>202.0</v>
      </c>
      <c r="H187" s="9">
        <f t="shared" si="29"/>
        <v>30</v>
      </c>
      <c r="I187" s="10" t="s">
        <v>413</v>
      </c>
    </row>
    <row r="188">
      <c r="A188" s="5">
        <v>173.0</v>
      </c>
      <c r="B188" s="6" t="s">
        <v>414</v>
      </c>
      <c r="C188" s="6" t="s">
        <v>183</v>
      </c>
      <c r="D188" s="6" t="s">
        <v>111</v>
      </c>
      <c r="E188" s="12">
        <v>36336.0</v>
      </c>
      <c r="F188" s="8">
        <f t="shared" si="27"/>
        <v>27.05205479</v>
      </c>
      <c r="G188" s="49">
        <v>208.0</v>
      </c>
      <c r="H188" s="9">
        <f t="shared" si="29"/>
        <v>35</v>
      </c>
      <c r="I188" s="10" t="s">
        <v>415</v>
      </c>
    </row>
    <row r="189">
      <c r="A189" s="5">
        <v>174.0</v>
      </c>
      <c r="B189" s="11" t="s">
        <v>416</v>
      </c>
      <c r="C189" s="11" t="s">
        <v>25</v>
      </c>
      <c r="D189" s="11" t="s">
        <v>11</v>
      </c>
      <c r="E189" s="12">
        <v>37071.0</v>
      </c>
      <c r="F189" s="8">
        <f t="shared" si="27"/>
        <v>25.04109589</v>
      </c>
      <c r="G189" s="50">
        <v>230.0</v>
      </c>
      <c r="H189" s="9">
        <f t="shared" si="29"/>
        <v>56</v>
      </c>
      <c r="I189" s="10" t="s">
        <v>417</v>
      </c>
    </row>
    <row r="190">
      <c r="A190" s="5">
        <v>175.0</v>
      </c>
      <c r="B190" s="6" t="s">
        <v>418</v>
      </c>
      <c r="C190" s="6" t="s">
        <v>21</v>
      </c>
      <c r="D190" s="35" t="s">
        <v>419</v>
      </c>
      <c r="E190" s="12">
        <v>35886.0</v>
      </c>
      <c r="F190" s="8">
        <f t="shared" si="27"/>
        <v>28.28493151</v>
      </c>
      <c r="G190" s="49">
        <v>214.0</v>
      </c>
      <c r="H190" s="9">
        <f t="shared" si="29"/>
        <v>39</v>
      </c>
      <c r="I190" s="10" t="s">
        <v>420</v>
      </c>
    </row>
    <row r="191">
      <c r="A191" s="20"/>
      <c r="B191" s="21" t="s">
        <v>34</v>
      </c>
      <c r="C191" s="22"/>
      <c r="D191" s="22"/>
      <c r="E191" s="23"/>
      <c r="F191" s="24"/>
      <c r="G191" s="25"/>
      <c r="H191" s="25"/>
      <c r="I191" s="26"/>
    </row>
    <row r="192">
      <c r="A192" s="5">
        <v>176.0</v>
      </c>
      <c r="B192" s="6" t="s">
        <v>421</v>
      </c>
      <c r="C192" s="6" t="s">
        <v>25</v>
      </c>
      <c r="D192" s="35" t="s">
        <v>422</v>
      </c>
      <c r="E192" s="12">
        <v>37535.0</v>
      </c>
      <c r="F192" s="8">
        <f t="shared" ref="F192:F219" si="30">YEARFRAC(E192, TODAY(),1)</f>
        <v>23.76986301</v>
      </c>
      <c r="G192" s="9">
        <v>125.0</v>
      </c>
      <c r="H192" s="9">
        <f t="shared" ref="H192:H194" si="31">MINUS(G192, A192)</f>
        <v>-51</v>
      </c>
      <c r="I192" s="13" t="s">
        <v>423</v>
      </c>
    </row>
    <row r="193">
      <c r="A193" s="5">
        <v>177.0</v>
      </c>
      <c r="B193" s="11" t="s">
        <v>424</v>
      </c>
      <c r="C193" s="11" t="s">
        <v>10</v>
      </c>
      <c r="D193" s="11" t="s">
        <v>82</v>
      </c>
      <c r="E193" s="12">
        <v>36266.0</v>
      </c>
      <c r="F193" s="8">
        <f t="shared" si="30"/>
        <v>27.24383562</v>
      </c>
      <c r="G193" s="9">
        <v>165.0</v>
      </c>
      <c r="H193" s="9">
        <f t="shared" si="31"/>
        <v>-12</v>
      </c>
      <c r="I193" s="10" t="s">
        <v>425</v>
      </c>
    </row>
    <row r="194">
      <c r="A194" s="5">
        <v>178.0</v>
      </c>
      <c r="B194" s="36" t="s">
        <v>426</v>
      </c>
      <c r="C194" s="15" t="s">
        <v>25</v>
      </c>
      <c r="D194" s="15" t="s">
        <v>87</v>
      </c>
      <c r="E194" s="16">
        <v>39069.0</v>
      </c>
      <c r="F194" s="17">
        <f t="shared" si="30"/>
        <v>19.56986301</v>
      </c>
      <c r="G194" s="18">
        <v>183.0</v>
      </c>
      <c r="H194" s="9">
        <f t="shared" si="31"/>
        <v>5</v>
      </c>
      <c r="I194" s="47" t="s">
        <v>427</v>
      </c>
    </row>
    <row r="195">
      <c r="A195" s="27">
        <v>179.0</v>
      </c>
      <c r="B195" s="28" t="s">
        <v>428</v>
      </c>
      <c r="C195" s="28" t="s">
        <v>14</v>
      </c>
      <c r="D195" s="28" t="s">
        <v>40</v>
      </c>
      <c r="E195" s="44">
        <v>38680.0</v>
      </c>
      <c r="F195" s="31">
        <f t="shared" si="30"/>
        <v>20.63561644</v>
      </c>
      <c r="G195" s="32" t="s">
        <v>371</v>
      </c>
      <c r="H195" s="32" t="s">
        <v>371</v>
      </c>
      <c r="I195" s="33" t="s">
        <v>429</v>
      </c>
    </row>
    <row r="196">
      <c r="A196" s="27">
        <v>180.0</v>
      </c>
      <c r="B196" s="28" t="s">
        <v>430</v>
      </c>
      <c r="C196" s="28" t="s">
        <v>25</v>
      </c>
      <c r="D196" s="28" t="s">
        <v>213</v>
      </c>
      <c r="E196" s="44">
        <v>39061.0</v>
      </c>
      <c r="F196" s="31">
        <f t="shared" si="30"/>
        <v>19.59178082</v>
      </c>
      <c r="G196" s="32" t="s">
        <v>371</v>
      </c>
      <c r="H196" s="32" t="s">
        <v>371</v>
      </c>
      <c r="I196" s="33" t="s">
        <v>431</v>
      </c>
    </row>
    <row r="197">
      <c r="A197" s="5">
        <v>181.0</v>
      </c>
      <c r="B197" s="6" t="s">
        <v>432</v>
      </c>
      <c r="C197" s="6" t="s">
        <v>25</v>
      </c>
      <c r="D197" s="35" t="s">
        <v>111</v>
      </c>
      <c r="E197" s="12">
        <v>35086.0</v>
      </c>
      <c r="F197" s="8">
        <f t="shared" si="30"/>
        <v>30.4741298</v>
      </c>
      <c r="G197" s="9">
        <v>186.0</v>
      </c>
      <c r="H197" s="9">
        <f t="shared" ref="H197:H205" si="32">MINUS(G197, A197)</f>
        <v>5</v>
      </c>
      <c r="I197" s="10" t="s">
        <v>433</v>
      </c>
    </row>
    <row r="198">
      <c r="A198" s="5">
        <v>182.0</v>
      </c>
      <c r="B198" s="6" t="s">
        <v>434</v>
      </c>
      <c r="C198" s="6" t="s">
        <v>14</v>
      </c>
      <c r="D198" s="6" t="s">
        <v>213</v>
      </c>
      <c r="E198" s="12">
        <v>36650.0</v>
      </c>
      <c r="F198" s="8">
        <f t="shared" si="30"/>
        <v>26.19270904</v>
      </c>
      <c r="G198" s="9">
        <v>150.0</v>
      </c>
      <c r="H198" s="9">
        <f t="shared" si="32"/>
        <v>-32</v>
      </c>
      <c r="I198" s="10" t="s">
        <v>435</v>
      </c>
    </row>
    <row r="199">
      <c r="A199" s="5">
        <v>183.0</v>
      </c>
      <c r="B199" s="6" t="s">
        <v>436</v>
      </c>
      <c r="C199" s="6" t="s">
        <v>25</v>
      </c>
      <c r="D199" s="6" t="s">
        <v>114</v>
      </c>
      <c r="E199" s="12">
        <v>36074.0</v>
      </c>
      <c r="F199" s="8">
        <f t="shared" si="30"/>
        <v>27.76986301</v>
      </c>
      <c r="G199" s="9">
        <v>171.0</v>
      </c>
      <c r="H199" s="9">
        <f t="shared" si="32"/>
        <v>-12</v>
      </c>
      <c r="I199" s="10" t="s">
        <v>437</v>
      </c>
    </row>
    <row r="200">
      <c r="A200" s="5">
        <v>184.0</v>
      </c>
      <c r="B200" s="6" t="s">
        <v>438</v>
      </c>
      <c r="C200" s="11" t="s">
        <v>36</v>
      </c>
      <c r="D200" s="11" t="s">
        <v>26</v>
      </c>
      <c r="E200" s="12">
        <v>37662.0</v>
      </c>
      <c r="F200" s="8">
        <f t="shared" si="30"/>
        <v>23.42191781</v>
      </c>
      <c r="G200" s="9">
        <v>168.0</v>
      </c>
      <c r="H200" s="9">
        <f t="shared" si="32"/>
        <v>-16</v>
      </c>
      <c r="I200" s="10" t="s">
        <v>439</v>
      </c>
    </row>
    <row r="201">
      <c r="A201" s="5">
        <v>185.0</v>
      </c>
      <c r="B201" s="6" t="s">
        <v>440</v>
      </c>
      <c r="C201" s="6" t="s">
        <v>14</v>
      </c>
      <c r="D201" s="6" t="s">
        <v>128</v>
      </c>
      <c r="E201" s="12">
        <v>36043.0</v>
      </c>
      <c r="F201" s="8">
        <f t="shared" si="30"/>
        <v>27.85479452</v>
      </c>
      <c r="G201" s="9">
        <v>195.0</v>
      </c>
      <c r="H201" s="9">
        <f t="shared" si="32"/>
        <v>10</v>
      </c>
      <c r="I201" s="10" t="s">
        <v>441</v>
      </c>
    </row>
    <row r="202">
      <c r="A202" s="5">
        <v>186.0</v>
      </c>
      <c r="B202" s="14" t="s">
        <v>442</v>
      </c>
      <c r="C202" s="14" t="s">
        <v>25</v>
      </c>
      <c r="D202" s="14" t="s">
        <v>176</v>
      </c>
      <c r="E202" s="16">
        <v>37429.0</v>
      </c>
      <c r="F202" s="17">
        <f t="shared" si="30"/>
        <v>24.06027397</v>
      </c>
      <c r="G202" s="50">
        <v>232.0</v>
      </c>
      <c r="H202" s="9">
        <f t="shared" si="32"/>
        <v>46</v>
      </c>
      <c r="I202" s="51" t="s">
        <v>443</v>
      </c>
    </row>
    <row r="203">
      <c r="A203" s="5">
        <v>187.0</v>
      </c>
      <c r="B203" s="6" t="s">
        <v>444</v>
      </c>
      <c r="C203" s="6" t="s">
        <v>25</v>
      </c>
      <c r="D203" s="6" t="s">
        <v>22</v>
      </c>
      <c r="E203" s="12">
        <v>35127.0</v>
      </c>
      <c r="F203" s="8">
        <f t="shared" si="30"/>
        <v>30.36210794</v>
      </c>
      <c r="G203" s="9">
        <v>157.0</v>
      </c>
      <c r="H203" s="9">
        <f t="shared" si="32"/>
        <v>-30</v>
      </c>
      <c r="I203" s="13" t="s">
        <v>445</v>
      </c>
    </row>
    <row r="204">
      <c r="A204" s="5">
        <v>188.0</v>
      </c>
      <c r="B204" s="14" t="s">
        <v>446</v>
      </c>
      <c r="C204" s="14" t="s">
        <v>10</v>
      </c>
      <c r="D204" s="14" t="s">
        <v>58</v>
      </c>
      <c r="E204" s="16">
        <v>37932.0</v>
      </c>
      <c r="F204" s="17">
        <f t="shared" si="30"/>
        <v>22.68219178</v>
      </c>
      <c r="G204" s="9">
        <v>173.0</v>
      </c>
      <c r="H204" s="9">
        <f t="shared" si="32"/>
        <v>-15</v>
      </c>
      <c r="I204" s="47" t="s">
        <v>447</v>
      </c>
    </row>
    <row r="205">
      <c r="A205" s="5">
        <v>189.0</v>
      </c>
      <c r="B205" s="6" t="s">
        <v>448</v>
      </c>
      <c r="C205" s="35" t="s">
        <v>36</v>
      </c>
      <c r="D205" s="6" t="s">
        <v>167</v>
      </c>
      <c r="E205" s="12">
        <v>35830.0</v>
      </c>
      <c r="F205" s="8">
        <f t="shared" si="30"/>
        <v>28.43835616</v>
      </c>
      <c r="G205" s="9">
        <v>158.0</v>
      </c>
      <c r="H205" s="9">
        <f t="shared" si="32"/>
        <v>-31</v>
      </c>
      <c r="I205" s="13" t="s">
        <v>449</v>
      </c>
    </row>
    <row r="206">
      <c r="A206" s="27">
        <v>190.0</v>
      </c>
      <c r="B206" s="28" t="s">
        <v>450</v>
      </c>
      <c r="C206" s="28" t="s">
        <v>25</v>
      </c>
      <c r="D206" s="28" t="s">
        <v>49</v>
      </c>
      <c r="E206" s="44">
        <v>39184.0</v>
      </c>
      <c r="F206" s="31">
        <f t="shared" si="30"/>
        <v>19.25479452</v>
      </c>
      <c r="G206" s="32" t="s">
        <v>371</v>
      </c>
      <c r="H206" s="32" t="s">
        <v>371</v>
      </c>
      <c r="I206" s="33" t="s">
        <v>451</v>
      </c>
    </row>
    <row r="207">
      <c r="A207" s="5">
        <v>191.0</v>
      </c>
      <c r="B207" s="6" t="s">
        <v>452</v>
      </c>
      <c r="C207" s="6" t="s">
        <v>14</v>
      </c>
      <c r="D207" s="6" t="s">
        <v>15</v>
      </c>
      <c r="E207" s="12">
        <v>38574.0</v>
      </c>
      <c r="F207" s="8">
        <f t="shared" si="30"/>
        <v>20.9260274</v>
      </c>
      <c r="G207" s="9">
        <v>144.0</v>
      </c>
      <c r="H207" s="9">
        <f t="shared" ref="H207:H216" si="33">MINUS(G207, A207)</f>
        <v>-47</v>
      </c>
      <c r="I207" s="13" t="s">
        <v>453</v>
      </c>
    </row>
    <row r="208">
      <c r="A208" s="5">
        <v>192.0</v>
      </c>
      <c r="B208" s="36" t="s">
        <v>454</v>
      </c>
      <c r="C208" s="14" t="s">
        <v>25</v>
      </c>
      <c r="D208" s="14" t="s">
        <v>82</v>
      </c>
      <c r="E208" s="16">
        <v>38359.0</v>
      </c>
      <c r="F208" s="17">
        <f t="shared" si="30"/>
        <v>21.51506849</v>
      </c>
      <c r="G208" s="52">
        <v>209.0</v>
      </c>
      <c r="H208" s="9">
        <f t="shared" si="33"/>
        <v>17</v>
      </c>
      <c r="I208" s="47" t="s">
        <v>455</v>
      </c>
    </row>
    <row r="209">
      <c r="A209" s="5">
        <v>193.0</v>
      </c>
      <c r="B209" s="6" t="s">
        <v>456</v>
      </c>
      <c r="C209" s="6" t="s">
        <v>25</v>
      </c>
      <c r="D209" s="6" t="s">
        <v>176</v>
      </c>
      <c r="E209" s="12">
        <v>32765.0</v>
      </c>
      <c r="F209" s="8">
        <f t="shared" si="30"/>
        <v>36.83013699</v>
      </c>
      <c r="G209" s="9">
        <v>189.0</v>
      </c>
      <c r="H209" s="9">
        <f t="shared" si="33"/>
        <v>-4</v>
      </c>
      <c r="I209" s="13" t="s">
        <v>457</v>
      </c>
    </row>
    <row r="210">
      <c r="A210" s="5">
        <v>194.0</v>
      </c>
      <c r="B210" s="6" t="s">
        <v>458</v>
      </c>
      <c r="C210" s="6" t="s">
        <v>14</v>
      </c>
      <c r="D210" s="35" t="s">
        <v>43</v>
      </c>
      <c r="E210" s="12">
        <v>33500.0</v>
      </c>
      <c r="F210" s="8">
        <f t="shared" si="30"/>
        <v>34.81643836</v>
      </c>
      <c r="G210" s="9">
        <v>175.0</v>
      </c>
      <c r="H210" s="9">
        <f t="shared" si="33"/>
        <v>-19</v>
      </c>
      <c r="I210" s="10" t="s">
        <v>459</v>
      </c>
    </row>
    <row r="211">
      <c r="A211" s="5">
        <v>195.0</v>
      </c>
      <c r="B211" s="6" t="s">
        <v>460</v>
      </c>
      <c r="C211" s="6" t="s">
        <v>10</v>
      </c>
      <c r="D211" s="6" t="s">
        <v>29</v>
      </c>
      <c r="E211" s="12">
        <v>36325.0</v>
      </c>
      <c r="F211" s="8">
        <f t="shared" si="30"/>
        <v>27.08219178</v>
      </c>
      <c r="G211" s="9">
        <v>359.0</v>
      </c>
      <c r="H211" s="9">
        <f t="shared" si="33"/>
        <v>164</v>
      </c>
      <c r="I211" s="10" t="s">
        <v>461</v>
      </c>
    </row>
    <row r="212">
      <c r="A212" s="5">
        <v>196.0</v>
      </c>
      <c r="B212" s="11" t="s">
        <v>462</v>
      </c>
      <c r="C212" s="11" t="s">
        <v>14</v>
      </c>
      <c r="D212" s="11" t="s">
        <v>52</v>
      </c>
      <c r="E212" s="12">
        <v>37431.0</v>
      </c>
      <c r="F212" s="8">
        <f t="shared" si="30"/>
        <v>24.05479452</v>
      </c>
      <c r="G212" s="50">
        <v>257.0</v>
      </c>
      <c r="H212" s="9">
        <f t="shared" si="33"/>
        <v>61</v>
      </c>
      <c r="I212" s="10" t="s">
        <v>463</v>
      </c>
    </row>
    <row r="213">
      <c r="A213" s="5">
        <v>197.0</v>
      </c>
      <c r="B213" s="6" t="s">
        <v>464</v>
      </c>
      <c r="C213" s="6" t="s">
        <v>36</v>
      </c>
      <c r="D213" s="35" t="s">
        <v>465</v>
      </c>
      <c r="E213" s="12">
        <v>37426.0</v>
      </c>
      <c r="F213" s="8">
        <f t="shared" si="30"/>
        <v>24.06849315</v>
      </c>
      <c r="G213" s="9">
        <v>162.0</v>
      </c>
      <c r="H213" s="9">
        <f t="shared" si="33"/>
        <v>-35</v>
      </c>
      <c r="I213" s="13" t="s">
        <v>466</v>
      </c>
    </row>
    <row r="214">
      <c r="A214" s="5">
        <v>198.0</v>
      </c>
      <c r="B214" s="35" t="s">
        <v>467</v>
      </c>
      <c r="C214" s="35" t="s">
        <v>14</v>
      </c>
      <c r="D214" s="35" t="s">
        <v>29</v>
      </c>
      <c r="E214" s="7">
        <v>37120.0</v>
      </c>
      <c r="F214" s="8">
        <f t="shared" si="30"/>
        <v>24.90684932</v>
      </c>
      <c r="G214" s="9">
        <v>191.0</v>
      </c>
      <c r="H214" s="9">
        <f t="shared" si="33"/>
        <v>-7</v>
      </c>
      <c r="I214" s="10" t="s">
        <v>468</v>
      </c>
    </row>
    <row r="215">
      <c r="A215" s="5">
        <v>199.0</v>
      </c>
      <c r="B215" s="6" t="s">
        <v>469</v>
      </c>
      <c r="C215" s="6" t="s">
        <v>10</v>
      </c>
      <c r="D215" s="6" t="s">
        <v>176</v>
      </c>
      <c r="E215" s="12">
        <v>32936.0</v>
      </c>
      <c r="F215" s="8">
        <f t="shared" si="30"/>
        <v>36.36164384</v>
      </c>
      <c r="G215" s="50">
        <v>207.0</v>
      </c>
      <c r="H215" s="9">
        <f t="shared" si="33"/>
        <v>8</v>
      </c>
      <c r="I215" s="53" t="s">
        <v>470</v>
      </c>
    </row>
    <row r="216">
      <c r="A216" s="5">
        <v>200.0</v>
      </c>
      <c r="B216" s="36" t="s">
        <v>471</v>
      </c>
      <c r="C216" s="14" t="s">
        <v>10</v>
      </c>
      <c r="D216" s="14" t="s">
        <v>158</v>
      </c>
      <c r="E216" s="16">
        <v>38112.0</v>
      </c>
      <c r="F216" s="17">
        <f t="shared" si="30"/>
        <v>22.18997679</v>
      </c>
      <c r="G216" s="18">
        <v>203.0</v>
      </c>
      <c r="H216" s="9">
        <f t="shared" si="33"/>
        <v>3</v>
      </c>
      <c r="I216" s="47" t="s">
        <v>472</v>
      </c>
    </row>
    <row r="217">
      <c r="A217" s="27">
        <v>201.0</v>
      </c>
      <c r="B217" s="28" t="s">
        <v>473</v>
      </c>
      <c r="C217" s="28" t="s">
        <v>14</v>
      </c>
      <c r="D217" s="28" t="s">
        <v>26</v>
      </c>
      <c r="E217" s="44">
        <v>38690.0</v>
      </c>
      <c r="F217" s="31">
        <f t="shared" si="30"/>
        <v>20.60821918</v>
      </c>
      <c r="G217" s="32" t="s">
        <v>371</v>
      </c>
      <c r="H217" s="32" t="s">
        <v>371</v>
      </c>
      <c r="I217" s="33" t="s">
        <v>474</v>
      </c>
    </row>
    <row r="218">
      <c r="A218" s="27">
        <v>202.0</v>
      </c>
      <c r="B218" s="28" t="s">
        <v>475</v>
      </c>
      <c r="C218" s="28" t="s">
        <v>21</v>
      </c>
      <c r="D218" s="28" t="s">
        <v>11</v>
      </c>
      <c r="E218" s="44">
        <v>39274.0</v>
      </c>
      <c r="F218" s="31">
        <f t="shared" si="30"/>
        <v>19.00821918</v>
      </c>
      <c r="G218" s="32" t="s">
        <v>371</v>
      </c>
      <c r="H218" s="32" t="s">
        <v>371</v>
      </c>
      <c r="I218" s="33" t="s">
        <v>476</v>
      </c>
    </row>
    <row r="219">
      <c r="A219" s="27">
        <v>203.0</v>
      </c>
      <c r="B219" s="28" t="s">
        <v>477</v>
      </c>
      <c r="C219" s="28" t="s">
        <v>21</v>
      </c>
      <c r="D219" s="28" t="s">
        <v>11</v>
      </c>
      <c r="E219" s="44">
        <v>37838.0</v>
      </c>
      <c r="F219" s="31">
        <f t="shared" si="30"/>
        <v>22.93972603</v>
      </c>
      <c r="G219" s="32" t="s">
        <v>371</v>
      </c>
      <c r="H219" s="32" t="s">
        <v>371</v>
      </c>
      <c r="I219" s="33" t="s">
        <v>478</v>
      </c>
    </row>
    <row r="220">
      <c r="A220" s="20"/>
      <c r="B220" s="21" t="s">
        <v>34</v>
      </c>
      <c r="C220" s="22"/>
      <c r="D220" s="22"/>
      <c r="E220" s="23"/>
      <c r="F220" s="24"/>
      <c r="G220" s="25"/>
      <c r="H220" s="25"/>
      <c r="I220" s="26"/>
    </row>
    <row r="221">
      <c r="A221" s="5">
        <v>204.0</v>
      </c>
      <c r="B221" s="11" t="s">
        <v>479</v>
      </c>
      <c r="C221" s="11" t="s">
        <v>14</v>
      </c>
      <c r="D221" s="11" t="s">
        <v>95</v>
      </c>
      <c r="E221" s="12">
        <v>33066.0</v>
      </c>
      <c r="F221" s="8">
        <f t="shared" ref="F221:F223" si="34">YEARFRAC(E221, TODAY(),1)</f>
        <v>36.00547945</v>
      </c>
      <c r="G221" s="9">
        <v>174.0</v>
      </c>
      <c r="H221" s="9">
        <f t="shared" ref="H221:H231" si="35">MINUS(G221, A221)</f>
        <v>-30</v>
      </c>
      <c r="I221" s="10" t="s">
        <v>480</v>
      </c>
    </row>
    <row r="222">
      <c r="A222" s="5">
        <v>205.0</v>
      </c>
      <c r="B222" s="6" t="s">
        <v>481</v>
      </c>
      <c r="C222" s="6" t="s">
        <v>10</v>
      </c>
      <c r="D222" s="35" t="s">
        <v>482</v>
      </c>
      <c r="E222" s="12">
        <v>36303.0</v>
      </c>
      <c r="F222" s="8">
        <f t="shared" si="34"/>
        <v>27.14246575</v>
      </c>
      <c r="G222" s="49">
        <v>316.0</v>
      </c>
      <c r="H222" s="9">
        <f t="shared" si="35"/>
        <v>111</v>
      </c>
      <c r="I222" s="10" t="s">
        <v>483</v>
      </c>
    </row>
    <row r="223">
      <c r="A223" s="5">
        <v>206.0</v>
      </c>
      <c r="B223" s="6" t="s">
        <v>484</v>
      </c>
      <c r="C223" s="6" t="s">
        <v>25</v>
      </c>
      <c r="D223" s="35" t="s">
        <v>158</v>
      </c>
      <c r="E223" s="12">
        <v>37585.0</v>
      </c>
      <c r="F223" s="8">
        <f t="shared" si="34"/>
        <v>23.63287671</v>
      </c>
      <c r="G223" s="9">
        <v>194.0</v>
      </c>
      <c r="H223" s="9">
        <f t="shared" si="35"/>
        <v>-12</v>
      </c>
      <c r="I223" s="10" t="s">
        <v>485</v>
      </c>
    </row>
    <row r="224">
      <c r="A224" s="5">
        <v>207.0</v>
      </c>
      <c r="B224" s="36" t="s">
        <v>486</v>
      </c>
      <c r="C224" s="36" t="s">
        <v>36</v>
      </c>
      <c r="D224" s="15" t="s">
        <v>98</v>
      </c>
      <c r="E224" s="48">
        <v>37406.0</v>
      </c>
      <c r="F224" s="36">
        <v>23.4</v>
      </c>
      <c r="G224" s="18">
        <v>262.0</v>
      </c>
      <c r="H224" s="9">
        <f t="shared" si="35"/>
        <v>55</v>
      </c>
      <c r="I224" s="47" t="s">
        <v>487</v>
      </c>
    </row>
    <row r="225">
      <c r="A225" s="5">
        <v>208.0</v>
      </c>
      <c r="B225" s="14" t="s">
        <v>488</v>
      </c>
      <c r="C225" s="14" t="s">
        <v>14</v>
      </c>
      <c r="D225" s="36" t="s">
        <v>49</v>
      </c>
      <c r="E225" s="16">
        <v>37686.0</v>
      </c>
      <c r="F225" s="17">
        <f t="shared" ref="F225:F258" si="36">YEARFRAC(E225, TODAY(),1)</f>
        <v>23.35616438</v>
      </c>
      <c r="G225" s="18">
        <v>182.0</v>
      </c>
      <c r="H225" s="9">
        <f t="shared" si="35"/>
        <v>-26</v>
      </c>
      <c r="I225" s="19" t="s">
        <v>489</v>
      </c>
    </row>
    <row r="226">
      <c r="A226" s="5">
        <v>209.0</v>
      </c>
      <c r="B226" s="11" t="s">
        <v>490</v>
      </c>
      <c r="C226" s="11" t="s">
        <v>36</v>
      </c>
      <c r="D226" s="35" t="s">
        <v>491</v>
      </c>
      <c r="E226" s="12">
        <v>34980.0</v>
      </c>
      <c r="F226" s="8">
        <f t="shared" si="36"/>
        <v>30.76438356</v>
      </c>
      <c r="G226" s="9">
        <v>190.0</v>
      </c>
      <c r="H226" s="9">
        <f t="shared" si="35"/>
        <v>-19</v>
      </c>
      <c r="I226" s="10" t="s">
        <v>492</v>
      </c>
    </row>
    <row r="227">
      <c r="A227" s="5">
        <v>210.0</v>
      </c>
      <c r="B227" s="36" t="s">
        <v>493</v>
      </c>
      <c r="C227" s="14" t="s">
        <v>36</v>
      </c>
      <c r="D227" s="14" t="s">
        <v>167</v>
      </c>
      <c r="E227" s="16">
        <v>37296.0</v>
      </c>
      <c r="F227" s="17">
        <f t="shared" si="36"/>
        <v>24.42465753</v>
      </c>
      <c r="G227" s="18">
        <v>187.0</v>
      </c>
      <c r="H227" s="9">
        <f t="shared" si="35"/>
        <v>-23</v>
      </c>
      <c r="I227" s="47" t="s">
        <v>494</v>
      </c>
    </row>
    <row r="228">
      <c r="A228" s="5">
        <v>211.0</v>
      </c>
      <c r="B228" s="6" t="s">
        <v>495</v>
      </c>
      <c r="C228" s="6" t="s">
        <v>14</v>
      </c>
      <c r="D228" s="6" t="s">
        <v>49</v>
      </c>
      <c r="E228" s="12">
        <v>36840.0</v>
      </c>
      <c r="F228" s="8">
        <f t="shared" si="36"/>
        <v>25.67358335</v>
      </c>
      <c r="G228" s="9">
        <v>196.0</v>
      </c>
      <c r="H228" s="9">
        <f t="shared" si="35"/>
        <v>-15</v>
      </c>
      <c r="I228" s="10" t="s">
        <v>496</v>
      </c>
    </row>
    <row r="229">
      <c r="A229" s="5">
        <v>212.0</v>
      </c>
      <c r="B229" s="6" t="s">
        <v>497</v>
      </c>
      <c r="C229" s="6" t="s">
        <v>36</v>
      </c>
      <c r="D229" s="35" t="s">
        <v>498</v>
      </c>
      <c r="E229" s="12">
        <v>36162.0</v>
      </c>
      <c r="F229" s="8">
        <f t="shared" si="36"/>
        <v>27.52876712</v>
      </c>
      <c r="G229" s="49">
        <v>252.0</v>
      </c>
      <c r="H229" s="9">
        <f t="shared" si="35"/>
        <v>40</v>
      </c>
      <c r="I229" s="10" t="s">
        <v>499</v>
      </c>
    </row>
    <row r="230">
      <c r="A230" s="5">
        <v>213.0</v>
      </c>
      <c r="B230" s="36" t="s">
        <v>500</v>
      </c>
      <c r="C230" s="14" t="s">
        <v>14</v>
      </c>
      <c r="D230" s="14" t="s">
        <v>158</v>
      </c>
      <c r="E230" s="16">
        <v>38865.0</v>
      </c>
      <c r="F230" s="17">
        <f t="shared" si="36"/>
        <v>20.12876712</v>
      </c>
      <c r="G230" s="52">
        <v>224.0</v>
      </c>
      <c r="H230" s="9">
        <f t="shared" si="35"/>
        <v>11</v>
      </c>
      <c r="I230" s="47" t="s">
        <v>501</v>
      </c>
    </row>
    <row r="231">
      <c r="A231" s="5">
        <v>214.0</v>
      </c>
      <c r="B231" s="6" t="s">
        <v>502</v>
      </c>
      <c r="C231" s="6" t="s">
        <v>14</v>
      </c>
      <c r="D231" s="6" t="s">
        <v>49</v>
      </c>
      <c r="E231" s="12">
        <v>36622.0</v>
      </c>
      <c r="F231" s="8">
        <f t="shared" si="36"/>
        <v>26.26921177</v>
      </c>
      <c r="G231" s="49">
        <v>215.0</v>
      </c>
      <c r="H231" s="9">
        <f t="shared" si="35"/>
        <v>1</v>
      </c>
      <c r="I231" s="10" t="s">
        <v>503</v>
      </c>
    </row>
    <row r="232">
      <c r="A232" s="27">
        <v>215.0</v>
      </c>
      <c r="B232" s="28" t="s">
        <v>504</v>
      </c>
      <c r="C232" s="28" t="s">
        <v>267</v>
      </c>
      <c r="D232" s="28" t="s">
        <v>111</v>
      </c>
      <c r="E232" s="44">
        <v>39102.0</v>
      </c>
      <c r="F232" s="31">
        <f t="shared" si="36"/>
        <v>19.47945205</v>
      </c>
      <c r="G232" s="32" t="s">
        <v>371</v>
      </c>
      <c r="H232" s="32" t="s">
        <v>371</v>
      </c>
      <c r="I232" s="33" t="s">
        <v>505</v>
      </c>
    </row>
    <row r="233">
      <c r="A233" s="5">
        <v>216.0</v>
      </c>
      <c r="B233" s="6" t="s">
        <v>506</v>
      </c>
      <c r="C233" s="6" t="s">
        <v>36</v>
      </c>
      <c r="D233" s="6" t="s">
        <v>37</v>
      </c>
      <c r="E233" s="12">
        <v>36737.0</v>
      </c>
      <c r="F233" s="8">
        <f t="shared" si="36"/>
        <v>25.95500412</v>
      </c>
      <c r="G233" s="49">
        <v>315.0</v>
      </c>
      <c r="H233" s="9">
        <f t="shared" ref="H233:H243" si="37">MINUS(G233, A233)</f>
        <v>99</v>
      </c>
      <c r="I233" s="10" t="s">
        <v>507</v>
      </c>
    </row>
    <row r="234">
      <c r="A234" s="5">
        <v>217.0</v>
      </c>
      <c r="B234" s="6" t="s">
        <v>508</v>
      </c>
      <c r="C234" s="6" t="s">
        <v>14</v>
      </c>
      <c r="D234" s="6" t="s">
        <v>87</v>
      </c>
      <c r="E234" s="12">
        <v>36533.0</v>
      </c>
      <c r="F234" s="8">
        <f t="shared" si="36"/>
        <v>26.51238117</v>
      </c>
      <c r="G234" s="9">
        <v>275.0</v>
      </c>
      <c r="H234" s="9">
        <f t="shared" si="37"/>
        <v>58</v>
      </c>
      <c r="I234" s="10" t="s">
        <v>509</v>
      </c>
    </row>
    <row r="235">
      <c r="A235" s="5">
        <v>218.0</v>
      </c>
      <c r="B235" s="11" t="s">
        <v>510</v>
      </c>
      <c r="C235" s="11" t="s">
        <v>10</v>
      </c>
      <c r="D235" s="35" t="s">
        <v>63</v>
      </c>
      <c r="E235" s="12">
        <v>34740.0</v>
      </c>
      <c r="F235" s="8">
        <f t="shared" si="36"/>
        <v>31.42191781</v>
      </c>
      <c r="G235" s="49">
        <v>261.0</v>
      </c>
      <c r="H235" s="9">
        <f t="shared" si="37"/>
        <v>43</v>
      </c>
      <c r="I235" s="10" t="s">
        <v>511</v>
      </c>
    </row>
    <row r="236">
      <c r="A236" s="5">
        <v>219.0</v>
      </c>
      <c r="B236" s="6" t="s">
        <v>512</v>
      </c>
      <c r="C236" s="6" t="s">
        <v>25</v>
      </c>
      <c r="D236" s="35" t="s">
        <v>167</v>
      </c>
      <c r="E236" s="12">
        <v>35766.0</v>
      </c>
      <c r="F236" s="8">
        <f t="shared" si="36"/>
        <v>28.61369863</v>
      </c>
      <c r="G236" s="9">
        <v>188.0</v>
      </c>
      <c r="H236" s="9">
        <f t="shared" si="37"/>
        <v>-31</v>
      </c>
      <c r="I236" s="10" t="s">
        <v>513</v>
      </c>
    </row>
    <row r="237">
      <c r="A237" s="5">
        <v>220.0</v>
      </c>
      <c r="B237" s="11" t="s">
        <v>514</v>
      </c>
      <c r="C237" s="35" t="s">
        <v>21</v>
      </c>
      <c r="D237" s="11" t="s">
        <v>95</v>
      </c>
      <c r="E237" s="12">
        <v>35720.0</v>
      </c>
      <c r="F237" s="8">
        <f t="shared" si="36"/>
        <v>28.73972603</v>
      </c>
      <c r="G237" s="49">
        <v>293.0</v>
      </c>
      <c r="H237" s="9">
        <f t="shared" si="37"/>
        <v>73</v>
      </c>
      <c r="I237" s="10" t="s">
        <v>515</v>
      </c>
    </row>
    <row r="238">
      <c r="A238" s="5">
        <v>221.0</v>
      </c>
      <c r="B238" s="6" t="s">
        <v>516</v>
      </c>
      <c r="C238" s="6" t="s">
        <v>36</v>
      </c>
      <c r="D238" s="6" t="s">
        <v>49</v>
      </c>
      <c r="E238" s="12">
        <v>37859.0</v>
      </c>
      <c r="F238" s="8">
        <f t="shared" si="36"/>
        <v>22.88219178</v>
      </c>
      <c r="G238" s="50">
        <v>212.0</v>
      </c>
      <c r="H238" s="9">
        <f t="shared" si="37"/>
        <v>-9</v>
      </c>
      <c r="I238" s="10" t="s">
        <v>517</v>
      </c>
    </row>
    <row r="239">
      <c r="A239" s="5">
        <v>222.0</v>
      </c>
      <c r="B239" s="6" t="s">
        <v>518</v>
      </c>
      <c r="C239" s="6" t="s">
        <v>25</v>
      </c>
      <c r="D239" s="35" t="s">
        <v>519</v>
      </c>
      <c r="E239" s="12">
        <v>35834.0</v>
      </c>
      <c r="F239" s="8">
        <f t="shared" si="36"/>
        <v>28.42739726</v>
      </c>
      <c r="G239" s="49">
        <v>222.0</v>
      </c>
      <c r="H239" s="9">
        <f t="shared" si="37"/>
        <v>0</v>
      </c>
      <c r="I239" s="10" t="s">
        <v>520</v>
      </c>
    </row>
    <row r="240">
      <c r="A240" s="5">
        <v>223.0</v>
      </c>
      <c r="B240" s="11" t="s">
        <v>521</v>
      </c>
      <c r="C240" s="11" t="s">
        <v>25</v>
      </c>
      <c r="D240" s="35" t="s">
        <v>522</v>
      </c>
      <c r="E240" s="12">
        <v>33800.0</v>
      </c>
      <c r="F240" s="8">
        <f t="shared" si="36"/>
        <v>33.99598772</v>
      </c>
      <c r="G240" s="9">
        <v>200.0</v>
      </c>
      <c r="H240" s="9">
        <f t="shared" si="37"/>
        <v>-23</v>
      </c>
      <c r="I240" s="10" t="s">
        <v>523</v>
      </c>
    </row>
    <row r="241">
      <c r="A241" s="5">
        <v>224.0</v>
      </c>
      <c r="B241" s="6" t="s">
        <v>524</v>
      </c>
      <c r="C241" s="6" t="s">
        <v>25</v>
      </c>
      <c r="D241" s="6" t="s">
        <v>32</v>
      </c>
      <c r="E241" s="12">
        <v>35772.0</v>
      </c>
      <c r="F241" s="8">
        <f t="shared" si="36"/>
        <v>28.59726027</v>
      </c>
      <c r="G241" s="49">
        <v>229.0</v>
      </c>
      <c r="H241" s="9">
        <f t="shared" si="37"/>
        <v>5</v>
      </c>
      <c r="I241" s="10" t="s">
        <v>525</v>
      </c>
    </row>
    <row r="242">
      <c r="A242" s="5">
        <v>225.0</v>
      </c>
      <c r="B242" s="11" t="s">
        <v>526</v>
      </c>
      <c r="C242" s="11" t="s">
        <v>25</v>
      </c>
      <c r="D242" s="35" t="s">
        <v>527</v>
      </c>
      <c r="E242" s="12">
        <v>34405.0</v>
      </c>
      <c r="F242" s="8">
        <f t="shared" si="36"/>
        <v>32.33972603</v>
      </c>
      <c r="G242" s="9">
        <v>197.0</v>
      </c>
      <c r="H242" s="9">
        <f t="shared" si="37"/>
        <v>-28</v>
      </c>
      <c r="I242" s="10" t="s">
        <v>528</v>
      </c>
    </row>
    <row r="243">
      <c r="A243" s="5">
        <v>226.0</v>
      </c>
      <c r="B243" s="6" t="s">
        <v>529</v>
      </c>
      <c r="C243" s="6" t="s">
        <v>14</v>
      </c>
      <c r="D243" s="35" t="s">
        <v>530</v>
      </c>
      <c r="E243" s="12">
        <v>36319.0</v>
      </c>
      <c r="F243" s="8">
        <f t="shared" si="36"/>
        <v>27.09863014</v>
      </c>
      <c r="G243" s="9">
        <v>205.0</v>
      </c>
      <c r="H243" s="9">
        <f t="shared" si="37"/>
        <v>-21</v>
      </c>
      <c r="I243" s="13" t="s">
        <v>531</v>
      </c>
    </row>
    <row r="244">
      <c r="A244" s="27">
        <v>227.0</v>
      </c>
      <c r="B244" s="28" t="s">
        <v>532</v>
      </c>
      <c r="C244" s="28" t="s">
        <v>14</v>
      </c>
      <c r="D244" s="28" t="s">
        <v>55</v>
      </c>
      <c r="E244" s="44">
        <v>37878.0</v>
      </c>
      <c r="F244" s="31">
        <f t="shared" si="36"/>
        <v>22.83013699</v>
      </c>
      <c r="G244" s="32" t="s">
        <v>371</v>
      </c>
      <c r="H244" s="32" t="s">
        <v>371</v>
      </c>
      <c r="I244" s="33" t="s">
        <v>533</v>
      </c>
    </row>
    <row r="245">
      <c r="A245" s="27">
        <v>228.0</v>
      </c>
      <c r="B245" s="28" t="s">
        <v>534</v>
      </c>
      <c r="C245" s="28" t="s">
        <v>10</v>
      </c>
      <c r="D245" s="28" t="s">
        <v>32</v>
      </c>
      <c r="E245" s="44">
        <v>39114.0</v>
      </c>
      <c r="F245" s="31">
        <f t="shared" si="36"/>
        <v>19.44657534</v>
      </c>
      <c r="G245" s="32" t="s">
        <v>371</v>
      </c>
      <c r="H245" s="32" t="s">
        <v>371</v>
      </c>
      <c r="I245" s="33" t="s">
        <v>535</v>
      </c>
    </row>
    <row r="246">
      <c r="A246" s="27">
        <v>229.0</v>
      </c>
      <c r="B246" s="28" t="s">
        <v>536</v>
      </c>
      <c r="C246" s="28" t="s">
        <v>10</v>
      </c>
      <c r="D246" s="28" t="s">
        <v>43</v>
      </c>
      <c r="E246" s="44">
        <v>38097.0</v>
      </c>
      <c r="F246" s="31">
        <f t="shared" si="36"/>
        <v>22.2309604</v>
      </c>
      <c r="G246" s="32" t="s">
        <v>371</v>
      </c>
      <c r="H246" s="32" t="s">
        <v>371</v>
      </c>
      <c r="I246" s="33" t="s">
        <v>537</v>
      </c>
    </row>
    <row r="247">
      <c r="A247" s="27">
        <v>230.0</v>
      </c>
      <c r="B247" s="28" t="s">
        <v>538</v>
      </c>
      <c r="C247" s="28" t="s">
        <v>25</v>
      </c>
      <c r="D247" s="28" t="s">
        <v>158</v>
      </c>
      <c r="E247" s="44">
        <v>37946.0</v>
      </c>
      <c r="F247" s="31">
        <f t="shared" si="36"/>
        <v>22.64383562</v>
      </c>
      <c r="G247" s="32" t="s">
        <v>371</v>
      </c>
      <c r="H247" s="32" t="s">
        <v>371</v>
      </c>
      <c r="I247" s="33" t="s">
        <v>539</v>
      </c>
    </row>
    <row r="248">
      <c r="A248" s="5">
        <v>231.0</v>
      </c>
      <c r="B248" s="6" t="s">
        <v>540</v>
      </c>
      <c r="C248" s="6" t="s">
        <v>25</v>
      </c>
      <c r="D248" s="6" t="s">
        <v>66</v>
      </c>
      <c r="E248" s="12">
        <v>37071.0</v>
      </c>
      <c r="F248" s="8">
        <f t="shared" si="36"/>
        <v>25.04109589</v>
      </c>
      <c r="G248" s="49">
        <v>235.0</v>
      </c>
      <c r="H248" s="9">
        <f t="shared" ref="H248:H262" si="38">MINUS(G248, A248)</f>
        <v>4</v>
      </c>
      <c r="I248" s="10" t="s">
        <v>541</v>
      </c>
    </row>
    <row r="249">
      <c r="A249" s="5">
        <v>232.0</v>
      </c>
      <c r="B249" s="6" t="s">
        <v>542</v>
      </c>
      <c r="C249" s="6" t="s">
        <v>25</v>
      </c>
      <c r="D249" s="35" t="s">
        <v>213</v>
      </c>
      <c r="E249" s="12">
        <v>37762.0</v>
      </c>
      <c r="F249" s="8">
        <f t="shared" si="36"/>
        <v>23.14794521</v>
      </c>
      <c r="G249" s="49">
        <v>255.0</v>
      </c>
      <c r="H249" s="9">
        <f t="shared" si="38"/>
        <v>23</v>
      </c>
      <c r="I249" s="10" t="s">
        <v>543</v>
      </c>
    </row>
    <row r="250">
      <c r="A250" s="5">
        <v>233.0</v>
      </c>
      <c r="B250" s="6" t="s">
        <v>544</v>
      </c>
      <c r="C250" s="6" t="s">
        <v>14</v>
      </c>
      <c r="D250" s="35" t="s">
        <v>176</v>
      </c>
      <c r="E250" s="12">
        <v>35943.0</v>
      </c>
      <c r="F250" s="8">
        <f t="shared" si="36"/>
        <v>28.12876712</v>
      </c>
      <c r="G250" s="50">
        <v>216.0</v>
      </c>
      <c r="H250" s="9">
        <f t="shared" si="38"/>
        <v>-17</v>
      </c>
      <c r="I250" s="10" t="s">
        <v>545</v>
      </c>
    </row>
    <row r="251">
      <c r="A251" s="5">
        <v>234.0</v>
      </c>
      <c r="B251" s="6" t="s">
        <v>546</v>
      </c>
      <c r="C251" s="35" t="s">
        <v>183</v>
      </c>
      <c r="D251" s="35" t="s">
        <v>87</v>
      </c>
      <c r="E251" s="12">
        <v>38356.0</v>
      </c>
      <c r="F251" s="8">
        <f t="shared" si="36"/>
        <v>21.52328767</v>
      </c>
      <c r="G251" s="50">
        <v>210.0</v>
      </c>
      <c r="H251" s="9">
        <f t="shared" si="38"/>
        <v>-24</v>
      </c>
      <c r="I251" s="10" t="s">
        <v>547</v>
      </c>
    </row>
    <row r="252">
      <c r="A252" s="5">
        <v>235.0</v>
      </c>
      <c r="B252" s="6" t="s">
        <v>548</v>
      </c>
      <c r="C252" s="6" t="s">
        <v>25</v>
      </c>
      <c r="D252" s="6" t="s">
        <v>43</v>
      </c>
      <c r="E252" s="12">
        <v>38450.0</v>
      </c>
      <c r="F252" s="8">
        <f t="shared" si="36"/>
        <v>21.26575342</v>
      </c>
      <c r="G252" s="9">
        <v>178.0</v>
      </c>
      <c r="H252" s="9">
        <f t="shared" si="38"/>
        <v>-57</v>
      </c>
      <c r="I252" s="13" t="s">
        <v>549</v>
      </c>
    </row>
    <row r="253">
      <c r="A253" s="5">
        <v>236.0</v>
      </c>
      <c r="B253" s="11" t="s">
        <v>550</v>
      </c>
      <c r="C253" s="11" t="s">
        <v>77</v>
      </c>
      <c r="D253" s="35" t="s">
        <v>551</v>
      </c>
      <c r="E253" s="12">
        <v>32727.0</v>
      </c>
      <c r="F253" s="8">
        <f t="shared" si="36"/>
        <v>36.93424658</v>
      </c>
      <c r="G253" s="9">
        <v>185.0</v>
      </c>
      <c r="H253" s="9">
        <f t="shared" si="38"/>
        <v>-51</v>
      </c>
      <c r="I253" s="10" t="s">
        <v>552</v>
      </c>
    </row>
    <row r="254">
      <c r="A254" s="5">
        <v>237.0</v>
      </c>
      <c r="B254" s="6" t="s">
        <v>553</v>
      </c>
      <c r="C254" s="6" t="s">
        <v>25</v>
      </c>
      <c r="D254" s="6" t="s">
        <v>114</v>
      </c>
      <c r="E254" s="12">
        <v>36259.0</v>
      </c>
      <c r="F254" s="8">
        <f t="shared" si="36"/>
        <v>27.2630137</v>
      </c>
      <c r="G254" s="50">
        <v>211.0</v>
      </c>
      <c r="H254" s="9">
        <f t="shared" si="38"/>
        <v>-26</v>
      </c>
      <c r="I254" s="10" t="s">
        <v>554</v>
      </c>
    </row>
    <row r="255">
      <c r="A255" s="5">
        <v>238.0</v>
      </c>
      <c r="B255" s="11" t="s">
        <v>555</v>
      </c>
      <c r="C255" s="11" t="s">
        <v>14</v>
      </c>
      <c r="D255" s="11" t="s">
        <v>114</v>
      </c>
      <c r="E255" s="12">
        <v>36330.0</v>
      </c>
      <c r="F255" s="8">
        <f t="shared" si="36"/>
        <v>27.06849315</v>
      </c>
      <c r="G255" s="9">
        <v>184.0</v>
      </c>
      <c r="H255" s="9">
        <f t="shared" si="38"/>
        <v>-54</v>
      </c>
      <c r="I255" s="13" t="s">
        <v>556</v>
      </c>
    </row>
    <row r="256">
      <c r="A256" s="5">
        <v>239.0</v>
      </c>
      <c r="B256" s="11" t="s">
        <v>557</v>
      </c>
      <c r="C256" s="11" t="s">
        <v>21</v>
      </c>
      <c r="D256" s="11" t="s">
        <v>58</v>
      </c>
      <c r="E256" s="12">
        <v>34569.0</v>
      </c>
      <c r="F256" s="8">
        <f t="shared" si="36"/>
        <v>31.89041096</v>
      </c>
      <c r="G256" s="9">
        <v>273.0</v>
      </c>
      <c r="H256" s="9">
        <f t="shared" si="38"/>
        <v>34</v>
      </c>
      <c r="I256" s="10" t="s">
        <v>558</v>
      </c>
    </row>
    <row r="257">
      <c r="A257" s="5">
        <v>240.0</v>
      </c>
      <c r="B257" s="36" t="s">
        <v>559</v>
      </c>
      <c r="C257" s="36" t="s">
        <v>21</v>
      </c>
      <c r="D257" s="36" t="s">
        <v>167</v>
      </c>
      <c r="E257" s="48">
        <v>37241.0</v>
      </c>
      <c r="F257" s="17">
        <f t="shared" si="36"/>
        <v>24.57534247</v>
      </c>
      <c r="G257" s="52">
        <v>217.0</v>
      </c>
      <c r="H257" s="18">
        <f t="shared" si="38"/>
        <v>-23</v>
      </c>
      <c r="I257" s="47" t="s">
        <v>560</v>
      </c>
    </row>
    <row r="258">
      <c r="A258" s="5">
        <v>241.0</v>
      </c>
      <c r="B258" s="6" t="s">
        <v>561</v>
      </c>
      <c r="C258" s="6" t="s">
        <v>14</v>
      </c>
      <c r="D258" s="6" t="s">
        <v>58</v>
      </c>
      <c r="E258" s="12">
        <v>38268.0</v>
      </c>
      <c r="F258" s="8">
        <f t="shared" si="36"/>
        <v>21.76374729</v>
      </c>
      <c r="G258" s="9">
        <v>180.0</v>
      </c>
      <c r="H258" s="9">
        <f t="shared" si="38"/>
        <v>-61</v>
      </c>
      <c r="I258" s="10" t="s">
        <v>562</v>
      </c>
    </row>
    <row r="259">
      <c r="A259" s="5">
        <v>242.0</v>
      </c>
      <c r="B259" s="36" t="s">
        <v>563</v>
      </c>
      <c r="C259" s="36" t="s">
        <v>10</v>
      </c>
      <c r="D259" s="15" t="s">
        <v>98</v>
      </c>
      <c r="E259" s="48">
        <v>37694.0</v>
      </c>
      <c r="F259" s="36">
        <v>22.6</v>
      </c>
      <c r="G259" s="18">
        <v>267.0</v>
      </c>
      <c r="H259" s="9">
        <f t="shared" si="38"/>
        <v>25</v>
      </c>
      <c r="I259" s="47" t="s">
        <v>564</v>
      </c>
    </row>
    <row r="260">
      <c r="A260" s="5">
        <v>243.0</v>
      </c>
      <c r="B260" s="6" t="s">
        <v>565</v>
      </c>
      <c r="C260" s="6" t="s">
        <v>21</v>
      </c>
      <c r="D260" s="35" t="s">
        <v>566</v>
      </c>
      <c r="E260" s="12">
        <v>33170.0</v>
      </c>
      <c r="F260" s="8">
        <f t="shared" ref="F260:F286" si="39">YEARFRAC(E260, TODAY(),1)</f>
        <v>35.72054795</v>
      </c>
      <c r="G260" s="9">
        <v>198.0</v>
      </c>
      <c r="H260" s="9">
        <f t="shared" si="38"/>
        <v>-45</v>
      </c>
      <c r="I260" s="10" t="s">
        <v>567</v>
      </c>
    </row>
    <row r="261">
      <c r="A261" s="5">
        <v>244.0</v>
      </c>
      <c r="B261" s="14" t="s">
        <v>568</v>
      </c>
      <c r="C261" s="14" t="s">
        <v>21</v>
      </c>
      <c r="D261" s="14" t="s">
        <v>90</v>
      </c>
      <c r="E261" s="16">
        <v>37273.0</v>
      </c>
      <c r="F261" s="17">
        <f t="shared" si="39"/>
        <v>24.48767123</v>
      </c>
      <c r="G261" s="18">
        <v>166.0</v>
      </c>
      <c r="H261" s="18">
        <f t="shared" si="38"/>
        <v>-78</v>
      </c>
      <c r="I261" s="19" t="s">
        <v>569</v>
      </c>
    </row>
    <row r="262">
      <c r="A262" s="5">
        <v>245.0</v>
      </c>
      <c r="B262" s="11" t="s">
        <v>570</v>
      </c>
      <c r="C262" s="11" t="s">
        <v>25</v>
      </c>
      <c r="D262" s="11" t="s">
        <v>82</v>
      </c>
      <c r="E262" s="12">
        <v>37026.0</v>
      </c>
      <c r="F262" s="8">
        <f t="shared" si="39"/>
        <v>25.16438356</v>
      </c>
      <c r="G262" s="9">
        <v>201.0</v>
      </c>
      <c r="H262" s="9">
        <f t="shared" si="38"/>
        <v>-44</v>
      </c>
      <c r="I262" s="10" t="s">
        <v>571</v>
      </c>
    </row>
    <row r="263">
      <c r="A263" s="27">
        <v>246.0</v>
      </c>
      <c r="B263" s="28" t="s">
        <v>572</v>
      </c>
      <c r="C263" s="28" t="s">
        <v>573</v>
      </c>
      <c r="D263" s="28" t="s">
        <v>69</v>
      </c>
      <c r="E263" s="44">
        <v>38935.0</v>
      </c>
      <c r="F263" s="31">
        <f t="shared" si="39"/>
        <v>19.9369863</v>
      </c>
      <c r="G263" s="32" t="s">
        <v>371</v>
      </c>
      <c r="H263" s="32" t="s">
        <v>371</v>
      </c>
      <c r="I263" s="54" t="s">
        <v>574</v>
      </c>
    </row>
    <row r="264">
      <c r="A264" s="5">
        <v>247.0</v>
      </c>
      <c r="B264" s="6" t="s">
        <v>575</v>
      </c>
      <c r="C264" s="6" t="s">
        <v>14</v>
      </c>
      <c r="D264" s="35" t="s">
        <v>576</v>
      </c>
      <c r="E264" s="12">
        <v>36164.0</v>
      </c>
      <c r="F264" s="8">
        <f t="shared" si="39"/>
        <v>27.52328767</v>
      </c>
      <c r="G264" s="50">
        <v>225.0</v>
      </c>
      <c r="H264" s="9">
        <f t="shared" ref="H264:H271" si="40">MINUS(G264, A264)</f>
        <v>-22</v>
      </c>
      <c r="I264" s="10" t="s">
        <v>577</v>
      </c>
    </row>
    <row r="265">
      <c r="A265" s="5">
        <v>248.0</v>
      </c>
      <c r="B265" s="14" t="s">
        <v>578</v>
      </c>
      <c r="C265" s="6" t="s">
        <v>14</v>
      </c>
      <c r="D265" s="6" t="s">
        <v>37</v>
      </c>
      <c r="E265" s="12">
        <v>35461.0</v>
      </c>
      <c r="F265" s="8">
        <f t="shared" si="39"/>
        <v>29.44931507</v>
      </c>
      <c r="G265" s="9">
        <v>167.0</v>
      </c>
      <c r="H265" s="9">
        <f t="shared" si="40"/>
        <v>-81</v>
      </c>
      <c r="I265" s="13" t="s">
        <v>579</v>
      </c>
    </row>
    <row r="266">
      <c r="A266" s="5">
        <v>249.0</v>
      </c>
      <c r="B266" s="6" t="s">
        <v>580</v>
      </c>
      <c r="C266" s="35" t="s">
        <v>573</v>
      </c>
      <c r="D266" s="6" t="s">
        <v>69</v>
      </c>
      <c r="E266" s="12">
        <v>35200.0</v>
      </c>
      <c r="F266" s="8">
        <f t="shared" si="39"/>
        <v>30.16265439</v>
      </c>
      <c r="G266" s="49">
        <v>234.0</v>
      </c>
      <c r="H266" s="9">
        <f t="shared" si="40"/>
        <v>-15</v>
      </c>
      <c r="I266" s="10" t="s">
        <v>581</v>
      </c>
    </row>
    <row r="267">
      <c r="A267" s="5">
        <v>250.0</v>
      </c>
      <c r="B267" s="6" t="s">
        <v>582</v>
      </c>
      <c r="C267" s="35" t="s">
        <v>36</v>
      </c>
      <c r="D267" s="6" t="s">
        <v>128</v>
      </c>
      <c r="E267" s="12">
        <v>36945.0</v>
      </c>
      <c r="F267" s="8">
        <f t="shared" si="39"/>
        <v>25.38630137</v>
      </c>
      <c r="G267" s="49">
        <v>291.0</v>
      </c>
      <c r="H267" s="9">
        <f t="shared" si="40"/>
        <v>41</v>
      </c>
      <c r="I267" s="10" t="s">
        <v>583</v>
      </c>
    </row>
    <row r="268">
      <c r="A268" s="5">
        <v>251.0</v>
      </c>
      <c r="B268" s="11" t="s">
        <v>584</v>
      </c>
      <c r="C268" s="11" t="s">
        <v>36</v>
      </c>
      <c r="D268" s="35" t="s">
        <v>585</v>
      </c>
      <c r="E268" s="12">
        <v>35042.0</v>
      </c>
      <c r="F268" s="8">
        <f t="shared" si="39"/>
        <v>30.59452055</v>
      </c>
      <c r="G268" s="50">
        <v>239.0</v>
      </c>
      <c r="H268" s="9">
        <f t="shared" si="40"/>
        <v>-12</v>
      </c>
      <c r="I268" s="55" t="s">
        <v>586</v>
      </c>
    </row>
    <row r="269">
      <c r="A269" s="5">
        <v>252.0</v>
      </c>
      <c r="B269" s="11" t="s">
        <v>587</v>
      </c>
      <c r="C269" s="11" t="s">
        <v>10</v>
      </c>
      <c r="D269" s="11" t="s">
        <v>111</v>
      </c>
      <c r="E269" s="12">
        <v>37439.0</v>
      </c>
      <c r="F269" s="8">
        <f t="shared" si="39"/>
        <v>24.03287671</v>
      </c>
      <c r="G269" s="9">
        <v>276.0</v>
      </c>
      <c r="H269" s="9">
        <f t="shared" si="40"/>
        <v>24</v>
      </c>
      <c r="I269" s="10" t="s">
        <v>588</v>
      </c>
    </row>
    <row r="270">
      <c r="A270" s="5">
        <v>253.0</v>
      </c>
      <c r="B270" s="6" t="s">
        <v>589</v>
      </c>
      <c r="C270" s="6" t="s">
        <v>14</v>
      </c>
      <c r="D270" s="6" t="s">
        <v>15</v>
      </c>
      <c r="E270" s="12">
        <v>34393.0</v>
      </c>
      <c r="F270" s="8">
        <f t="shared" si="39"/>
        <v>32.37260274</v>
      </c>
      <c r="G270" s="49">
        <v>248.0</v>
      </c>
      <c r="H270" s="9">
        <f t="shared" si="40"/>
        <v>-5</v>
      </c>
      <c r="I270" s="10" t="s">
        <v>590</v>
      </c>
    </row>
    <row r="271">
      <c r="A271" s="5">
        <v>254.0</v>
      </c>
      <c r="B271" s="11" t="s">
        <v>591</v>
      </c>
      <c r="C271" s="11" t="s">
        <v>25</v>
      </c>
      <c r="D271" s="11" t="s">
        <v>11</v>
      </c>
      <c r="E271" s="12">
        <v>36444.0</v>
      </c>
      <c r="F271" s="8">
        <f t="shared" si="39"/>
        <v>26.75616438</v>
      </c>
      <c r="G271" s="50">
        <v>223.0</v>
      </c>
      <c r="H271" s="9">
        <f t="shared" si="40"/>
        <v>-31</v>
      </c>
      <c r="I271" s="10" t="s">
        <v>592</v>
      </c>
    </row>
    <row r="272">
      <c r="A272" s="27">
        <v>255.0</v>
      </c>
      <c r="B272" s="28" t="s">
        <v>593</v>
      </c>
      <c r="C272" s="28" t="s">
        <v>36</v>
      </c>
      <c r="D272" s="28" t="s">
        <v>49</v>
      </c>
      <c r="E272" s="44">
        <v>37153.0</v>
      </c>
      <c r="F272" s="31">
        <f t="shared" si="39"/>
        <v>24.81643836</v>
      </c>
      <c r="G272" s="32" t="s">
        <v>371</v>
      </c>
      <c r="H272" s="32" t="s">
        <v>371</v>
      </c>
      <c r="I272" s="56" t="s">
        <v>594</v>
      </c>
    </row>
    <row r="273">
      <c r="A273" s="5">
        <v>256.0</v>
      </c>
      <c r="B273" s="6" t="s">
        <v>595</v>
      </c>
      <c r="C273" s="6" t="s">
        <v>14</v>
      </c>
      <c r="D273" s="6" t="s">
        <v>98</v>
      </c>
      <c r="E273" s="12">
        <v>34411.0</v>
      </c>
      <c r="F273" s="8">
        <f t="shared" si="39"/>
        <v>32.32328767</v>
      </c>
      <c r="G273" s="50">
        <v>236.0</v>
      </c>
      <c r="H273" s="9">
        <f t="shared" ref="H273:H279" si="41">MINUS(G273, A273)</f>
        <v>-20</v>
      </c>
      <c r="I273" s="10" t="s">
        <v>596</v>
      </c>
    </row>
    <row r="274">
      <c r="A274" s="5">
        <v>257.0</v>
      </c>
      <c r="B274" s="6" t="s">
        <v>597</v>
      </c>
      <c r="C274" s="6" t="s">
        <v>25</v>
      </c>
      <c r="D274" s="6" t="s">
        <v>213</v>
      </c>
      <c r="E274" s="12">
        <v>34904.0</v>
      </c>
      <c r="F274" s="8">
        <f t="shared" si="39"/>
        <v>30.97260274</v>
      </c>
      <c r="G274" s="49">
        <v>228.0</v>
      </c>
      <c r="H274" s="9">
        <f t="shared" si="41"/>
        <v>-29</v>
      </c>
      <c r="I274" s="10" t="s">
        <v>598</v>
      </c>
    </row>
    <row r="275">
      <c r="A275" s="5">
        <v>258.0</v>
      </c>
      <c r="B275" s="6" t="s">
        <v>599</v>
      </c>
      <c r="C275" s="11" t="s">
        <v>25</v>
      </c>
      <c r="D275" s="35" t="s">
        <v>49</v>
      </c>
      <c r="E275" s="12">
        <v>37947.0</v>
      </c>
      <c r="F275" s="8">
        <f t="shared" si="39"/>
        <v>22.64109589</v>
      </c>
      <c r="G275" s="50">
        <v>231.0</v>
      </c>
      <c r="H275" s="9">
        <f t="shared" si="41"/>
        <v>-27</v>
      </c>
      <c r="I275" s="10" t="s">
        <v>600</v>
      </c>
    </row>
    <row r="276">
      <c r="A276" s="5">
        <v>259.0</v>
      </c>
      <c r="B276" s="11" t="s">
        <v>601</v>
      </c>
      <c r="C276" s="11" t="s">
        <v>14</v>
      </c>
      <c r="D276" s="11" t="s">
        <v>106</v>
      </c>
      <c r="E276" s="12">
        <v>36777.0</v>
      </c>
      <c r="F276" s="8">
        <f t="shared" si="39"/>
        <v>25.8457145</v>
      </c>
      <c r="G276" s="50">
        <v>218.0</v>
      </c>
      <c r="H276" s="9">
        <f t="shared" si="41"/>
        <v>-41</v>
      </c>
      <c r="I276" s="10" t="s">
        <v>602</v>
      </c>
    </row>
    <row r="277">
      <c r="A277" s="5">
        <v>260.0</v>
      </c>
      <c r="B277" s="6" t="s">
        <v>603</v>
      </c>
      <c r="C277" s="6" t="s">
        <v>36</v>
      </c>
      <c r="D277" s="35" t="s">
        <v>604</v>
      </c>
      <c r="E277" s="12">
        <v>36533.0</v>
      </c>
      <c r="F277" s="8">
        <f t="shared" si="39"/>
        <v>26.51238117</v>
      </c>
      <c r="G277" s="9">
        <v>177.0</v>
      </c>
      <c r="H277" s="9">
        <f t="shared" si="41"/>
        <v>-83</v>
      </c>
      <c r="I277" s="10" t="s">
        <v>605</v>
      </c>
    </row>
    <row r="278">
      <c r="A278" s="5">
        <v>261.0</v>
      </c>
      <c r="B278" s="6" t="s">
        <v>606</v>
      </c>
      <c r="C278" s="6" t="s">
        <v>36</v>
      </c>
      <c r="D278" s="6" t="s">
        <v>58</v>
      </c>
      <c r="E278" s="12">
        <v>37924.0</v>
      </c>
      <c r="F278" s="8">
        <f t="shared" si="39"/>
        <v>22.70410959</v>
      </c>
      <c r="G278" s="50">
        <v>213.0</v>
      </c>
      <c r="H278" s="9">
        <f t="shared" si="41"/>
        <v>-48</v>
      </c>
      <c r="I278" s="10" t="s">
        <v>607</v>
      </c>
    </row>
    <row r="279">
      <c r="A279" s="5">
        <v>262.0</v>
      </c>
      <c r="B279" s="14" t="s">
        <v>608</v>
      </c>
      <c r="C279" s="35" t="s">
        <v>573</v>
      </c>
      <c r="D279" s="35" t="s">
        <v>609</v>
      </c>
      <c r="E279" s="12">
        <v>34148.0</v>
      </c>
      <c r="F279" s="8">
        <f t="shared" si="39"/>
        <v>33.04383562</v>
      </c>
      <c r="G279" s="49">
        <v>297.0</v>
      </c>
      <c r="H279" s="9">
        <f t="shared" si="41"/>
        <v>35</v>
      </c>
      <c r="I279" s="10" t="s">
        <v>610</v>
      </c>
    </row>
    <row r="280">
      <c r="A280" s="27">
        <v>263.0</v>
      </c>
      <c r="B280" s="28" t="s">
        <v>611</v>
      </c>
      <c r="C280" s="28" t="s">
        <v>25</v>
      </c>
      <c r="D280" s="28" t="s">
        <v>167</v>
      </c>
      <c r="E280" s="44">
        <v>37571.0</v>
      </c>
      <c r="F280" s="31">
        <f t="shared" si="39"/>
        <v>23.67123288</v>
      </c>
      <c r="G280" s="32" t="s">
        <v>371</v>
      </c>
      <c r="H280" s="32" t="s">
        <v>371</v>
      </c>
      <c r="I280" s="57" t="s">
        <v>612</v>
      </c>
    </row>
    <row r="281">
      <c r="A281" s="5">
        <v>264.0</v>
      </c>
      <c r="B281" s="6" t="s">
        <v>613</v>
      </c>
      <c r="C281" s="6" t="s">
        <v>25</v>
      </c>
      <c r="D281" s="6" t="s">
        <v>98</v>
      </c>
      <c r="E281" s="12">
        <v>36548.0</v>
      </c>
      <c r="F281" s="8">
        <f t="shared" si="39"/>
        <v>26.47139756</v>
      </c>
      <c r="G281" s="49">
        <v>313.0</v>
      </c>
      <c r="H281" s="9">
        <f t="shared" ref="H281:H293" si="42">MINUS(G281, A281)</f>
        <v>49</v>
      </c>
      <c r="I281" s="10" t="s">
        <v>614</v>
      </c>
    </row>
    <row r="282">
      <c r="A282" s="5">
        <v>265.0</v>
      </c>
      <c r="B282" s="36" t="s">
        <v>615</v>
      </c>
      <c r="C282" s="14" t="s">
        <v>14</v>
      </c>
      <c r="D282" s="36" t="s">
        <v>49</v>
      </c>
      <c r="E282" s="48">
        <v>37609.0</v>
      </c>
      <c r="F282" s="17">
        <f t="shared" si="39"/>
        <v>23.56712329</v>
      </c>
      <c r="G282" s="52">
        <v>282.0</v>
      </c>
      <c r="H282" s="9">
        <f t="shared" si="42"/>
        <v>17</v>
      </c>
      <c r="I282" s="47" t="s">
        <v>616</v>
      </c>
    </row>
    <row r="283">
      <c r="A283" s="5">
        <v>266.0</v>
      </c>
      <c r="B283" s="36" t="s">
        <v>617</v>
      </c>
      <c r="C283" s="14" t="s">
        <v>21</v>
      </c>
      <c r="D283" s="14" t="s">
        <v>95</v>
      </c>
      <c r="E283" s="16">
        <v>38529.0</v>
      </c>
      <c r="F283" s="17">
        <f t="shared" si="39"/>
        <v>21.04931507</v>
      </c>
      <c r="G283" s="52">
        <v>220.0</v>
      </c>
      <c r="H283" s="9">
        <f t="shared" si="42"/>
        <v>-46</v>
      </c>
      <c r="I283" s="47" t="s">
        <v>618</v>
      </c>
    </row>
    <row r="284">
      <c r="A284" s="5">
        <v>267.0</v>
      </c>
      <c r="B284" s="36" t="s">
        <v>619</v>
      </c>
      <c r="C284" s="36" t="s">
        <v>25</v>
      </c>
      <c r="D284" s="36" t="s">
        <v>18</v>
      </c>
      <c r="E284" s="48">
        <v>38115.0</v>
      </c>
      <c r="F284" s="17">
        <f t="shared" si="39"/>
        <v>22.18178007</v>
      </c>
      <c r="G284" s="58">
        <v>244.0</v>
      </c>
      <c r="H284" s="9">
        <f t="shared" si="42"/>
        <v>-23</v>
      </c>
      <c r="I284" s="47" t="s">
        <v>620</v>
      </c>
    </row>
    <row r="285">
      <c r="A285" s="5">
        <v>268.0</v>
      </c>
      <c r="B285" s="11" t="s">
        <v>621</v>
      </c>
      <c r="C285" s="11" t="s">
        <v>25</v>
      </c>
      <c r="D285" s="35" t="s">
        <v>622</v>
      </c>
      <c r="E285" s="12">
        <v>35389.0</v>
      </c>
      <c r="F285" s="8">
        <f t="shared" si="39"/>
        <v>29.64626095</v>
      </c>
      <c r="G285" s="9">
        <v>369.0</v>
      </c>
      <c r="H285" s="9">
        <f t="shared" si="42"/>
        <v>101</v>
      </c>
      <c r="I285" s="55" t="s">
        <v>623</v>
      </c>
    </row>
    <row r="286">
      <c r="A286" s="5">
        <v>269.0</v>
      </c>
      <c r="B286" s="6" t="s">
        <v>624</v>
      </c>
      <c r="C286" s="6" t="s">
        <v>36</v>
      </c>
      <c r="D286" s="6" t="s">
        <v>32</v>
      </c>
      <c r="E286" s="12">
        <v>36825.0</v>
      </c>
      <c r="F286" s="8">
        <f t="shared" si="39"/>
        <v>25.71456696</v>
      </c>
      <c r="G286" s="9">
        <v>270.0</v>
      </c>
      <c r="H286" s="9">
        <f t="shared" si="42"/>
        <v>1</v>
      </c>
      <c r="I286" s="59" t="s">
        <v>625</v>
      </c>
    </row>
    <row r="287">
      <c r="A287" s="5">
        <v>270.0</v>
      </c>
      <c r="B287" s="36" t="s">
        <v>626</v>
      </c>
      <c r="C287" s="36" t="s">
        <v>183</v>
      </c>
      <c r="D287" s="15" t="s">
        <v>26</v>
      </c>
      <c r="E287" s="48">
        <v>37690.0</v>
      </c>
      <c r="F287" s="36">
        <v>22.6</v>
      </c>
      <c r="G287" s="18">
        <v>278.0</v>
      </c>
      <c r="H287" s="9">
        <f t="shared" si="42"/>
        <v>8</v>
      </c>
      <c r="I287" s="47" t="s">
        <v>627</v>
      </c>
    </row>
    <row r="288">
      <c r="A288" s="5">
        <v>271.0</v>
      </c>
      <c r="B288" s="11" t="s">
        <v>628</v>
      </c>
      <c r="C288" s="11" t="s">
        <v>21</v>
      </c>
      <c r="D288" s="11" t="s">
        <v>46</v>
      </c>
      <c r="E288" s="12">
        <v>35667.0</v>
      </c>
      <c r="F288" s="8">
        <f t="shared" ref="F288:F293" si="43">YEARFRAC(E288, TODAY(),1)</f>
        <v>28.88493151</v>
      </c>
      <c r="G288" s="50">
        <v>238.0</v>
      </c>
      <c r="H288" s="9">
        <f t="shared" si="42"/>
        <v>-33</v>
      </c>
      <c r="I288" s="10" t="s">
        <v>629</v>
      </c>
    </row>
    <row r="289">
      <c r="A289" s="5">
        <v>272.0</v>
      </c>
      <c r="B289" s="15" t="s">
        <v>630</v>
      </c>
      <c r="C289" s="15" t="s">
        <v>36</v>
      </c>
      <c r="D289" s="15" t="s">
        <v>15</v>
      </c>
      <c r="E289" s="16">
        <v>36269.0</v>
      </c>
      <c r="F289" s="17">
        <f t="shared" si="43"/>
        <v>27.23561644</v>
      </c>
      <c r="G289" s="58">
        <v>243.0</v>
      </c>
      <c r="H289" s="9">
        <f t="shared" si="42"/>
        <v>-29</v>
      </c>
      <c r="I289" s="47" t="s">
        <v>631</v>
      </c>
    </row>
    <row r="290">
      <c r="A290" s="5">
        <v>273.0</v>
      </c>
      <c r="B290" s="6" t="s">
        <v>632</v>
      </c>
      <c r="C290" s="6" t="s">
        <v>10</v>
      </c>
      <c r="D290" s="35" t="s">
        <v>633</v>
      </c>
      <c r="E290" s="12">
        <v>36606.0</v>
      </c>
      <c r="F290" s="8">
        <f t="shared" si="43"/>
        <v>26.31292761</v>
      </c>
      <c r="G290" s="49">
        <v>317.0</v>
      </c>
      <c r="H290" s="9">
        <f t="shared" si="42"/>
        <v>44</v>
      </c>
      <c r="I290" s="10" t="s">
        <v>634</v>
      </c>
    </row>
    <row r="291">
      <c r="A291" s="5">
        <v>274.0</v>
      </c>
      <c r="B291" s="11" t="s">
        <v>635</v>
      </c>
      <c r="C291" s="11" t="s">
        <v>36</v>
      </c>
      <c r="D291" s="35" t="s">
        <v>636</v>
      </c>
      <c r="E291" s="12">
        <v>36343.0</v>
      </c>
      <c r="F291" s="8">
        <f t="shared" si="43"/>
        <v>27.03287671</v>
      </c>
      <c r="G291" s="49">
        <v>227.0</v>
      </c>
      <c r="H291" s="9">
        <f t="shared" si="42"/>
        <v>-47</v>
      </c>
      <c r="I291" s="10" t="s">
        <v>637</v>
      </c>
    </row>
    <row r="292">
      <c r="A292" s="5">
        <v>275.0</v>
      </c>
      <c r="B292" s="15" t="s">
        <v>638</v>
      </c>
      <c r="C292" s="35" t="s">
        <v>267</v>
      </c>
      <c r="D292" s="11" t="s">
        <v>46</v>
      </c>
      <c r="E292" s="12">
        <v>35858.0</v>
      </c>
      <c r="F292" s="17">
        <f t="shared" si="43"/>
        <v>28.36164384</v>
      </c>
      <c r="G292" s="9">
        <v>264.0</v>
      </c>
      <c r="H292" s="9">
        <f t="shared" si="42"/>
        <v>-11</v>
      </c>
      <c r="I292" s="10" t="s">
        <v>639</v>
      </c>
    </row>
    <row r="293">
      <c r="A293" s="5">
        <v>276.0</v>
      </c>
      <c r="B293" s="36" t="s">
        <v>640</v>
      </c>
      <c r="C293" s="14" t="s">
        <v>10</v>
      </c>
      <c r="D293" s="14" t="s">
        <v>43</v>
      </c>
      <c r="E293" s="16">
        <v>38630.0</v>
      </c>
      <c r="F293" s="17">
        <f t="shared" si="43"/>
        <v>20.77260274</v>
      </c>
      <c r="G293" s="52">
        <v>287.0</v>
      </c>
      <c r="H293" s="9">
        <f t="shared" si="42"/>
        <v>11</v>
      </c>
      <c r="I293" s="47" t="s">
        <v>641</v>
      </c>
    </row>
    <row r="294">
      <c r="A294" s="5">
        <v>277.0</v>
      </c>
      <c r="B294" s="36" t="s">
        <v>642</v>
      </c>
      <c r="C294" s="36" t="s">
        <v>14</v>
      </c>
      <c r="D294" s="36" t="s">
        <v>643</v>
      </c>
      <c r="E294" s="48">
        <v>34399.0</v>
      </c>
      <c r="F294" s="36">
        <v>23.6</v>
      </c>
      <c r="G294" s="18" t="s">
        <v>371</v>
      </c>
      <c r="H294" s="9" t="s">
        <v>371</v>
      </c>
      <c r="I294" s="47" t="s">
        <v>644</v>
      </c>
    </row>
    <row r="295">
      <c r="A295" s="27">
        <v>278.0</v>
      </c>
      <c r="B295" s="28" t="s">
        <v>645</v>
      </c>
      <c r="C295" s="28" t="s">
        <v>21</v>
      </c>
      <c r="D295" s="28" t="s">
        <v>43</v>
      </c>
      <c r="E295" s="44">
        <v>38074.0</v>
      </c>
      <c r="F295" s="31">
        <f t="shared" ref="F295:F296" si="44">YEARFRAC(E295, TODAY(),1)</f>
        <v>22.29380193</v>
      </c>
      <c r="G295" s="32" t="s">
        <v>371</v>
      </c>
      <c r="H295" s="32" t="s">
        <v>371</v>
      </c>
      <c r="I295" s="56" t="s">
        <v>646</v>
      </c>
    </row>
    <row r="296">
      <c r="A296" s="5">
        <v>279.0</v>
      </c>
      <c r="B296" s="6" t="s">
        <v>647</v>
      </c>
      <c r="C296" s="6" t="s">
        <v>10</v>
      </c>
      <c r="D296" s="6" t="s">
        <v>87</v>
      </c>
      <c r="E296" s="12">
        <v>36601.0</v>
      </c>
      <c r="F296" s="8">
        <f t="shared" si="44"/>
        <v>26.32658882</v>
      </c>
      <c r="G296" s="50">
        <v>281.0</v>
      </c>
      <c r="H296" s="9">
        <f t="shared" ref="H296:H299" si="45">MINUS(G296, A296)</f>
        <v>2</v>
      </c>
      <c r="I296" s="10" t="s">
        <v>648</v>
      </c>
    </row>
    <row r="297">
      <c r="A297" s="5">
        <v>280.0</v>
      </c>
      <c r="B297" s="36" t="s">
        <v>649</v>
      </c>
      <c r="C297" s="36" t="s">
        <v>267</v>
      </c>
      <c r="D297" s="15" t="s">
        <v>213</v>
      </c>
      <c r="E297" s="48">
        <v>38545.0</v>
      </c>
      <c r="F297" s="36">
        <v>20.2</v>
      </c>
      <c r="G297" s="18">
        <v>398.0</v>
      </c>
      <c r="H297" s="9">
        <f t="shared" si="45"/>
        <v>118</v>
      </c>
      <c r="I297" s="47" t="s">
        <v>650</v>
      </c>
    </row>
    <row r="298">
      <c r="A298" s="5">
        <v>281.0</v>
      </c>
      <c r="B298" s="11" t="s">
        <v>651</v>
      </c>
      <c r="C298" s="11" t="s">
        <v>25</v>
      </c>
      <c r="D298" s="11" t="s">
        <v>32</v>
      </c>
      <c r="E298" s="12">
        <v>38049.0</v>
      </c>
      <c r="F298" s="8">
        <f t="shared" ref="F298:F311" si="46">YEARFRAC(E298, TODAY(),1)</f>
        <v>22.36210794</v>
      </c>
      <c r="G298" s="50">
        <v>258.0</v>
      </c>
      <c r="H298" s="9">
        <f t="shared" si="45"/>
        <v>-23</v>
      </c>
      <c r="I298" s="10" t="s">
        <v>652</v>
      </c>
    </row>
    <row r="299">
      <c r="A299" s="5">
        <v>282.0</v>
      </c>
      <c r="B299" s="6" t="s">
        <v>653</v>
      </c>
      <c r="C299" s="6" t="s">
        <v>36</v>
      </c>
      <c r="D299" s="6" t="s">
        <v>52</v>
      </c>
      <c r="E299" s="12">
        <v>38234.0</v>
      </c>
      <c r="F299" s="8">
        <f t="shared" si="46"/>
        <v>21.85664346</v>
      </c>
      <c r="G299" s="49">
        <v>340.0</v>
      </c>
      <c r="H299" s="9">
        <f t="shared" si="45"/>
        <v>58</v>
      </c>
      <c r="I299" s="10" t="s">
        <v>654</v>
      </c>
    </row>
    <row r="300">
      <c r="A300" s="5">
        <v>283.0</v>
      </c>
      <c r="B300" s="35" t="s">
        <v>655</v>
      </c>
      <c r="C300" s="35" t="s">
        <v>25</v>
      </c>
      <c r="D300" s="35" t="s">
        <v>106</v>
      </c>
      <c r="E300" s="7">
        <v>38471.0</v>
      </c>
      <c r="F300" s="8">
        <f t="shared" si="46"/>
        <v>21.20821918</v>
      </c>
      <c r="G300" s="9" t="s">
        <v>371</v>
      </c>
      <c r="H300" s="9" t="s">
        <v>371</v>
      </c>
      <c r="I300" s="60" t="s">
        <v>656</v>
      </c>
    </row>
    <row r="301">
      <c r="A301" s="27">
        <v>284.0</v>
      </c>
      <c r="B301" s="28" t="s">
        <v>657</v>
      </c>
      <c r="C301" s="28" t="s">
        <v>10</v>
      </c>
      <c r="D301" s="28" t="s">
        <v>98</v>
      </c>
      <c r="E301" s="44">
        <v>38024.0</v>
      </c>
      <c r="F301" s="31">
        <f t="shared" si="46"/>
        <v>22.43041395</v>
      </c>
      <c r="G301" s="32" t="s">
        <v>371</v>
      </c>
      <c r="H301" s="32" t="s">
        <v>371</v>
      </c>
      <c r="I301" s="56" t="s">
        <v>658</v>
      </c>
    </row>
    <row r="302">
      <c r="A302" s="27">
        <v>285.0</v>
      </c>
      <c r="B302" s="28" t="s">
        <v>659</v>
      </c>
      <c r="C302" s="28" t="s">
        <v>36</v>
      </c>
      <c r="D302" s="28" t="s">
        <v>37</v>
      </c>
      <c r="E302" s="44">
        <v>38692.0</v>
      </c>
      <c r="F302" s="31">
        <f t="shared" si="46"/>
        <v>20.60273973</v>
      </c>
      <c r="G302" s="32" t="s">
        <v>371</v>
      </c>
      <c r="H302" s="32" t="s">
        <v>371</v>
      </c>
      <c r="I302" s="57" t="s">
        <v>660</v>
      </c>
    </row>
    <row r="303">
      <c r="A303" s="27">
        <v>286.0</v>
      </c>
      <c r="B303" s="28" t="s">
        <v>661</v>
      </c>
      <c r="C303" s="28" t="s">
        <v>573</v>
      </c>
      <c r="D303" s="28" t="s">
        <v>128</v>
      </c>
      <c r="E303" s="44">
        <v>38153.0</v>
      </c>
      <c r="F303" s="31">
        <f t="shared" si="46"/>
        <v>22.07795494</v>
      </c>
      <c r="G303" s="32" t="s">
        <v>371</v>
      </c>
      <c r="H303" s="32" t="s">
        <v>371</v>
      </c>
      <c r="I303" s="56" t="s">
        <v>662</v>
      </c>
    </row>
    <row r="304">
      <c r="A304" s="5">
        <v>287.0</v>
      </c>
      <c r="B304" s="11" t="s">
        <v>663</v>
      </c>
      <c r="C304" s="11" t="s">
        <v>14</v>
      </c>
      <c r="D304" s="11" t="s">
        <v>46</v>
      </c>
      <c r="E304" s="12">
        <v>33688.0</v>
      </c>
      <c r="F304" s="8">
        <f t="shared" si="46"/>
        <v>34.30199865</v>
      </c>
      <c r="G304" s="50">
        <v>259.0</v>
      </c>
      <c r="H304" s="9">
        <f t="shared" ref="H304:H319" si="47">MINUS(G304, A304)</f>
        <v>-28</v>
      </c>
      <c r="I304" s="10" t="s">
        <v>664</v>
      </c>
    </row>
    <row r="305">
      <c r="A305" s="5">
        <v>288.0</v>
      </c>
      <c r="B305" s="6" t="s">
        <v>665</v>
      </c>
      <c r="C305" s="6" t="s">
        <v>36</v>
      </c>
      <c r="D305" s="35" t="s">
        <v>491</v>
      </c>
      <c r="E305" s="12">
        <v>34125.0</v>
      </c>
      <c r="F305" s="8">
        <f t="shared" si="46"/>
        <v>33.10684932</v>
      </c>
      <c r="G305" s="9">
        <v>271.0</v>
      </c>
      <c r="H305" s="9">
        <f t="shared" si="47"/>
        <v>-17</v>
      </c>
      <c r="I305" s="10" t="s">
        <v>666</v>
      </c>
    </row>
    <row r="306">
      <c r="A306" s="5">
        <v>289.0</v>
      </c>
      <c r="B306" s="6" t="s">
        <v>667</v>
      </c>
      <c r="C306" s="35" t="s">
        <v>36</v>
      </c>
      <c r="D306" s="6" t="s">
        <v>58</v>
      </c>
      <c r="E306" s="12">
        <v>38311.0</v>
      </c>
      <c r="F306" s="8">
        <f t="shared" si="46"/>
        <v>21.64626095</v>
      </c>
      <c r="G306" s="50">
        <v>233.0</v>
      </c>
      <c r="H306" s="9">
        <f t="shared" si="47"/>
        <v>-56</v>
      </c>
      <c r="I306" s="10" t="s">
        <v>668</v>
      </c>
    </row>
    <row r="307">
      <c r="A307" s="5">
        <v>290.0</v>
      </c>
      <c r="B307" s="36" t="s">
        <v>669</v>
      </c>
      <c r="C307" s="36" t="s">
        <v>573</v>
      </c>
      <c r="D307" s="14" t="s">
        <v>82</v>
      </c>
      <c r="E307" s="16">
        <v>38641.0</v>
      </c>
      <c r="F307" s="17">
        <f t="shared" si="46"/>
        <v>20.74246575</v>
      </c>
      <c r="G307" s="52">
        <v>206.0</v>
      </c>
      <c r="H307" s="9">
        <f t="shared" si="47"/>
        <v>-84</v>
      </c>
      <c r="I307" s="47" t="s">
        <v>670</v>
      </c>
    </row>
    <row r="308">
      <c r="A308" s="5">
        <v>291.0</v>
      </c>
      <c r="B308" s="6" t="s">
        <v>671</v>
      </c>
      <c r="C308" s="6" t="s">
        <v>36</v>
      </c>
      <c r="D308" s="6" t="s">
        <v>29</v>
      </c>
      <c r="E308" s="12">
        <v>34446.0</v>
      </c>
      <c r="F308" s="8">
        <f t="shared" si="46"/>
        <v>32.22739726</v>
      </c>
      <c r="G308" s="49">
        <v>242.0</v>
      </c>
      <c r="H308" s="9">
        <f t="shared" si="47"/>
        <v>-49</v>
      </c>
      <c r="I308" s="10" t="s">
        <v>672</v>
      </c>
    </row>
    <row r="309">
      <c r="A309" s="5">
        <v>292.0</v>
      </c>
      <c r="B309" s="36" t="s">
        <v>673</v>
      </c>
      <c r="C309" s="36" t="s">
        <v>21</v>
      </c>
      <c r="D309" s="36" t="s">
        <v>674</v>
      </c>
      <c r="E309" s="48">
        <v>37509.0</v>
      </c>
      <c r="F309" s="17">
        <f t="shared" si="46"/>
        <v>23.84109589</v>
      </c>
      <c r="G309" s="58">
        <v>301.0</v>
      </c>
      <c r="H309" s="9">
        <f t="shared" si="47"/>
        <v>9</v>
      </c>
      <c r="I309" s="47" t="s">
        <v>675</v>
      </c>
    </row>
    <row r="310">
      <c r="A310" s="5">
        <v>293.0</v>
      </c>
      <c r="B310" s="36" t="s">
        <v>676</v>
      </c>
      <c r="C310" s="36" t="s">
        <v>36</v>
      </c>
      <c r="D310" s="36" t="s">
        <v>66</v>
      </c>
      <c r="E310" s="48">
        <v>37078.0</v>
      </c>
      <c r="F310" s="17">
        <f t="shared" si="46"/>
        <v>25.02191781</v>
      </c>
      <c r="G310" s="52">
        <v>289.0</v>
      </c>
      <c r="H310" s="9">
        <f t="shared" si="47"/>
        <v>-4</v>
      </c>
      <c r="I310" s="47" t="s">
        <v>677</v>
      </c>
    </row>
    <row r="311">
      <c r="A311" s="5">
        <v>294.0</v>
      </c>
      <c r="B311" s="6" t="s">
        <v>678</v>
      </c>
      <c r="C311" s="11" t="s">
        <v>10</v>
      </c>
      <c r="D311" s="11" t="s">
        <v>22</v>
      </c>
      <c r="E311" s="12">
        <v>37483.0</v>
      </c>
      <c r="F311" s="8">
        <f t="shared" si="46"/>
        <v>23.91232877</v>
      </c>
      <c r="G311" s="50">
        <v>241.0</v>
      </c>
      <c r="H311" s="9">
        <f t="shared" si="47"/>
        <v>-53</v>
      </c>
      <c r="I311" s="10" t="s">
        <v>679</v>
      </c>
    </row>
    <row r="312">
      <c r="A312" s="5">
        <v>295.0</v>
      </c>
      <c r="B312" s="36" t="s">
        <v>680</v>
      </c>
      <c r="C312" s="36" t="s">
        <v>36</v>
      </c>
      <c r="D312" s="15" t="s">
        <v>176</v>
      </c>
      <c r="E312" s="48">
        <v>37614.0</v>
      </c>
      <c r="F312" s="36">
        <v>22.8</v>
      </c>
      <c r="G312" s="58">
        <v>251.0</v>
      </c>
      <c r="H312" s="9">
        <f t="shared" si="47"/>
        <v>-44</v>
      </c>
      <c r="I312" s="47" t="s">
        <v>681</v>
      </c>
    </row>
    <row r="313">
      <c r="A313" s="5">
        <v>296.0</v>
      </c>
      <c r="B313" s="11" t="s">
        <v>682</v>
      </c>
      <c r="C313" s="11" t="s">
        <v>10</v>
      </c>
      <c r="D313" s="11" t="s">
        <v>158</v>
      </c>
      <c r="E313" s="12">
        <v>38182.0</v>
      </c>
      <c r="F313" s="8">
        <f t="shared" ref="F313:F409" si="48">YEARFRAC(E313, TODAY(),1)</f>
        <v>21.99871996</v>
      </c>
      <c r="G313" s="49">
        <v>221.0</v>
      </c>
      <c r="H313" s="9">
        <f t="shared" si="47"/>
        <v>-75</v>
      </c>
      <c r="I313" s="10" t="s">
        <v>683</v>
      </c>
    </row>
    <row r="314">
      <c r="A314" s="5">
        <v>297.0</v>
      </c>
      <c r="B314" s="6" t="s">
        <v>684</v>
      </c>
      <c r="C314" s="6" t="s">
        <v>74</v>
      </c>
      <c r="D314" s="35" t="s">
        <v>95</v>
      </c>
      <c r="E314" s="12">
        <v>36696.0</v>
      </c>
      <c r="F314" s="8">
        <f t="shared" si="48"/>
        <v>26.06702597</v>
      </c>
      <c r="G314" s="9">
        <v>277.0</v>
      </c>
      <c r="H314" s="9">
        <f t="shared" si="47"/>
        <v>-20</v>
      </c>
      <c r="I314" s="10" t="s">
        <v>685</v>
      </c>
    </row>
    <row r="315">
      <c r="A315" s="5">
        <v>298.0</v>
      </c>
      <c r="B315" s="11" t="s">
        <v>686</v>
      </c>
      <c r="C315" s="11" t="s">
        <v>25</v>
      </c>
      <c r="D315" s="11" t="s">
        <v>46</v>
      </c>
      <c r="E315" s="12">
        <v>37868.0</v>
      </c>
      <c r="F315" s="8">
        <f t="shared" si="48"/>
        <v>22.85753425</v>
      </c>
      <c r="G315" s="49">
        <v>260.0</v>
      </c>
      <c r="H315" s="9">
        <f t="shared" si="47"/>
        <v>-38</v>
      </c>
      <c r="I315" s="10" t="s">
        <v>687</v>
      </c>
    </row>
    <row r="316">
      <c r="A316" s="5">
        <v>299.0</v>
      </c>
      <c r="B316" s="36" t="s">
        <v>688</v>
      </c>
      <c r="C316" s="15" t="s">
        <v>25</v>
      </c>
      <c r="D316" s="15" t="s">
        <v>111</v>
      </c>
      <c r="E316" s="16">
        <v>38178.0</v>
      </c>
      <c r="F316" s="17">
        <f t="shared" si="48"/>
        <v>22.00964893</v>
      </c>
      <c r="G316" s="18">
        <v>265.0</v>
      </c>
      <c r="H316" s="9">
        <f t="shared" si="47"/>
        <v>-34</v>
      </c>
      <c r="I316" s="47" t="s">
        <v>689</v>
      </c>
    </row>
    <row r="317">
      <c r="A317" s="5">
        <v>300.0</v>
      </c>
      <c r="B317" s="11" t="s">
        <v>690</v>
      </c>
      <c r="C317" s="11" t="s">
        <v>25</v>
      </c>
      <c r="D317" s="11" t="s">
        <v>49</v>
      </c>
      <c r="E317" s="12">
        <v>38338.0</v>
      </c>
      <c r="F317" s="8">
        <f t="shared" si="48"/>
        <v>21.57249046</v>
      </c>
      <c r="G317" s="50">
        <v>237.0</v>
      </c>
      <c r="H317" s="9">
        <f t="shared" si="47"/>
        <v>-63</v>
      </c>
      <c r="I317" s="10" t="s">
        <v>691</v>
      </c>
    </row>
    <row r="318">
      <c r="A318" s="5">
        <v>301.0</v>
      </c>
      <c r="B318" s="6" t="s">
        <v>692</v>
      </c>
      <c r="C318" s="6" t="s">
        <v>25</v>
      </c>
      <c r="D318" s="6" t="s">
        <v>18</v>
      </c>
      <c r="E318" s="12">
        <v>37198.0</v>
      </c>
      <c r="F318" s="8">
        <f t="shared" si="48"/>
        <v>24.69315068</v>
      </c>
      <c r="G318" s="49">
        <v>253.0</v>
      </c>
      <c r="H318" s="9">
        <f t="shared" si="47"/>
        <v>-48</v>
      </c>
      <c r="I318" s="10" t="s">
        <v>693</v>
      </c>
    </row>
    <row r="319">
      <c r="A319" s="5">
        <v>302.0</v>
      </c>
      <c r="B319" s="6" t="s">
        <v>694</v>
      </c>
      <c r="C319" s="6" t="s">
        <v>10</v>
      </c>
      <c r="D319" s="6" t="s">
        <v>15</v>
      </c>
      <c r="E319" s="12">
        <v>37436.0</v>
      </c>
      <c r="F319" s="8">
        <f t="shared" si="48"/>
        <v>24.04109589</v>
      </c>
      <c r="G319" s="49">
        <v>298.0</v>
      </c>
      <c r="H319" s="9">
        <f t="shared" si="47"/>
        <v>-4</v>
      </c>
      <c r="I319" s="53" t="s">
        <v>695</v>
      </c>
    </row>
    <row r="320">
      <c r="A320" s="27">
        <v>303.0</v>
      </c>
      <c r="B320" s="28" t="s">
        <v>696</v>
      </c>
      <c r="C320" s="28" t="s">
        <v>573</v>
      </c>
      <c r="D320" s="28" t="s">
        <v>167</v>
      </c>
      <c r="E320" s="44">
        <v>38053.0</v>
      </c>
      <c r="F320" s="31">
        <f t="shared" si="48"/>
        <v>22.35117898</v>
      </c>
      <c r="G320" s="32" t="s">
        <v>371</v>
      </c>
      <c r="H320" s="32" t="s">
        <v>371</v>
      </c>
      <c r="I320" s="56" t="s">
        <v>697</v>
      </c>
    </row>
    <row r="321">
      <c r="A321" s="5">
        <v>304.0</v>
      </c>
      <c r="B321" s="6" t="s">
        <v>698</v>
      </c>
      <c r="C321" s="6" t="s">
        <v>573</v>
      </c>
      <c r="D321" s="6" t="s">
        <v>213</v>
      </c>
      <c r="E321" s="12">
        <v>36430.0</v>
      </c>
      <c r="F321" s="8">
        <f t="shared" si="48"/>
        <v>26.79452055</v>
      </c>
      <c r="G321" s="50">
        <v>240.0</v>
      </c>
      <c r="H321" s="9">
        <f t="shared" ref="H321:H331" si="49">MINUS(G321, A321)</f>
        <v>-64</v>
      </c>
      <c r="I321" s="10" t="s">
        <v>699</v>
      </c>
    </row>
    <row r="322">
      <c r="A322" s="5">
        <v>305.0</v>
      </c>
      <c r="B322" s="11" t="s">
        <v>700</v>
      </c>
      <c r="C322" s="11" t="s">
        <v>25</v>
      </c>
      <c r="D322" s="11" t="s">
        <v>128</v>
      </c>
      <c r="E322" s="12">
        <v>37781.0</v>
      </c>
      <c r="F322" s="8">
        <f t="shared" si="48"/>
        <v>23.09589041</v>
      </c>
      <c r="G322" s="50">
        <v>245.0</v>
      </c>
      <c r="H322" s="9">
        <f t="shared" si="49"/>
        <v>-60</v>
      </c>
      <c r="I322" s="13" t="s">
        <v>701</v>
      </c>
    </row>
    <row r="323">
      <c r="A323" s="5">
        <v>306.0</v>
      </c>
      <c r="B323" s="15" t="s">
        <v>702</v>
      </c>
      <c r="C323" s="15" t="s">
        <v>10</v>
      </c>
      <c r="D323" s="36" t="s">
        <v>703</v>
      </c>
      <c r="E323" s="16">
        <v>36233.0</v>
      </c>
      <c r="F323" s="17">
        <f t="shared" si="48"/>
        <v>27.33424658</v>
      </c>
      <c r="G323" s="58">
        <v>339.0</v>
      </c>
      <c r="H323" s="9">
        <f t="shared" si="49"/>
        <v>33</v>
      </c>
      <c r="I323" s="47" t="s">
        <v>704</v>
      </c>
    </row>
    <row r="324">
      <c r="A324" s="5">
        <v>307.0</v>
      </c>
      <c r="B324" s="6" t="s">
        <v>705</v>
      </c>
      <c r="C324" s="35" t="s">
        <v>25</v>
      </c>
      <c r="D324" s="35" t="s">
        <v>87</v>
      </c>
      <c r="E324" s="12">
        <v>37951.0</v>
      </c>
      <c r="F324" s="8">
        <f t="shared" si="48"/>
        <v>22.63013699</v>
      </c>
      <c r="G324" s="9">
        <v>268.0</v>
      </c>
      <c r="H324" s="9">
        <f t="shared" si="49"/>
        <v>-39</v>
      </c>
      <c r="I324" s="10" t="s">
        <v>706</v>
      </c>
    </row>
    <row r="325">
      <c r="A325" s="5">
        <v>308.0</v>
      </c>
      <c r="B325" s="35" t="s">
        <v>707</v>
      </c>
      <c r="C325" s="35" t="s">
        <v>10</v>
      </c>
      <c r="D325" s="35" t="s">
        <v>40</v>
      </c>
      <c r="E325" s="7">
        <v>37767.0</v>
      </c>
      <c r="F325" s="8">
        <f t="shared" si="48"/>
        <v>23.13424658</v>
      </c>
      <c r="G325" s="49">
        <v>306.0</v>
      </c>
      <c r="H325" s="9">
        <f t="shared" si="49"/>
        <v>-2</v>
      </c>
      <c r="I325" s="10" t="s">
        <v>708</v>
      </c>
    </row>
    <row r="326">
      <c r="A326" s="5">
        <v>309.0</v>
      </c>
      <c r="B326" s="36" t="s">
        <v>709</v>
      </c>
      <c r="C326" s="14" t="s">
        <v>36</v>
      </c>
      <c r="D326" s="14" t="s">
        <v>90</v>
      </c>
      <c r="E326" s="16">
        <v>38640.0</v>
      </c>
      <c r="F326" s="17">
        <f t="shared" si="48"/>
        <v>20.74520548</v>
      </c>
      <c r="G326" s="52">
        <v>284.0</v>
      </c>
      <c r="H326" s="9">
        <f t="shared" si="49"/>
        <v>-25</v>
      </c>
      <c r="I326" s="47" t="s">
        <v>710</v>
      </c>
    </row>
    <row r="327">
      <c r="A327" s="5">
        <v>310.0</v>
      </c>
      <c r="B327" s="11" t="s">
        <v>711</v>
      </c>
      <c r="C327" s="11" t="s">
        <v>36</v>
      </c>
      <c r="D327" s="35" t="s">
        <v>712</v>
      </c>
      <c r="E327" s="12">
        <v>35240.0</v>
      </c>
      <c r="F327" s="8">
        <f t="shared" si="48"/>
        <v>30.05336477</v>
      </c>
      <c r="G327" s="49">
        <v>310.0</v>
      </c>
      <c r="H327" s="9">
        <f t="shared" si="49"/>
        <v>0</v>
      </c>
      <c r="I327" s="10" t="s">
        <v>713</v>
      </c>
    </row>
    <row r="328">
      <c r="A328" s="5">
        <v>311.0</v>
      </c>
      <c r="B328" s="15" t="s">
        <v>714</v>
      </c>
      <c r="C328" s="15" t="s">
        <v>36</v>
      </c>
      <c r="D328" s="15" t="s">
        <v>176</v>
      </c>
      <c r="E328" s="16">
        <v>37407.0</v>
      </c>
      <c r="F328" s="17">
        <f t="shared" si="48"/>
        <v>24.12054795</v>
      </c>
      <c r="G328" s="58">
        <v>254.0</v>
      </c>
      <c r="H328" s="9">
        <f t="shared" si="49"/>
        <v>-57</v>
      </c>
      <c r="I328" s="47" t="s">
        <v>715</v>
      </c>
    </row>
    <row r="329">
      <c r="A329" s="5">
        <v>312.0</v>
      </c>
      <c r="B329" s="6" t="s">
        <v>716</v>
      </c>
      <c r="C329" s="6" t="s">
        <v>36</v>
      </c>
      <c r="D329" s="6" t="s">
        <v>69</v>
      </c>
      <c r="E329" s="12">
        <v>35152.0</v>
      </c>
      <c r="F329" s="8">
        <f t="shared" si="48"/>
        <v>30.29380193</v>
      </c>
      <c r="G329" s="49">
        <v>288.0</v>
      </c>
      <c r="H329" s="9">
        <f t="shared" si="49"/>
        <v>-24</v>
      </c>
      <c r="I329" s="10" t="s">
        <v>717</v>
      </c>
    </row>
    <row r="330">
      <c r="A330" s="5">
        <v>313.0</v>
      </c>
      <c r="B330" s="6" t="s">
        <v>718</v>
      </c>
      <c r="C330" s="6" t="s">
        <v>21</v>
      </c>
      <c r="D330" s="6" t="s">
        <v>55</v>
      </c>
      <c r="E330" s="12">
        <v>34170.0</v>
      </c>
      <c r="F330" s="8">
        <f t="shared" si="48"/>
        <v>32.98356164</v>
      </c>
      <c r="G330" s="9">
        <v>356.0</v>
      </c>
      <c r="H330" s="9">
        <f t="shared" si="49"/>
        <v>43</v>
      </c>
      <c r="I330" s="10" t="s">
        <v>719</v>
      </c>
    </row>
    <row r="331">
      <c r="A331" s="5">
        <v>314.0</v>
      </c>
      <c r="B331" s="6" t="s">
        <v>720</v>
      </c>
      <c r="C331" s="35" t="s">
        <v>36</v>
      </c>
      <c r="D331" s="6" t="s">
        <v>111</v>
      </c>
      <c r="E331" s="12">
        <v>37628.0</v>
      </c>
      <c r="F331" s="8">
        <f t="shared" si="48"/>
        <v>23.51506849</v>
      </c>
      <c r="G331" s="50">
        <v>250.0</v>
      </c>
      <c r="H331" s="9">
        <f t="shared" si="49"/>
        <v>-64</v>
      </c>
      <c r="I331" s="10" t="s">
        <v>721</v>
      </c>
    </row>
    <row r="332">
      <c r="A332" s="27">
        <v>315.0</v>
      </c>
      <c r="B332" s="28" t="s">
        <v>722</v>
      </c>
      <c r="C332" s="28" t="s">
        <v>21</v>
      </c>
      <c r="D332" s="28" t="s">
        <v>29</v>
      </c>
      <c r="E332" s="44">
        <v>38255.0</v>
      </c>
      <c r="F332" s="31">
        <f t="shared" si="48"/>
        <v>21.79926641</v>
      </c>
      <c r="G332" s="32" t="s">
        <v>371</v>
      </c>
      <c r="H332" s="32" t="s">
        <v>371</v>
      </c>
      <c r="I332" s="56" t="s">
        <v>723</v>
      </c>
    </row>
    <row r="333">
      <c r="A333" s="5">
        <v>316.0</v>
      </c>
      <c r="B333" s="61" t="s">
        <v>724</v>
      </c>
      <c r="C333" s="61" t="s">
        <v>21</v>
      </c>
      <c r="D333" s="62" t="s">
        <v>43</v>
      </c>
      <c r="E333" s="12">
        <v>34997.0</v>
      </c>
      <c r="F333" s="8">
        <f t="shared" si="48"/>
        <v>30.71780822</v>
      </c>
      <c r="G333" s="49">
        <v>334.0</v>
      </c>
      <c r="H333" s="9">
        <f t="shared" ref="H333:H355" si="50">MINUS(G333, A333)</f>
        <v>18</v>
      </c>
      <c r="I333" s="10" t="s">
        <v>725</v>
      </c>
    </row>
    <row r="334">
      <c r="A334" s="5">
        <v>317.0</v>
      </c>
      <c r="B334" s="11" t="s">
        <v>726</v>
      </c>
      <c r="C334" s="11" t="s">
        <v>21</v>
      </c>
      <c r="D334" s="11" t="s">
        <v>82</v>
      </c>
      <c r="E334" s="12">
        <v>36361.0</v>
      </c>
      <c r="F334" s="8">
        <f t="shared" si="48"/>
        <v>26.98356164</v>
      </c>
      <c r="G334" s="49">
        <v>247.0</v>
      </c>
      <c r="H334" s="9">
        <f t="shared" si="50"/>
        <v>-70</v>
      </c>
      <c r="I334" s="10" t="s">
        <v>727</v>
      </c>
    </row>
    <row r="335">
      <c r="A335" s="5">
        <v>318.0</v>
      </c>
      <c r="B335" s="36" t="s">
        <v>728</v>
      </c>
      <c r="C335" s="36" t="s">
        <v>21</v>
      </c>
      <c r="D335" s="36" t="s">
        <v>32</v>
      </c>
      <c r="E335" s="48">
        <v>37284.0</v>
      </c>
      <c r="F335" s="17">
        <f t="shared" si="48"/>
        <v>24.45753425</v>
      </c>
      <c r="G335" s="58">
        <v>303.0</v>
      </c>
      <c r="H335" s="9">
        <f t="shared" si="50"/>
        <v>-15</v>
      </c>
      <c r="I335" s="47" t="s">
        <v>729</v>
      </c>
    </row>
    <row r="336">
      <c r="A336" s="5">
        <v>319.0</v>
      </c>
      <c r="B336" s="11" t="s">
        <v>730</v>
      </c>
      <c r="C336" s="11" t="s">
        <v>21</v>
      </c>
      <c r="D336" s="11" t="s">
        <v>98</v>
      </c>
      <c r="E336" s="12">
        <v>32234.0</v>
      </c>
      <c r="F336" s="8">
        <f t="shared" si="48"/>
        <v>38.28287297</v>
      </c>
      <c r="G336" s="9">
        <v>353.0</v>
      </c>
      <c r="H336" s="9">
        <f t="shared" si="50"/>
        <v>34</v>
      </c>
      <c r="I336" s="10" t="s">
        <v>731</v>
      </c>
    </row>
    <row r="337">
      <c r="A337" s="5">
        <v>320.0</v>
      </c>
      <c r="B337" s="14" t="s">
        <v>732</v>
      </c>
      <c r="C337" s="14" t="s">
        <v>14</v>
      </c>
      <c r="D337" s="36" t="s">
        <v>733</v>
      </c>
      <c r="E337" s="16">
        <v>37333.0</v>
      </c>
      <c r="F337" s="17">
        <f t="shared" si="48"/>
        <v>24.32328767</v>
      </c>
      <c r="G337" s="58">
        <v>246.0</v>
      </c>
      <c r="H337" s="9">
        <f t="shared" si="50"/>
        <v>-74</v>
      </c>
      <c r="I337" s="47" t="s">
        <v>734</v>
      </c>
    </row>
    <row r="338">
      <c r="A338" s="5">
        <v>321.0</v>
      </c>
      <c r="B338" s="11" t="s">
        <v>735</v>
      </c>
      <c r="C338" s="11" t="s">
        <v>25</v>
      </c>
      <c r="D338" s="11" t="s">
        <v>98</v>
      </c>
      <c r="E338" s="12">
        <v>35476.0</v>
      </c>
      <c r="F338" s="8">
        <f t="shared" si="48"/>
        <v>29.40821918</v>
      </c>
      <c r="G338" s="50">
        <v>283.0</v>
      </c>
      <c r="H338" s="9">
        <f t="shared" si="50"/>
        <v>-38</v>
      </c>
      <c r="I338" s="10" t="s">
        <v>736</v>
      </c>
    </row>
    <row r="339">
      <c r="A339" s="5">
        <v>322.0</v>
      </c>
      <c r="B339" s="6" t="s">
        <v>737</v>
      </c>
      <c r="C339" s="6" t="s">
        <v>183</v>
      </c>
      <c r="D339" s="35" t="s">
        <v>106</v>
      </c>
      <c r="E339" s="12">
        <v>35897.0</v>
      </c>
      <c r="F339" s="8">
        <f t="shared" si="48"/>
        <v>28.25479452</v>
      </c>
      <c r="G339" s="9">
        <v>269.0</v>
      </c>
      <c r="H339" s="9">
        <f t="shared" si="50"/>
        <v>-53</v>
      </c>
      <c r="I339" s="10" t="s">
        <v>738</v>
      </c>
    </row>
    <row r="340">
      <c r="A340" s="5">
        <v>323.0</v>
      </c>
      <c r="B340" s="6" t="s">
        <v>739</v>
      </c>
      <c r="C340" s="6" t="s">
        <v>14</v>
      </c>
      <c r="D340" s="35" t="s">
        <v>69</v>
      </c>
      <c r="E340" s="12">
        <v>34227.0</v>
      </c>
      <c r="F340" s="8">
        <f t="shared" si="48"/>
        <v>32.82739726</v>
      </c>
      <c r="G340" s="50">
        <v>249.0</v>
      </c>
      <c r="H340" s="9">
        <f t="shared" si="50"/>
        <v>-74</v>
      </c>
      <c r="I340" s="10" t="s">
        <v>740</v>
      </c>
    </row>
    <row r="341" ht="30.0" customHeight="1">
      <c r="A341" s="5">
        <v>324.0</v>
      </c>
      <c r="B341" s="35" t="s">
        <v>741</v>
      </c>
      <c r="C341" s="35" t="s">
        <v>573</v>
      </c>
      <c r="D341" s="35" t="s">
        <v>32</v>
      </c>
      <c r="E341" s="7">
        <v>36628.0</v>
      </c>
      <c r="F341" s="8">
        <f t="shared" si="48"/>
        <v>26.25281832</v>
      </c>
      <c r="G341" s="9">
        <v>363.0</v>
      </c>
      <c r="H341" s="9">
        <f t="shared" si="50"/>
        <v>39</v>
      </c>
      <c r="I341" s="10" t="s">
        <v>742</v>
      </c>
    </row>
    <row r="342">
      <c r="A342" s="5">
        <v>325.0</v>
      </c>
      <c r="B342" s="6" t="s">
        <v>743</v>
      </c>
      <c r="C342" s="6" t="s">
        <v>267</v>
      </c>
      <c r="D342" s="6" t="s">
        <v>90</v>
      </c>
      <c r="E342" s="12">
        <v>38574.0</v>
      </c>
      <c r="F342" s="8">
        <f t="shared" si="48"/>
        <v>20.9260274</v>
      </c>
      <c r="G342" s="50">
        <v>286.0</v>
      </c>
      <c r="H342" s="9">
        <f t="shared" si="50"/>
        <v>-39</v>
      </c>
      <c r="I342" s="10" t="s">
        <v>744</v>
      </c>
    </row>
    <row r="343">
      <c r="A343" s="5">
        <v>326.0</v>
      </c>
      <c r="B343" s="35" t="s">
        <v>745</v>
      </c>
      <c r="C343" s="35" t="s">
        <v>36</v>
      </c>
      <c r="D343" s="35" t="s">
        <v>746</v>
      </c>
      <c r="E343" s="7">
        <v>33679.0</v>
      </c>
      <c r="F343" s="8">
        <f t="shared" si="48"/>
        <v>34.32658882</v>
      </c>
      <c r="G343" s="49">
        <v>337.0</v>
      </c>
      <c r="H343" s="9">
        <f t="shared" si="50"/>
        <v>11</v>
      </c>
      <c r="I343" s="10" t="s">
        <v>747</v>
      </c>
    </row>
    <row r="344">
      <c r="A344" s="5">
        <v>327.0</v>
      </c>
      <c r="B344" s="6" t="s">
        <v>748</v>
      </c>
      <c r="C344" s="6" t="s">
        <v>36</v>
      </c>
      <c r="D344" s="35" t="s">
        <v>749</v>
      </c>
      <c r="E344" s="12">
        <v>33834.0</v>
      </c>
      <c r="F344" s="8">
        <f t="shared" si="48"/>
        <v>33.90309155</v>
      </c>
      <c r="G344" s="49">
        <v>322.0</v>
      </c>
      <c r="H344" s="9">
        <f t="shared" si="50"/>
        <v>-5</v>
      </c>
      <c r="I344" s="10" t="s">
        <v>750</v>
      </c>
    </row>
    <row r="345">
      <c r="A345" s="5">
        <v>328.0</v>
      </c>
      <c r="B345" s="36" t="s">
        <v>751</v>
      </c>
      <c r="C345" s="36" t="s">
        <v>36</v>
      </c>
      <c r="D345" s="36" t="s">
        <v>158</v>
      </c>
      <c r="E345" s="48">
        <v>38603.0</v>
      </c>
      <c r="F345" s="17">
        <f t="shared" si="48"/>
        <v>20.84657534</v>
      </c>
      <c r="G345" s="18">
        <v>266.0</v>
      </c>
      <c r="H345" s="9">
        <f t="shared" si="50"/>
        <v>-62</v>
      </c>
      <c r="I345" s="47" t="s">
        <v>752</v>
      </c>
    </row>
    <row r="346">
      <c r="A346" s="5">
        <v>329.0</v>
      </c>
      <c r="B346" s="6" t="s">
        <v>753</v>
      </c>
      <c r="C346" s="6" t="s">
        <v>14</v>
      </c>
      <c r="D346" s="35" t="s">
        <v>674</v>
      </c>
      <c r="E346" s="12">
        <v>36476.0</v>
      </c>
      <c r="F346" s="8">
        <f t="shared" si="48"/>
        <v>26.66849315</v>
      </c>
      <c r="G346" s="49">
        <v>226.0</v>
      </c>
      <c r="H346" s="9">
        <f t="shared" si="50"/>
        <v>-103</v>
      </c>
      <c r="I346" s="10" t="s">
        <v>754</v>
      </c>
    </row>
    <row r="347">
      <c r="A347" s="5">
        <v>330.0</v>
      </c>
      <c r="B347" s="36" t="s">
        <v>755</v>
      </c>
      <c r="C347" s="36" t="s">
        <v>36</v>
      </c>
      <c r="D347" s="36" t="s">
        <v>49</v>
      </c>
      <c r="E347" s="48">
        <v>34018.0</v>
      </c>
      <c r="F347" s="8">
        <f t="shared" si="48"/>
        <v>33.4</v>
      </c>
      <c r="G347" s="58">
        <v>341.0</v>
      </c>
      <c r="H347" s="9">
        <f t="shared" si="50"/>
        <v>11</v>
      </c>
      <c r="I347" s="47" t="s">
        <v>756</v>
      </c>
    </row>
    <row r="348">
      <c r="A348" s="5">
        <v>331.0</v>
      </c>
      <c r="B348" s="11" t="s">
        <v>757</v>
      </c>
      <c r="C348" s="11" t="s">
        <v>21</v>
      </c>
      <c r="D348" s="11" t="s">
        <v>11</v>
      </c>
      <c r="E348" s="12">
        <v>34895.0</v>
      </c>
      <c r="F348" s="8">
        <f t="shared" si="48"/>
        <v>30.99726027</v>
      </c>
      <c r="G348" s="50">
        <v>219.0</v>
      </c>
      <c r="H348" s="9">
        <f t="shared" si="50"/>
        <v>-112</v>
      </c>
      <c r="I348" s="10" t="s">
        <v>758</v>
      </c>
    </row>
    <row r="349">
      <c r="A349" s="5">
        <v>332.0</v>
      </c>
      <c r="B349" s="6" t="s">
        <v>759</v>
      </c>
      <c r="C349" s="6" t="s">
        <v>36</v>
      </c>
      <c r="D349" s="6" t="s">
        <v>37</v>
      </c>
      <c r="E349" s="12">
        <v>37177.0</v>
      </c>
      <c r="F349" s="8">
        <f t="shared" si="48"/>
        <v>24.75068493</v>
      </c>
      <c r="G349" s="9">
        <v>355.0</v>
      </c>
      <c r="H349" s="9">
        <f t="shared" si="50"/>
        <v>23</v>
      </c>
      <c r="I349" s="10" t="s">
        <v>760</v>
      </c>
    </row>
    <row r="350">
      <c r="A350" s="5">
        <v>333.0</v>
      </c>
      <c r="B350" s="6" t="s">
        <v>761</v>
      </c>
      <c r="C350" s="6" t="s">
        <v>21</v>
      </c>
      <c r="D350" s="6" t="s">
        <v>114</v>
      </c>
      <c r="E350" s="12">
        <v>38121.0</v>
      </c>
      <c r="F350" s="8">
        <f t="shared" si="48"/>
        <v>22.16538663</v>
      </c>
      <c r="G350" s="9">
        <v>272.0</v>
      </c>
      <c r="H350" s="9">
        <f t="shared" si="50"/>
        <v>-61</v>
      </c>
      <c r="I350" s="10" t="s">
        <v>762</v>
      </c>
    </row>
    <row r="351">
      <c r="A351" s="5">
        <v>334.0</v>
      </c>
      <c r="B351" s="6" t="s">
        <v>763</v>
      </c>
      <c r="C351" s="6" t="s">
        <v>10</v>
      </c>
      <c r="D351" s="6" t="s">
        <v>40</v>
      </c>
      <c r="E351" s="12">
        <v>37708.0</v>
      </c>
      <c r="F351" s="8">
        <f t="shared" si="48"/>
        <v>23.29589041</v>
      </c>
      <c r="G351" s="49">
        <v>318.0</v>
      </c>
      <c r="H351" s="9">
        <f t="shared" si="50"/>
        <v>-16</v>
      </c>
      <c r="I351" s="10" t="s">
        <v>764</v>
      </c>
    </row>
    <row r="352">
      <c r="A352" s="5">
        <v>335.0</v>
      </c>
      <c r="B352" s="6" t="s">
        <v>765</v>
      </c>
      <c r="C352" s="6" t="s">
        <v>36</v>
      </c>
      <c r="D352" s="35" t="s">
        <v>161</v>
      </c>
      <c r="E352" s="12">
        <v>37945.0</v>
      </c>
      <c r="F352" s="8">
        <f t="shared" si="48"/>
        <v>22.64657534</v>
      </c>
      <c r="G352" s="49">
        <v>332.0</v>
      </c>
      <c r="H352" s="9">
        <f t="shared" si="50"/>
        <v>-3</v>
      </c>
      <c r="I352" s="10" t="s">
        <v>766</v>
      </c>
    </row>
    <row r="353">
      <c r="A353" s="5">
        <v>336.0</v>
      </c>
      <c r="B353" s="11" t="s">
        <v>767</v>
      </c>
      <c r="C353" s="11" t="s">
        <v>10</v>
      </c>
      <c r="D353" s="35" t="s">
        <v>98</v>
      </c>
      <c r="E353" s="12">
        <v>37266.0</v>
      </c>
      <c r="F353" s="8">
        <f t="shared" si="48"/>
        <v>24.50684932</v>
      </c>
      <c r="G353" s="50">
        <v>290.0</v>
      </c>
      <c r="H353" s="9">
        <f t="shared" si="50"/>
        <v>-46</v>
      </c>
      <c r="I353" s="10" t="s">
        <v>768</v>
      </c>
    </row>
    <row r="354">
      <c r="A354" s="5">
        <v>337.0</v>
      </c>
      <c r="B354" s="11" t="s">
        <v>769</v>
      </c>
      <c r="C354" s="11" t="s">
        <v>36</v>
      </c>
      <c r="D354" s="35" t="s">
        <v>29</v>
      </c>
      <c r="E354" s="12">
        <v>36034.0</v>
      </c>
      <c r="F354" s="8">
        <f t="shared" si="48"/>
        <v>27.87945205</v>
      </c>
      <c r="G354" s="9">
        <v>279.0</v>
      </c>
      <c r="H354" s="9">
        <f t="shared" si="50"/>
        <v>-58</v>
      </c>
      <c r="I354" s="10" t="s">
        <v>770</v>
      </c>
    </row>
    <row r="355">
      <c r="A355" s="5">
        <v>338.0</v>
      </c>
      <c r="B355" s="6" t="s">
        <v>771</v>
      </c>
      <c r="C355" s="6" t="s">
        <v>25</v>
      </c>
      <c r="D355" s="6" t="s">
        <v>11</v>
      </c>
      <c r="E355" s="12">
        <v>33754.0</v>
      </c>
      <c r="F355" s="8">
        <f t="shared" si="48"/>
        <v>34.12167078</v>
      </c>
      <c r="G355" s="50">
        <v>294.0</v>
      </c>
      <c r="H355" s="9">
        <f t="shared" si="50"/>
        <v>-44</v>
      </c>
      <c r="I355" s="10" t="s">
        <v>772</v>
      </c>
    </row>
    <row r="356">
      <c r="A356" s="5">
        <v>339.0</v>
      </c>
      <c r="B356" s="35" t="s">
        <v>773</v>
      </c>
      <c r="C356" s="35" t="s">
        <v>36</v>
      </c>
      <c r="D356" s="35" t="s">
        <v>344</v>
      </c>
      <c r="E356" s="7">
        <v>36919.0</v>
      </c>
      <c r="F356" s="8">
        <f t="shared" si="48"/>
        <v>25.45753425</v>
      </c>
      <c r="G356" s="9" t="s">
        <v>371</v>
      </c>
      <c r="H356" s="9" t="s">
        <v>371</v>
      </c>
      <c r="I356" s="10" t="s">
        <v>774</v>
      </c>
    </row>
    <row r="357">
      <c r="A357" s="27">
        <v>340.0</v>
      </c>
      <c r="B357" s="28" t="s">
        <v>775</v>
      </c>
      <c r="C357" s="28" t="s">
        <v>183</v>
      </c>
      <c r="D357" s="28" t="s">
        <v>46</v>
      </c>
      <c r="E357" s="44">
        <v>37827.0</v>
      </c>
      <c r="F357" s="31">
        <f t="shared" si="48"/>
        <v>22.96986301</v>
      </c>
      <c r="G357" s="32" t="s">
        <v>371</v>
      </c>
      <c r="H357" s="32" t="s">
        <v>371</v>
      </c>
      <c r="I357" s="56" t="s">
        <v>776</v>
      </c>
    </row>
    <row r="358">
      <c r="A358" s="5">
        <v>341.0</v>
      </c>
      <c r="B358" s="11" t="s">
        <v>777</v>
      </c>
      <c r="C358" s="11" t="s">
        <v>10</v>
      </c>
      <c r="D358" s="35" t="s">
        <v>176</v>
      </c>
      <c r="E358" s="12">
        <v>31566.0</v>
      </c>
      <c r="F358" s="8">
        <f t="shared" si="48"/>
        <v>40.11232877</v>
      </c>
      <c r="G358" s="49">
        <v>307.0</v>
      </c>
      <c r="H358" s="9">
        <f t="shared" ref="H358:H380" si="51">MINUS(G358, A358)</f>
        <v>-34</v>
      </c>
      <c r="I358" s="10" t="s">
        <v>778</v>
      </c>
    </row>
    <row r="359">
      <c r="A359" s="5">
        <v>342.0</v>
      </c>
      <c r="B359" s="6" t="s">
        <v>779</v>
      </c>
      <c r="C359" s="6" t="s">
        <v>25</v>
      </c>
      <c r="D359" s="6" t="s">
        <v>90</v>
      </c>
      <c r="E359" s="12">
        <v>36129.0</v>
      </c>
      <c r="F359" s="8">
        <f t="shared" si="48"/>
        <v>27.61917808</v>
      </c>
      <c r="G359" s="9">
        <v>367.0</v>
      </c>
      <c r="H359" s="9">
        <f t="shared" si="51"/>
        <v>25</v>
      </c>
      <c r="I359" s="53" t="s">
        <v>780</v>
      </c>
    </row>
    <row r="360">
      <c r="A360" s="5">
        <v>343.0</v>
      </c>
      <c r="B360" s="35" t="s">
        <v>781</v>
      </c>
      <c r="C360" s="6" t="s">
        <v>14</v>
      </c>
      <c r="D360" s="35" t="s">
        <v>111</v>
      </c>
      <c r="E360" s="7">
        <v>36091.0</v>
      </c>
      <c r="F360" s="8">
        <f t="shared" si="48"/>
        <v>27.72328767</v>
      </c>
      <c r="G360" s="49">
        <v>336.0</v>
      </c>
      <c r="H360" s="9">
        <f t="shared" si="51"/>
        <v>-7</v>
      </c>
      <c r="I360" s="10" t="s">
        <v>782</v>
      </c>
    </row>
    <row r="361">
      <c r="A361" s="5">
        <v>344.0</v>
      </c>
      <c r="B361" s="6" t="s">
        <v>783</v>
      </c>
      <c r="C361" s="6" t="s">
        <v>74</v>
      </c>
      <c r="D361" s="35" t="s">
        <v>784</v>
      </c>
      <c r="E361" s="12">
        <v>35292.0</v>
      </c>
      <c r="F361" s="8">
        <f t="shared" si="48"/>
        <v>29.91128827</v>
      </c>
      <c r="G361" s="49">
        <v>280.0</v>
      </c>
      <c r="H361" s="9">
        <f t="shared" si="51"/>
        <v>-64</v>
      </c>
      <c r="I361" s="10" t="s">
        <v>785</v>
      </c>
    </row>
    <row r="362">
      <c r="A362" s="5">
        <v>345.0</v>
      </c>
      <c r="B362" s="14" t="s">
        <v>786</v>
      </c>
      <c r="C362" s="14" t="s">
        <v>10</v>
      </c>
      <c r="D362" s="36" t="s">
        <v>787</v>
      </c>
      <c r="E362" s="16">
        <v>35546.0</v>
      </c>
      <c r="F362" s="17">
        <f t="shared" si="48"/>
        <v>29.21643836</v>
      </c>
      <c r="G362" s="18">
        <v>381.0</v>
      </c>
      <c r="H362" s="9">
        <f t="shared" si="51"/>
        <v>36</v>
      </c>
      <c r="I362" s="47" t="s">
        <v>788</v>
      </c>
    </row>
    <row r="363">
      <c r="A363" s="5">
        <v>346.0</v>
      </c>
      <c r="B363" s="6" t="s">
        <v>789</v>
      </c>
      <c r="C363" s="6" t="s">
        <v>10</v>
      </c>
      <c r="D363" s="35" t="s">
        <v>32</v>
      </c>
      <c r="E363" s="12">
        <v>36156.0</v>
      </c>
      <c r="F363" s="8">
        <f t="shared" si="48"/>
        <v>27.54520548</v>
      </c>
      <c r="G363" s="49">
        <v>323.0</v>
      </c>
      <c r="H363" s="9">
        <f t="shared" si="51"/>
        <v>-23</v>
      </c>
      <c r="I363" s="10" t="s">
        <v>790</v>
      </c>
    </row>
    <row r="364">
      <c r="A364" s="5">
        <v>347.0</v>
      </c>
      <c r="B364" s="6" t="s">
        <v>791</v>
      </c>
      <c r="C364" s="6" t="s">
        <v>10</v>
      </c>
      <c r="D364" s="6" t="s">
        <v>114</v>
      </c>
      <c r="E364" s="12">
        <v>36980.0</v>
      </c>
      <c r="F364" s="8">
        <f t="shared" si="48"/>
        <v>25.29041096</v>
      </c>
      <c r="G364" s="49">
        <v>324.0</v>
      </c>
      <c r="H364" s="9">
        <f t="shared" si="51"/>
        <v>-23</v>
      </c>
      <c r="I364" s="10" t="s">
        <v>792</v>
      </c>
    </row>
    <row r="365">
      <c r="A365" s="5">
        <v>348.0</v>
      </c>
      <c r="B365" s="6" t="s">
        <v>793</v>
      </c>
      <c r="C365" s="6" t="s">
        <v>36</v>
      </c>
      <c r="D365" s="6" t="s">
        <v>40</v>
      </c>
      <c r="E365" s="12">
        <v>37971.0</v>
      </c>
      <c r="F365" s="8">
        <f t="shared" si="48"/>
        <v>22.57534247</v>
      </c>
      <c r="G365" s="49">
        <v>296.0</v>
      </c>
      <c r="H365" s="9">
        <f t="shared" si="51"/>
        <v>-52</v>
      </c>
      <c r="I365" s="10" t="s">
        <v>794</v>
      </c>
    </row>
    <row r="366">
      <c r="A366" s="5">
        <v>349.0</v>
      </c>
      <c r="B366" s="6" t="s">
        <v>795</v>
      </c>
      <c r="C366" s="6" t="s">
        <v>25</v>
      </c>
      <c r="D366" s="35" t="s">
        <v>796</v>
      </c>
      <c r="E366" s="12">
        <v>34093.0</v>
      </c>
      <c r="F366" s="8">
        <f t="shared" si="48"/>
        <v>33.19452055</v>
      </c>
      <c r="G366" s="9">
        <v>373.0</v>
      </c>
      <c r="H366" s="9">
        <f t="shared" si="51"/>
        <v>24</v>
      </c>
      <c r="I366" s="10" t="s">
        <v>797</v>
      </c>
    </row>
    <row r="367">
      <c r="A367" s="5">
        <v>350.0</v>
      </c>
      <c r="B367" s="11" t="s">
        <v>798</v>
      </c>
      <c r="C367" s="11" t="s">
        <v>14</v>
      </c>
      <c r="D367" s="11" t="s">
        <v>66</v>
      </c>
      <c r="E367" s="12">
        <v>38554.0</v>
      </c>
      <c r="F367" s="8">
        <f t="shared" si="48"/>
        <v>20.98082192</v>
      </c>
      <c r="G367" s="9">
        <v>274.0</v>
      </c>
      <c r="H367" s="9">
        <f t="shared" si="51"/>
        <v>-76</v>
      </c>
      <c r="I367" s="10" t="s">
        <v>799</v>
      </c>
    </row>
    <row r="368">
      <c r="A368" s="5">
        <v>351.0</v>
      </c>
      <c r="B368" s="6" t="s">
        <v>800</v>
      </c>
      <c r="C368" s="6" t="s">
        <v>25</v>
      </c>
      <c r="D368" s="35" t="s">
        <v>801</v>
      </c>
      <c r="E368" s="12">
        <v>33462.0</v>
      </c>
      <c r="F368" s="8">
        <f t="shared" si="48"/>
        <v>34.92054795</v>
      </c>
      <c r="G368" s="49">
        <v>329.0</v>
      </c>
      <c r="H368" s="9">
        <f t="shared" si="51"/>
        <v>-22</v>
      </c>
      <c r="I368" s="10" t="s">
        <v>802</v>
      </c>
    </row>
    <row r="369">
      <c r="A369" s="5">
        <v>352.0</v>
      </c>
      <c r="B369" s="6" t="s">
        <v>803</v>
      </c>
      <c r="C369" s="6" t="s">
        <v>14</v>
      </c>
      <c r="D369" s="35" t="s">
        <v>551</v>
      </c>
      <c r="E369" s="12">
        <v>32459.0</v>
      </c>
      <c r="F369" s="8">
        <f t="shared" si="48"/>
        <v>37.66811887</v>
      </c>
      <c r="G369" s="9">
        <v>263.0</v>
      </c>
      <c r="H369" s="9">
        <f t="shared" si="51"/>
        <v>-89</v>
      </c>
      <c r="I369" s="10" t="s">
        <v>804</v>
      </c>
    </row>
    <row r="370">
      <c r="A370" s="5">
        <v>353.0</v>
      </c>
      <c r="B370" s="11" t="s">
        <v>805</v>
      </c>
      <c r="C370" s="11" t="s">
        <v>14</v>
      </c>
      <c r="D370" s="11" t="s">
        <v>69</v>
      </c>
      <c r="E370" s="12">
        <v>36582.0</v>
      </c>
      <c r="F370" s="8">
        <f t="shared" si="48"/>
        <v>26.37850138</v>
      </c>
      <c r="G370" s="49">
        <v>304.0</v>
      </c>
      <c r="H370" s="9">
        <f t="shared" si="51"/>
        <v>-49</v>
      </c>
      <c r="I370" s="55" t="s">
        <v>806</v>
      </c>
    </row>
    <row r="371">
      <c r="A371" s="5">
        <v>354.0</v>
      </c>
      <c r="B371" s="36" t="s">
        <v>807</v>
      </c>
      <c r="C371" s="36" t="s">
        <v>14</v>
      </c>
      <c r="D371" s="36" t="s">
        <v>158</v>
      </c>
      <c r="E371" s="48">
        <v>38821.0</v>
      </c>
      <c r="F371" s="17">
        <f t="shared" si="48"/>
        <v>20.24931507</v>
      </c>
      <c r="G371" s="52">
        <v>292.0</v>
      </c>
      <c r="H371" s="9">
        <f t="shared" si="51"/>
        <v>-62</v>
      </c>
      <c r="I371" s="47" t="s">
        <v>808</v>
      </c>
    </row>
    <row r="372">
      <c r="A372" s="5">
        <v>355.0</v>
      </c>
      <c r="B372" s="35" t="s">
        <v>809</v>
      </c>
      <c r="C372" s="35" t="s">
        <v>573</v>
      </c>
      <c r="D372" s="35" t="s">
        <v>810</v>
      </c>
      <c r="E372" s="7">
        <v>37161.0</v>
      </c>
      <c r="F372" s="8">
        <f t="shared" si="48"/>
        <v>24.79452055</v>
      </c>
      <c r="G372" s="49">
        <v>351.0</v>
      </c>
      <c r="H372" s="9">
        <f t="shared" si="51"/>
        <v>-4</v>
      </c>
      <c r="I372" s="10" t="s">
        <v>811</v>
      </c>
    </row>
    <row r="373">
      <c r="A373" s="5">
        <v>356.0</v>
      </c>
      <c r="B373" s="6" t="s">
        <v>812</v>
      </c>
      <c r="C373" s="6" t="s">
        <v>36</v>
      </c>
      <c r="D373" s="6" t="s">
        <v>46</v>
      </c>
      <c r="E373" s="12">
        <v>38329.0</v>
      </c>
      <c r="F373" s="8">
        <f t="shared" si="48"/>
        <v>21.59708062</v>
      </c>
      <c r="G373" s="49">
        <v>344.0</v>
      </c>
      <c r="H373" s="9">
        <f t="shared" si="51"/>
        <v>-12</v>
      </c>
      <c r="I373" s="10" t="s">
        <v>813</v>
      </c>
    </row>
    <row r="374">
      <c r="A374" s="5">
        <v>357.0</v>
      </c>
      <c r="B374" s="6" t="s">
        <v>814</v>
      </c>
      <c r="C374" s="6" t="s">
        <v>36</v>
      </c>
      <c r="D374" s="6" t="s">
        <v>22</v>
      </c>
      <c r="E374" s="12">
        <v>37364.0</v>
      </c>
      <c r="F374" s="8">
        <f t="shared" si="48"/>
        <v>24.23835616</v>
      </c>
      <c r="G374" s="49">
        <v>314.0</v>
      </c>
      <c r="H374" s="9">
        <f t="shared" si="51"/>
        <v>-43</v>
      </c>
      <c r="I374" s="10" t="s">
        <v>815</v>
      </c>
    </row>
    <row r="375">
      <c r="A375" s="5">
        <v>358.0</v>
      </c>
      <c r="B375" s="6" t="s">
        <v>816</v>
      </c>
      <c r="C375" s="6" t="s">
        <v>10</v>
      </c>
      <c r="D375" s="35" t="s">
        <v>167</v>
      </c>
      <c r="E375" s="12">
        <v>36422.0</v>
      </c>
      <c r="F375" s="8">
        <f t="shared" si="48"/>
        <v>26.81643836</v>
      </c>
      <c r="G375" s="9">
        <v>402.0</v>
      </c>
      <c r="H375" s="9">
        <f t="shared" si="51"/>
        <v>44</v>
      </c>
      <c r="I375" s="10" t="s">
        <v>817</v>
      </c>
    </row>
    <row r="376">
      <c r="A376" s="5">
        <v>359.0</v>
      </c>
      <c r="B376" s="36" t="s">
        <v>818</v>
      </c>
      <c r="C376" s="15" t="s">
        <v>14</v>
      </c>
      <c r="D376" s="36" t="s">
        <v>69</v>
      </c>
      <c r="E376" s="48">
        <v>38078.0</v>
      </c>
      <c r="F376" s="17">
        <f t="shared" si="48"/>
        <v>22.28287297</v>
      </c>
      <c r="G376" s="58">
        <v>326.0</v>
      </c>
      <c r="H376" s="9">
        <f t="shared" si="51"/>
        <v>-33</v>
      </c>
      <c r="I376" s="47" t="s">
        <v>819</v>
      </c>
    </row>
    <row r="377">
      <c r="A377" s="5">
        <v>360.0</v>
      </c>
      <c r="B377" s="6" t="s">
        <v>820</v>
      </c>
      <c r="C377" s="6" t="s">
        <v>36</v>
      </c>
      <c r="D377" s="35" t="s">
        <v>821</v>
      </c>
      <c r="E377" s="12">
        <v>34571.0</v>
      </c>
      <c r="F377" s="8">
        <f t="shared" si="48"/>
        <v>31.88493151</v>
      </c>
      <c r="G377" s="49">
        <v>330.0</v>
      </c>
      <c r="H377" s="9">
        <f t="shared" si="51"/>
        <v>-30</v>
      </c>
      <c r="I377" s="10" t="s">
        <v>822</v>
      </c>
    </row>
    <row r="378">
      <c r="A378" s="5">
        <v>361.0</v>
      </c>
      <c r="B378" s="6" t="s">
        <v>823</v>
      </c>
      <c r="C378" s="6" t="s">
        <v>25</v>
      </c>
      <c r="D378" s="6" t="s">
        <v>128</v>
      </c>
      <c r="E378" s="12">
        <v>35042.0</v>
      </c>
      <c r="F378" s="8">
        <f t="shared" si="48"/>
        <v>30.59452055</v>
      </c>
      <c r="G378" s="49">
        <v>342.0</v>
      </c>
      <c r="H378" s="9">
        <f t="shared" si="51"/>
        <v>-19</v>
      </c>
      <c r="I378" s="10" t="s">
        <v>824</v>
      </c>
    </row>
    <row r="379">
      <c r="A379" s="5">
        <v>362.0</v>
      </c>
      <c r="B379" s="6" t="s">
        <v>825</v>
      </c>
      <c r="C379" s="6" t="s">
        <v>25</v>
      </c>
      <c r="D379" s="6" t="s">
        <v>22</v>
      </c>
      <c r="E379" s="12">
        <v>37056.0</v>
      </c>
      <c r="F379" s="8">
        <f t="shared" si="48"/>
        <v>25.08219178</v>
      </c>
      <c r="G379" s="49">
        <v>311.0</v>
      </c>
      <c r="H379" s="9">
        <f t="shared" si="51"/>
        <v>-51</v>
      </c>
      <c r="I379" s="10" t="s">
        <v>826</v>
      </c>
    </row>
    <row r="380">
      <c r="A380" s="5">
        <v>363.0</v>
      </c>
      <c r="B380" s="35" t="s">
        <v>827</v>
      </c>
      <c r="C380" s="35" t="s">
        <v>14</v>
      </c>
      <c r="D380" s="35" t="s">
        <v>37</v>
      </c>
      <c r="E380" s="12">
        <v>36783.0</v>
      </c>
      <c r="F380" s="8">
        <f t="shared" si="48"/>
        <v>25.82932106</v>
      </c>
      <c r="G380" s="49">
        <v>285.0</v>
      </c>
      <c r="H380" s="9">
        <f t="shared" si="51"/>
        <v>-78</v>
      </c>
      <c r="I380" s="10" t="s">
        <v>828</v>
      </c>
    </row>
    <row r="381">
      <c r="A381" s="5">
        <v>364.0</v>
      </c>
      <c r="B381" s="63" t="s">
        <v>829</v>
      </c>
      <c r="C381" s="63" t="s">
        <v>573</v>
      </c>
      <c r="D381" s="63" t="s">
        <v>106</v>
      </c>
      <c r="E381" s="64">
        <v>35502.0</v>
      </c>
      <c r="F381" s="8">
        <f t="shared" si="48"/>
        <v>29.3369863</v>
      </c>
      <c r="G381" s="65" t="s">
        <v>371</v>
      </c>
      <c r="H381" s="9" t="s">
        <v>371</v>
      </c>
      <c r="I381" s="66" t="s">
        <v>830</v>
      </c>
    </row>
    <row r="382">
      <c r="A382" s="5">
        <v>365.0</v>
      </c>
      <c r="B382" s="6" t="s">
        <v>831</v>
      </c>
      <c r="C382" s="6" t="s">
        <v>25</v>
      </c>
      <c r="D382" s="6" t="s">
        <v>87</v>
      </c>
      <c r="E382" s="12">
        <v>37129.0</v>
      </c>
      <c r="F382" s="8">
        <f t="shared" si="48"/>
        <v>24.88219178</v>
      </c>
      <c r="G382" s="9">
        <v>361.0</v>
      </c>
      <c r="H382" s="9">
        <f t="shared" ref="H382:H398" si="52">MINUS(G382, A382)</f>
        <v>-4</v>
      </c>
      <c r="I382" s="10" t="s">
        <v>832</v>
      </c>
    </row>
    <row r="383">
      <c r="A383" s="5">
        <v>366.0</v>
      </c>
      <c r="B383" s="15" t="s">
        <v>833</v>
      </c>
      <c r="C383" s="15" t="s">
        <v>14</v>
      </c>
      <c r="D383" s="36" t="s">
        <v>834</v>
      </c>
      <c r="E383" s="16">
        <v>36790.0</v>
      </c>
      <c r="F383" s="17">
        <f t="shared" si="48"/>
        <v>25.81019537</v>
      </c>
      <c r="G383" s="18">
        <v>427.0</v>
      </c>
      <c r="H383" s="9">
        <f t="shared" si="52"/>
        <v>61</v>
      </c>
      <c r="I383" s="47" t="s">
        <v>835</v>
      </c>
    </row>
    <row r="384">
      <c r="A384" s="5">
        <v>367.0</v>
      </c>
      <c r="B384" s="6" t="s">
        <v>836</v>
      </c>
      <c r="C384" s="6" t="s">
        <v>36</v>
      </c>
      <c r="D384" s="6" t="s">
        <v>87</v>
      </c>
      <c r="E384" s="12">
        <v>36917.0</v>
      </c>
      <c r="F384" s="8">
        <f t="shared" si="48"/>
        <v>25.4630137</v>
      </c>
      <c r="G384" s="49">
        <v>346.0</v>
      </c>
      <c r="H384" s="9">
        <f t="shared" si="52"/>
        <v>-21</v>
      </c>
      <c r="I384" s="10" t="s">
        <v>837</v>
      </c>
    </row>
    <row r="385">
      <c r="A385" s="5">
        <v>368.0</v>
      </c>
      <c r="B385" s="36" t="s">
        <v>838</v>
      </c>
      <c r="C385" s="14" t="s">
        <v>36</v>
      </c>
      <c r="D385" s="36" t="s">
        <v>90</v>
      </c>
      <c r="E385" s="48">
        <v>37594.0</v>
      </c>
      <c r="F385" s="17">
        <f t="shared" si="48"/>
        <v>23.60821918</v>
      </c>
      <c r="G385" s="58">
        <v>343.0</v>
      </c>
      <c r="H385" s="9">
        <f t="shared" si="52"/>
        <v>-25</v>
      </c>
      <c r="I385" s="47" t="s">
        <v>839</v>
      </c>
    </row>
    <row r="386">
      <c r="A386" s="5">
        <v>369.0</v>
      </c>
      <c r="B386" s="6" t="s">
        <v>840</v>
      </c>
      <c r="C386" s="6" t="s">
        <v>21</v>
      </c>
      <c r="D386" s="35" t="s">
        <v>841</v>
      </c>
      <c r="E386" s="12">
        <v>34191.0</v>
      </c>
      <c r="F386" s="8">
        <f t="shared" si="48"/>
        <v>32.9260274</v>
      </c>
      <c r="G386" s="49">
        <v>325.0</v>
      </c>
      <c r="H386" s="9">
        <f t="shared" si="52"/>
        <v>-44</v>
      </c>
      <c r="I386" s="10" t="s">
        <v>842</v>
      </c>
    </row>
    <row r="387">
      <c r="A387" s="5">
        <v>370.0</v>
      </c>
      <c r="B387" s="11" t="s">
        <v>843</v>
      </c>
      <c r="C387" s="11" t="s">
        <v>14</v>
      </c>
      <c r="D387" s="35" t="s">
        <v>844</v>
      </c>
      <c r="E387" s="12">
        <v>33939.0</v>
      </c>
      <c r="F387" s="8">
        <f t="shared" si="48"/>
        <v>33.6162063</v>
      </c>
      <c r="G387" s="9">
        <v>386.0</v>
      </c>
      <c r="H387" s="9">
        <f t="shared" si="52"/>
        <v>16</v>
      </c>
      <c r="I387" s="55" t="s">
        <v>845</v>
      </c>
    </row>
    <row r="388">
      <c r="A388" s="5">
        <v>371.0</v>
      </c>
      <c r="B388" s="35" t="s">
        <v>846</v>
      </c>
      <c r="C388" s="35" t="s">
        <v>36</v>
      </c>
      <c r="D388" s="35" t="s">
        <v>82</v>
      </c>
      <c r="E388" s="7">
        <v>36239.0</v>
      </c>
      <c r="F388" s="8">
        <f t="shared" si="48"/>
        <v>27.31780822</v>
      </c>
      <c r="G388" s="9">
        <v>416.0</v>
      </c>
      <c r="H388" s="9">
        <f t="shared" si="52"/>
        <v>45</v>
      </c>
      <c r="I388" s="10" t="s">
        <v>847</v>
      </c>
    </row>
    <row r="389">
      <c r="A389" s="5">
        <v>372.0</v>
      </c>
      <c r="B389" s="6" t="s">
        <v>848</v>
      </c>
      <c r="C389" s="6" t="s">
        <v>21</v>
      </c>
      <c r="D389" s="35" t="s">
        <v>784</v>
      </c>
      <c r="E389" s="12">
        <v>33730.0</v>
      </c>
      <c r="F389" s="8">
        <f t="shared" si="48"/>
        <v>34.18724455</v>
      </c>
      <c r="G389" s="49">
        <v>320.0</v>
      </c>
      <c r="H389" s="9">
        <f t="shared" si="52"/>
        <v>-52</v>
      </c>
      <c r="I389" s="10" t="s">
        <v>849</v>
      </c>
    </row>
    <row r="390">
      <c r="A390" s="5">
        <v>373.0</v>
      </c>
      <c r="B390" s="35" t="s">
        <v>850</v>
      </c>
      <c r="C390" s="35" t="s">
        <v>36</v>
      </c>
      <c r="D390" s="35" t="s">
        <v>114</v>
      </c>
      <c r="E390" s="7">
        <v>37375.0</v>
      </c>
      <c r="F390" s="8">
        <f t="shared" si="48"/>
        <v>24.20821918</v>
      </c>
      <c r="G390" s="9">
        <v>366.0</v>
      </c>
      <c r="H390" s="9">
        <f t="shared" si="52"/>
        <v>-7</v>
      </c>
      <c r="I390" s="10" t="s">
        <v>851</v>
      </c>
    </row>
    <row r="391">
      <c r="A391" s="5">
        <v>374.0</v>
      </c>
      <c r="B391" s="11" t="s">
        <v>852</v>
      </c>
      <c r="C391" s="11" t="s">
        <v>10</v>
      </c>
      <c r="D391" s="35" t="s">
        <v>853</v>
      </c>
      <c r="E391" s="12">
        <v>35101.0</v>
      </c>
      <c r="F391" s="8">
        <f t="shared" si="48"/>
        <v>30.43314619</v>
      </c>
      <c r="G391" s="9">
        <v>404.0</v>
      </c>
      <c r="H391" s="9">
        <f t="shared" si="52"/>
        <v>30</v>
      </c>
      <c r="I391" s="10" t="s">
        <v>854</v>
      </c>
    </row>
    <row r="392">
      <c r="A392" s="5">
        <v>375.0</v>
      </c>
      <c r="B392" s="35" t="s">
        <v>855</v>
      </c>
      <c r="C392" s="6" t="s">
        <v>14</v>
      </c>
      <c r="D392" s="35" t="s">
        <v>111</v>
      </c>
      <c r="E392" s="7">
        <v>36338.0</v>
      </c>
      <c r="F392" s="8">
        <f t="shared" si="48"/>
        <v>27.04657534</v>
      </c>
      <c r="G392" s="49">
        <v>312.0</v>
      </c>
      <c r="H392" s="9">
        <f t="shared" si="52"/>
        <v>-63</v>
      </c>
      <c r="I392" s="10" t="s">
        <v>856</v>
      </c>
    </row>
    <row r="393">
      <c r="A393" s="5">
        <v>376.0</v>
      </c>
      <c r="B393" s="36" t="s">
        <v>857</v>
      </c>
      <c r="C393" s="36" t="s">
        <v>25</v>
      </c>
      <c r="D393" s="36" t="s">
        <v>128</v>
      </c>
      <c r="E393" s="48">
        <v>37032.0</v>
      </c>
      <c r="F393" s="17">
        <f t="shared" si="48"/>
        <v>25.14794521</v>
      </c>
      <c r="G393" s="18">
        <v>428.0</v>
      </c>
      <c r="H393" s="9">
        <f t="shared" si="52"/>
        <v>52</v>
      </c>
      <c r="I393" s="47" t="s">
        <v>858</v>
      </c>
    </row>
    <row r="394">
      <c r="A394" s="5">
        <v>377.0</v>
      </c>
      <c r="B394" s="6" t="s">
        <v>859</v>
      </c>
      <c r="C394" s="6" t="s">
        <v>10</v>
      </c>
      <c r="D394" s="6" t="s">
        <v>43</v>
      </c>
      <c r="E394" s="12">
        <v>37569.0</v>
      </c>
      <c r="F394" s="8">
        <f t="shared" si="48"/>
        <v>23.67671233</v>
      </c>
      <c r="G394" s="49">
        <v>300.0</v>
      </c>
      <c r="H394" s="9">
        <f t="shared" si="52"/>
        <v>-77</v>
      </c>
      <c r="I394" s="10" t="s">
        <v>860</v>
      </c>
    </row>
    <row r="395">
      <c r="A395" s="5">
        <v>378.0</v>
      </c>
      <c r="B395" s="6" t="s">
        <v>861</v>
      </c>
      <c r="C395" s="6" t="s">
        <v>36</v>
      </c>
      <c r="D395" s="35" t="s">
        <v>103</v>
      </c>
      <c r="E395" s="12">
        <v>36846.0</v>
      </c>
      <c r="F395" s="8">
        <f t="shared" si="48"/>
        <v>25.65718991</v>
      </c>
      <c r="G395" s="9">
        <v>384.0</v>
      </c>
      <c r="H395" s="9">
        <f t="shared" si="52"/>
        <v>6</v>
      </c>
      <c r="I395" s="10" t="s">
        <v>862</v>
      </c>
    </row>
    <row r="396">
      <c r="A396" s="5">
        <v>379.0</v>
      </c>
      <c r="B396" s="6" t="s">
        <v>863</v>
      </c>
      <c r="C396" s="6" t="s">
        <v>25</v>
      </c>
      <c r="D396" s="35" t="s">
        <v>864</v>
      </c>
      <c r="E396" s="12">
        <v>37761.0</v>
      </c>
      <c r="F396" s="8">
        <f t="shared" si="48"/>
        <v>23.15068493</v>
      </c>
      <c r="G396" s="49">
        <v>256.0</v>
      </c>
      <c r="H396" s="9">
        <f t="shared" si="52"/>
        <v>-123</v>
      </c>
      <c r="I396" s="10" t="s">
        <v>865</v>
      </c>
    </row>
    <row r="397">
      <c r="A397" s="5">
        <v>380.0</v>
      </c>
      <c r="B397" s="6" t="s">
        <v>866</v>
      </c>
      <c r="C397" s="6" t="s">
        <v>14</v>
      </c>
      <c r="D397" s="6" t="s">
        <v>106</v>
      </c>
      <c r="E397" s="12">
        <v>36977.0</v>
      </c>
      <c r="F397" s="8">
        <f t="shared" si="48"/>
        <v>25.29863014</v>
      </c>
      <c r="G397" s="49">
        <v>321.0</v>
      </c>
      <c r="H397" s="9">
        <f t="shared" si="52"/>
        <v>-59</v>
      </c>
      <c r="I397" s="10" t="s">
        <v>867</v>
      </c>
    </row>
    <row r="398">
      <c r="A398" s="5">
        <v>381.0</v>
      </c>
      <c r="B398" s="6" t="s">
        <v>868</v>
      </c>
      <c r="C398" s="6" t="s">
        <v>869</v>
      </c>
      <c r="D398" s="6" t="s">
        <v>18</v>
      </c>
      <c r="E398" s="12">
        <v>36253.0</v>
      </c>
      <c r="F398" s="8">
        <f t="shared" si="48"/>
        <v>27.27945205</v>
      </c>
      <c r="G398" s="9">
        <v>388.0</v>
      </c>
      <c r="H398" s="9">
        <f t="shared" si="52"/>
        <v>7</v>
      </c>
      <c r="I398" s="10" t="s">
        <v>870</v>
      </c>
    </row>
    <row r="399">
      <c r="A399" s="5">
        <v>382.0</v>
      </c>
      <c r="B399" s="35" t="s">
        <v>871</v>
      </c>
      <c r="C399" s="35" t="s">
        <v>36</v>
      </c>
      <c r="D399" s="35" t="s">
        <v>167</v>
      </c>
      <c r="E399" s="7">
        <v>36036.0</v>
      </c>
      <c r="F399" s="8">
        <f t="shared" si="48"/>
        <v>27.8739726</v>
      </c>
      <c r="G399" s="9" t="s">
        <v>371</v>
      </c>
      <c r="H399" s="9" t="s">
        <v>371</v>
      </c>
      <c r="I399" s="10" t="s">
        <v>872</v>
      </c>
    </row>
    <row r="400">
      <c r="A400" s="5">
        <v>383.0</v>
      </c>
      <c r="B400" s="6" t="s">
        <v>873</v>
      </c>
      <c r="C400" s="6" t="s">
        <v>36</v>
      </c>
      <c r="D400" s="35" t="s">
        <v>874</v>
      </c>
      <c r="E400" s="12">
        <v>35493.0</v>
      </c>
      <c r="F400" s="8">
        <f t="shared" si="48"/>
        <v>29.36164384</v>
      </c>
      <c r="G400" s="9">
        <v>358.0</v>
      </c>
      <c r="H400" s="9">
        <f t="shared" ref="H400:H410" si="53">MINUS(G400, A400)</f>
        <v>-25</v>
      </c>
      <c r="I400" s="10" t="s">
        <v>875</v>
      </c>
    </row>
    <row r="401">
      <c r="A401" s="5">
        <v>384.0</v>
      </c>
      <c r="B401" s="67" t="s">
        <v>876</v>
      </c>
      <c r="C401" s="62" t="s">
        <v>21</v>
      </c>
      <c r="D401" s="62" t="s">
        <v>877</v>
      </c>
      <c r="E401" s="12">
        <v>36669.0</v>
      </c>
      <c r="F401" s="8">
        <f t="shared" si="48"/>
        <v>26.14079647</v>
      </c>
      <c r="G401" s="9">
        <v>370.0</v>
      </c>
      <c r="H401" s="9">
        <f t="shared" si="53"/>
        <v>-14</v>
      </c>
      <c r="I401" s="10" t="s">
        <v>878</v>
      </c>
    </row>
    <row r="402">
      <c r="A402" s="5">
        <v>385.0</v>
      </c>
      <c r="B402" s="36" t="s">
        <v>879</v>
      </c>
      <c r="C402" s="36" t="s">
        <v>10</v>
      </c>
      <c r="D402" s="36" t="s">
        <v>40</v>
      </c>
      <c r="E402" s="48">
        <v>37456.0</v>
      </c>
      <c r="F402" s="17">
        <f t="shared" si="48"/>
        <v>23.98630137</v>
      </c>
      <c r="G402" s="58">
        <v>335.0</v>
      </c>
      <c r="H402" s="9">
        <f t="shared" si="53"/>
        <v>-50</v>
      </c>
      <c r="I402" s="47" t="s">
        <v>880</v>
      </c>
    </row>
    <row r="403">
      <c r="A403" s="5">
        <v>386.0</v>
      </c>
      <c r="B403" s="6" t="s">
        <v>881</v>
      </c>
      <c r="C403" s="6" t="s">
        <v>36</v>
      </c>
      <c r="D403" s="35" t="s">
        <v>882</v>
      </c>
      <c r="E403" s="12">
        <v>36178.0</v>
      </c>
      <c r="F403" s="8">
        <f t="shared" si="48"/>
        <v>27.48493151</v>
      </c>
      <c r="G403" s="9">
        <v>354.0</v>
      </c>
      <c r="H403" s="9">
        <f t="shared" si="53"/>
        <v>-32</v>
      </c>
      <c r="I403" s="10" t="s">
        <v>883</v>
      </c>
    </row>
    <row r="404">
      <c r="A404" s="5">
        <v>387.0</v>
      </c>
      <c r="B404" s="11" t="s">
        <v>884</v>
      </c>
      <c r="C404" s="11" t="s">
        <v>25</v>
      </c>
      <c r="D404" s="35" t="s">
        <v>885</v>
      </c>
      <c r="E404" s="12">
        <v>34415.0</v>
      </c>
      <c r="F404" s="8">
        <f t="shared" si="48"/>
        <v>32.31232877</v>
      </c>
      <c r="G404" s="9">
        <v>406.0</v>
      </c>
      <c r="H404" s="9">
        <f t="shared" si="53"/>
        <v>19</v>
      </c>
      <c r="I404" s="10" t="s">
        <v>886</v>
      </c>
    </row>
    <row r="405">
      <c r="A405" s="5">
        <v>388.0</v>
      </c>
      <c r="B405" s="11" t="s">
        <v>887</v>
      </c>
      <c r="C405" s="11" t="s">
        <v>10</v>
      </c>
      <c r="D405" s="35" t="s">
        <v>841</v>
      </c>
      <c r="E405" s="12">
        <v>36839.0</v>
      </c>
      <c r="F405" s="8">
        <f t="shared" si="48"/>
        <v>25.67631559</v>
      </c>
      <c r="G405" s="9">
        <v>352.0</v>
      </c>
      <c r="H405" s="9">
        <f t="shared" si="53"/>
        <v>-36</v>
      </c>
      <c r="I405" s="10" t="s">
        <v>888</v>
      </c>
    </row>
    <row r="406">
      <c r="A406" s="5">
        <v>389.0</v>
      </c>
      <c r="B406" s="6" t="s">
        <v>889</v>
      </c>
      <c r="C406" s="6" t="s">
        <v>36</v>
      </c>
      <c r="D406" s="35" t="s">
        <v>890</v>
      </c>
      <c r="E406" s="12">
        <v>38138.0</v>
      </c>
      <c r="F406" s="8">
        <f t="shared" si="48"/>
        <v>22.11893854</v>
      </c>
      <c r="G406" s="9">
        <v>399.0</v>
      </c>
      <c r="H406" s="9">
        <f t="shared" si="53"/>
        <v>10</v>
      </c>
      <c r="I406" s="10" t="s">
        <v>891</v>
      </c>
    </row>
    <row r="407">
      <c r="A407" s="5">
        <v>390.0</v>
      </c>
      <c r="B407" s="6" t="s">
        <v>892</v>
      </c>
      <c r="C407" s="6" t="s">
        <v>10</v>
      </c>
      <c r="D407" s="6" t="s">
        <v>66</v>
      </c>
      <c r="E407" s="12">
        <v>37691.0</v>
      </c>
      <c r="F407" s="8">
        <f t="shared" si="48"/>
        <v>23.34246575</v>
      </c>
      <c r="G407" s="49">
        <v>302.0</v>
      </c>
      <c r="H407" s="9">
        <f t="shared" si="53"/>
        <v>-88</v>
      </c>
      <c r="I407" s="10" t="s">
        <v>893</v>
      </c>
    </row>
    <row r="408">
      <c r="A408" s="5">
        <v>391.0</v>
      </c>
      <c r="B408" s="6" t="s">
        <v>894</v>
      </c>
      <c r="C408" s="6" t="s">
        <v>36</v>
      </c>
      <c r="D408" s="6" t="s">
        <v>158</v>
      </c>
      <c r="E408" s="12">
        <v>35356.0</v>
      </c>
      <c r="F408" s="8">
        <f t="shared" si="48"/>
        <v>29.73642488</v>
      </c>
      <c r="G408" s="49">
        <v>328.0</v>
      </c>
      <c r="H408" s="9">
        <f t="shared" si="53"/>
        <v>-63</v>
      </c>
      <c r="I408" s="10" t="s">
        <v>895</v>
      </c>
    </row>
    <row r="409">
      <c r="A409" s="5">
        <v>392.0</v>
      </c>
      <c r="B409" s="36" t="s">
        <v>896</v>
      </c>
      <c r="C409" s="36" t="s">
        <v>14</v>
      </c>
      <c r="D409" s="36" t="s">
        <v>897</v>
      </c>
      <c r="E409" s="48">
        <v>37312.0</v>
      </c>
      <c r="F409" s="17">
        <f t="shared" si="48"/>
        <v>24.38082192</v>
      </c>
      <c r="G409" s="58">
        <v>295.0</v>
      </c>
      <c r="H409" s="9">
        <f t="shared" si="53"/>
        <v>-97</v>
      </c>
      <c r="I409" s="47" t="s">
        <v>898</v>
      </c>
    </row>
    <row r="410">
      <c r="A410" s="5">
        <v>393.0</v>
      </c>
      <c r="B410" s="36" t="s">
        <v>899</v>
      </c>
      <c r="C410" s="36" t="s">
        <v>573</v>
      </c>
      <c r="D410" s="15" t="s">
        <v>52</v>
      </c>
      <c r="E410" s="48">
        <v>37251.0</v>
      </c>
      <c r="F410" s="36">
        <v>23.8</v>
      </c>
      <c r="G410" s="18">
        <v>395.0</v>
      </c>
      <c r="H410" s="9">
        <f t="shared" si="53"/>
        <v>2</v>
      </c>
      <c r="I410" s="47" t="s">
        <v>900</v>
      </c>
    </row>
    <row r="411">
      <c r="A411" s="5">
        <v>394.0</v>
      </c>
      <c r="B411" s="35" t="s">
        <v>901</v>
      </c>
      <c r="C411" s="35" t="s">
        <v>21</v>
      </c>
      <c r="D411" s="35" t="s">
        <v>176</v>
      </c>
      <c r="E411" s="7">
        <v>36827.0</v>
      </c>
      <c r="F411" s="8">
        <f t="shared" ref="F411:F412" si="54">YEARFRAC(E411, TODAY(),1)</f>
        <v>25.70910248</v>
      </c>
      <c r="G411" s="9" t="s">
        <v>371</v>
      </c>
      <c r="H411" s="9" t="s">
        <v>371</v>
      </c>
      <c r="I411" s="10" t="s">
        <v>902</v>
      </c>
    </row>
    <row r="412">
      <c r="A412" s="5">
        <v>395.0</v>
      </c>
      <c r="B412" s="6" t="s">
        <v>903</v>
      </c>
      <c r="C412" s="6" t="s">
        <v>267</v>
      </c>
      <c r="D412" s="6" t="s">
        <v>69</v>
      </c>
      <c r="E412" s="12">
        <v>36870.0</v>
      </c>
      <c r="F412" s="17">
        <f t="shared" si="54"/>
        <v>25.59161614</v>
      </c>
      <c r="G412" s="9">
        <v>375.0</v>
      </c>
      <c r="H412" s="9">
        <f t="shared" ref="H412:H415" si="55">MINUS(G412, A412)</f>
        <v>-20</v>
      </c>
      <c r="I412" s="10" t="s">
        <v>904</v>
      </c>
    </row>
    <row r="413">
      <c r="A413" s="5">
        <v>396.0</v>
      </c>
      <c r="B413" s="36" t="s">
        <v>905</v>
      </c>
      <c r="C413" s="36" t="s">
        <v>36</v>
      </c>
      <c r="D413" s="36" t="s">
        <v>114</v>
      </c>
      <c r="E413" s="48">
        <v>37088.0</v>
      </c>
      <c r="F413" s="36">
        <v>24.8</v>
      </c>
      <c r="G413" s="18">
        <v>394.0</v>
      </c>
      <c r="H413" s="9">
        <f t="shared" si="55"/>
        <v>-2</v>
      </c>
      <c r="I413" s="47" t="s">
        <v>906</v>
      </c>
    </row>
    <row r="414">
      <c r="A414" s="5">
        <v>397.0</v>
      </c>
      <c r="B414" s="35" t="s">
        <v>907</v>
      </c>
      <c r="C414" s="35" t="s">
        <v>573</v>
      </c>
      <c r="D414" s="35" t="s">
        <v>128</v>
      </c>
      <c r="E414" s="7">
        <v>35794.0</v>
      </c>
      <c r="F414" s="8">
        <f t="shared" ref="F414:F415" si="56">YEARFRAC(E414, TODAY(),1)</f>
        <v>28.5369863</v>
      </c>
      <c r="G414" s="9">
        <v>434.0</v>
      </c>
      <c r="H414" s="9">
        <f t="shared" si="55"/>
        <v>37</v>
      </c>
      <c r="I414" s="10" t="s">
        <v>908</v>
      </c>
    </row>
    <row r="415">
      <c r="A415" s="5">
        <v>398.0</v>
      </c>
      <c r="B415" s="6" t="s">
        <v>909</v>
      </c>
      <c r="C415" s="6" t="s">
        <v>36</v>
      </c>
      <c r="D415" s="6" t="s">
        <v>26</v>
      </c>
      <c r="E415" s="12">
        <v>32912.0</v>
      </c>
      <c r="F415" s="17">
        <f t="shared" si="56"/>
        <v>36.42739726</v>
      </c>
      <c r="G415" s="49">
        <v>350.0</v>
      </c>
      <c r="H415" s="9">
        <f t="shared" si="55"/>
        <v>-48</v>
      </c>
      <c r="I415" s="10" t="s">
        <v>910</v>
      </c>
    </row>
    <row r="416">
      <c r="A416" s="5">
        <v>399.0</v>
      </c>
      <c r="B416" s="36" t="s">
        <v>911</v>
      </c>
      <c r="C416" s="36" t="s">
        <v>36</v>
      </c>
      <c r="D416" s="36" t="s">
        <v>912</v>
      </c>
      <c r="E416" s="48">
        <v>36039.0</v>
      </c>
      <c r="F416" s="36">
        <v>24.8</v>
      </c>
      <c r="G416" s="18" t="s">
        <v>371</v>
      </c>
      <c r="H416" s="9" t="s">
        <v>371</v>
      </c>
      <c r="I416" s="47" t="s">
        <v>913</v>
      </c>
    </row>
    <row r="417">
      <c r="A417" s="5">
        <v>400.0</v>
      </c>
      <c r="B417" s="14" t="s">
        <v>914</v>
      </c>
      <c r="C417" s="14" t="s">
        <v>36</v>
      </c>
      <c r="D417" s="36" t="s">
        <v>915</v>
      </c>
      <c r="E417" s="16">
        <v>36636.0</v>
      </c>
      <c r="F417" s="8">
        <f t="shared" ref="F417:F421" si="57">YEARFRAC(E417, TODAY(),1)</f>
        <v>26.2309604</v>
      </c>
      <c r="G417" s="18">
        <v>371.0</v>
      </c>
      <c r="H417" s="9">
        <f t="shared" ref="H417:H467" si="58">MINUS(G417, A417)</f>
        <v>-29</v>
      </c>
      <c r="I417" s="47" t="s">
        <v>916</v>
      </c>
    </row>
    <row r="418">
      <c r="A418" s="5">
        <v>401.0</v>
      </c>
      <c r="B418" s="6" t="s">
        <v>917</v>
      </c>
      <c r="C418" s="6" t="s">
        <v>36</v>
      </c>
      <c r="D418" s="35" t="s">
        <v>43</v>
      </c>
      <c r="E418" s="12">
        <v>33955.0</v>
      </c>
      <c r="F418" s="17">
        <f t="shared" si="57"/>
        <v>33.57249046</v>
      </c>
      <c r="G418" s="9">
        <v>376.0</v>
      </c>
      <c r="H418" s="9">
        <f t="shared" si="58"/>
        <v>-25</v>
      </c>
      <c r="I418" s="10" t="s">
        <v>918</v>
      </c>
    </row>
    <row r="419">
      <c r="A419" s="5">
        <v>402.0</v>
      </c>
      <c r="B419" s="6" t="s">
        <v>919</v>
      </c>
      <c r="C419" s="6" t="s">
        <v>14</v>
      </c>
      <c r="D419" s="6" t="s">
        <v>55</v>
      </c>
      <c r="E419" s="12">
        <v>35338.0</v>
      </c>
      <c r="F419" s="8">
        <f t="shared" si="57"/>
        <v>29.78560521</v>
      </c>
      <c r="G419" s="9">
        <v>415.0</v>
      </c>
      <c r="H419" s="9">
        <f t="shared" si="58"/>
        <v>13</v>
      </c>
      <c r="I419" s="10" t="s">
        <v>920</v>
      </c>
    </row>
    <row r="420">
      <c r="A420" s="5">
        <v>403.0</v>
      </c>
      <c r="B420" s="6" t="s">
        <v>921</v>
      </c>
      <c r="C420" s="6" t="s">
        <v>21</v>
      </c>
      <c r="D420" s="6" t="s">
        <v>213</v>
      </c>
      <c r="E420" s="12">
        <v>36088.0</v>
      </c>
      <c r="F420" s="8">
        <f t="shared" si="57"/>
        <v>27.73150685</v>
      </c>
      <c r="G420" s="9">
        <v>405.0</v>
      </c>
      <c r="H420" s="9">
        <f t="shared" si="58"/>
        <v>2</v>
      </c>
      <c r="I420" s="10" t="s">
        <v>922</v>
      </c>
    </row>
    <row r="421">
      <c r="A421" s="5">
        <v>404.0</v>
      </c>
      <c r="B421" s="6" t="s">
        <v>923</v>
      </c>
      <c r="C421" s="6" t="s">
        <v>14</v>
      </c>
      <c r="D421" s="35" t="s">
        <v>924</v>
      </c>
      <c r="E421" s="12">
        <v>32061.0</v>
      </c>
      <c r="F421" s="8">
        <f t="shared" si="57"/>
        <v>38.75616438</v>
      </c>
      <c r="G421" s="9">
        <v>391.0</v>
      </c>
      <c r="H421" s="9">
        <f t="shared" si="58"/>
        <v>-13</v>
      </c>
      <c r="I421" s="10" t="s">
        <v>925</v>
      </c>
    </row>
    <row r="422">
      <c r="A422" s="5">
        <v>405.0</v>
      </c>
      <c r="B422" s="36" t="s">
        <v>926</v>
      </c>
      <c r="C422" s="36" t="s">
        <v>21</v>
      </c>
      <c r="D422" s="15" t="s">
        <v>37</v>
      </c>
      <c r="E422" s="48">
        <v>38909.0</v>
      </c>
      <c r="F422" s="36">
        <v>19.2</v>
      </c>
      <c r="G422" s="58">
        <v>327.0</v>
      </c>
      <c r="H422" s="9">
        <f t="shared" si="58"/>
        <v>-78</v>
      </c>
      <c r="I422" s="47" t="s">
        <v>927</v>
      </c>
    </row>
    <row r="423">
      <c r="A423" s="5">
        <v>406.0</v>
      </c>
      <c r="B423" s="6" t="s">
        <v>928</v>
      </c>
      <c r="C423" s="6" t="s">
        <v>14</v>
      </c>
      <c r="D423" s="35" t="s">
        <v>929</v>
      </c>
      <c r="E423" s="12">
        <v>35118.0</v>
      </c>
      <c r="F423" s="8">
        <f t="shared" ref="F423:F429" si="59">YEARFRAC(E423, TODAY(),1)</f>
        <v>30.38669811</v>
      </c>
      <c r="G423" s="49">
        <v>348.0</v>
      </c>
      <c r="H423" s="9">
        <f t="shared" si="58"/>
        <v>-58</v>
      </c>
      <c r="I423" s="10" t="s">
        <v>930</v>
      </c>
    </row>
    <row r="424">
      <c r="A424" s="5">
        <v>407.0</v>
      </c>
      <c r="B424" s="11" t="s">
        <v>931</v>
      </c>
      <c r="C424" s="11" t="s">
        <v>573</v>
      </c>
      <c r="D424" s="35" t="s">
        <v>932</v>
      </c>
      <c r="E424" s="12">
        <v>37177.0</v>
      </c>
      <c r="F424" s="8">
        <f t="shared" si="59"/>
        <v>24.75068493</v>
      </c>
      <c r="G424" s="49">
        <v>309.0</v>
      </c>
      <c r="H424" s="9">
        <f t="shared" si="58"/>
        <v>-98</v>
      </c>
      <c r="I424" s="13" t="s">
        <v>933</v>
      </c>
    </row>
    <row r="425">
      <c r="A425" s="5">
        <v>408.0</v>
      </c>
      <c r="B425" s="11" t="s">
        <v>934</v>
      </c>
      <c r="C425" s="11" t="s">
        <v>21</v>
      </c>
      <c r="D425" s="35" t="s">
        <v>935</v>
      </c>
      <c r="E425" s="12">
        <v>37357.0</v>
      </c>
      <c r="F425" s="8">
        <f t="shared" si="59"/>
        <v>24.25753425</v>
      </c>
      <c r="G425" s="9">
        <v>430.0</v>
      </c>
      <c r="H425" s="9">
        <f t="shared" si="58"/>
        <v>22</v>
      </c>
      <c r="I425" s="10" t="s">
        <v>936</v>
      </c>
    </row>
    <row r="426">
      <c r="A426" s="5">
        <v>409.0</v>
      </c>
      <c r="B426" s="15" t="s">
        <v>937</v>
      </c>
      <c r="C426" s="11" t="s">
        <v>25</v>
      </c>
      <c r="D426" s="35" t="s">
        <v>915</v>
      </c>
      <c r="E426" s="12">
        <v>37146.0</v>
      </c>
      <c r="F426" s="8">
        <f t="shared" si="59"/>
        <v>24.83561644</v>
      </c>
      <c r="G426" s="49">
        <v>333.0</v>
      </c>
      <c r="H426" s="9">
        <f t="shared" si="58"/>
        <v>-76</v>
      </c>
      <c r="I426" s="10" t="s">
        <v>938</v>
      </c>
    </row>
    <row r="427">
      <c r="A427" s="5">
        <v>410.0</v>
      </c>
      <c r="B427" s="6" t="s">
        <v>939</v>
      </c>
      <c r="C427" s="6" t="s">
        <v>10</v>
      </c>
      <c r="D427" s="35" t="s">
        <v>87</v>
      </c>
      <c r="E427" s="12">
        <v>35753.0</v>
      </c>
      <c r="F427" s="8">
        <f t="shared" si="59"/>
        <v>28.64931507</v>
      </c>
      <c r="G427" s="9">
        <v>408.0</v>
      </c>
      <c r="H427" s="9">
        <f t="shared" si="58"/>
        <v>-2</v>
      </c>
      <c r="I427" s="10" t="s">
        <v>940</v>
      </c>
    </row>
    <row r="428">
      <c r="A428" s="5">
        <v>411.0</v>
      </c>
      <c r="B428" s="35" t="s">
        <v>941</v>
      </c>
      <c r="C428" s="35" t="s">
        <v>14</v>
      </c>
      <c r="D428" s="35" t="s">
        <v>942</v>
      </c>
      <c r="E428" s="7">
        <v>35250.0</v>
      </c>
      <c r="F428" s="8">
        <f t="shared" si="59"/>
        <v>30.02604237</v>
      </c>
      <c r="G428" s="49">
        <v>347.0</v>
      </c>
      <c r="H428" s="9">
        <f t="shared" si="58"/>
        <v>-64</v>
      </c>
      <c r="I428" s="10" t="s">
        <v>943</v>
      </c>
    </row>
    <row r="429">
      <c r="A429" s="5">
        <v>412.0</v>
      </c>
      <c r="B429" s="11" t="s">
        <v>944</v>
      </c>
      <c r="C429" s="11" t="s">
        <v>25</v>
      </c>
      <c r="D429" s="35" t="s">
        <v>945</v>
      </c>
      <c r="E429" s="12">
        <v>34232.0</v>
      </c>
      <c r="F429" s="8">
        <f t="shared" si="59"/>
        <v>32.81369863</v>
      </c>
      <c r="G429" s="9">
        <v>411.0</v>
      </c>
      <c r="H429" s="9">
        <f t="shared" si="58"/>
        <v>-1</v>
      </c>
      <c r="I429" s="10" t="s">
        <v>946</v>
      </c>
    </row>
    <row r="430">
      <c r="A430" s="5">
        <v>413.0</v>
      </c>
      <c r="B430" s="36" t="s">
        <v>947</v>
      </c>
      <c r="C430" s="36" t="s">
        <v>36</v>
      </c>
      <c r="D430" s="15" t="s">
        <v>15</v>
      </c>
      <c r="E430" s="48">
        <v>37317.0</v>
      </c>
      <c r="F430" s="36">
        <v>23.6</v>
      </c>
      <c r="G430" s="18">
        <v>368.0</v>
      </c>
      <c r="H430" s="9">
        <f t="shared" si="58"/>
        <v>-45</v>
      </c>
      <c r="I430" s="47" t="s">
        <v>948</v>
      </c>
    </row>
    <row r="431">
      <c r="A431" s="5">
        <v>414.0</v>
      </c>
      <c r="B431" s="6" t="s">
        <v>949</v>
      </c>
      <c r="C431" s="6" t="s">
        <v>14</v>
      </c>
      <c r="D431" s="6" t="s">
        <v>106</v>
      </c>
      <c r="E431" s="12">
        <v>33762.0</v>
      </c>
      <c r="F431" s="8">
        <f t="shared" ref="F431:F440" si="60">YEARFRAC(E431, TODAY(),1)</f>
        <v>34.09981286</v>
      </c>
      <c r="G431" s="9">
        <v>393.0</v>
      </c>
      <c r="H431" s="9">
        <f t="shared" si="58"/>
        <v>-21</v>
      </c>
      <c r="I431" s="10" t="s">
        <v>950</v>
      </c>
    </row>
    <row r="432">
      <c r="A432" s="5">
        <v>415.0</v>
      </c>
      <c r="B432" s="36" t="s">
        <v>951</v>
      </c>
      <c r="C432" s="36" t="s">
        <v>10</v>
      </c>
      <c r="D432" s="36" t="s">
        <v>66</v>
      </c>
      <c r="E432" s="48">
        <v>37802.0</v>
      </c>
      <c r="F432" s="17">
        <f t="shared" si="60"/>
        <v>23.03835616</v>
      </c>
      <c r="G432" s="18">
        <v>383.0</v>
      </c>
      <c r="H432" s="9">
        <f t="shared" si="58"/>
        <v>-32</v>
      </c>
      <c r="I432" s="47" t="s">
        <v>952</v>
      </c>
    </row>
    <row r="433">
      <c r="A433" s="5">
        <v>416.0</v>
      </c>
      <c r="B433" s="6" t="s">
        <v>953</v>
      </c>
      <c r="C433" s="6" t="s">
        <v>14</v>
      </c>
      <c r="D433" s="35" t="s">
        <v>932</v>
      </c>
      <c r="E433" s="12">
        <v>37300.0</v>
      </c>
      <c r="F433" s="8">
        <f t="shared" si="60"/>
        <v>24.41369863</v>
      </c>
      <c r="G433" s="49">
        <v>299.0</v>
      </c>
      <c r="H433" s="9">
        <f t="shared" si="58"/>
        <v>-117</v>
      </c>
      <c r="I433" s="13" t="s">
        <v>954</v>
      </c>
    </row>
    <row r="434">
      <c r="A434" s="5">
        <v>417.0</v>
      </c>
      <c r="B434" s="6" t="s">
        <v>955</v>
      </c>
      <c r="C434" s="6" t="s">
        <v>573</v>
      </c>
      <c r="D434" s="6" t="s">
        <v>18</v>
      </c>
      <c r="E434" s="12">
        <v>38266.0</v>
      </c>
      <c r="F434" s="8">
        <f t="shared" si="60"/>
        <v>21.76921177</v>
      </c>
      <c r="G434" s="9">
        <v>396.0</v>
      </c>
      <c r="H434" s="9">
        <f t="shared" si="58"/>
        <v>-21</v>
      </c>
      <c r="I434" s="10" t="s">
        <v>956</v>
      </c>
    </row>
    <row r="435">
      <c r="A435" s="5">
        <v>418.0</v>
      </c>
      <c r="B435" s="15" t="s">
        <v>957</v>
      </c>
      <c r="C435" s="36" t="s">
        <v>267</v>
      </c>
      <c r="D435" s="36" t="s">
        <v>15</v>
      </c>
      <c r="E435" s="16">
        <v>34670.0</v>
      </c>
      <c r="F435" s="17">
        <f t="shared" si="60"/>
        <v>31.61369863</v>
      </c>
      <c r="G435" s="9">
        <v>437.0</v>
      </c>
      <c r="H435" s="9">
        <f t="shared" si="58"/>
        <v>19</v>
      </c>
      <c r="I435" s="47" t="s">
        <v>958</v>
      </c>
    </row>
    <row r="436">
      <c r="A436" s="5">
        <v>419.0</v>
      </c>
      <c r="B436" s="6" t="s">
        <v>959</v>
      </c>
      <c r="C436" s="6" t="s">
        <v>36</v>
      </c>
      <c r="D436" s="35" t="s">
        <v>43</v>
      </c>
      <c r="E436" s="12">
        <v>36222.0</v>
      </c>
      <c r="F436" s="8">
        <f t="shared" si="60"/>
        <v>27.36438356</v>
      </c>
      <c r="G436" s="49">
        <v>319.0</v>
      </c>
      <c r="H436" s="9">
        <f t="shared" si="58"/>
        <v>-100</v>
      </c>
      <c r="I436" s="10" t="s">
        <v>960</v>
      </c>
    </row>
    <row r="437">
      <c r="A437" s="5">
        <v>420.0</v>
      </c>
      <c r="B437" s="6" t="s">
        <v>961</v>
      </c>
      <c r="C437" s="6" t="s">
        <v>36</v>
      </c>
      <c r="D437" s="6" t="s">
        <v>46</v>
      </c>
      <c r="E437" s="12">
        <v>37088.0</v>
      </c>
      <c r="F437" s="8">
        <f t="shared" si="60"/>
        <v>24.99452055</v>
      </c>
      <c r="G437" s="49">
        <v>331.0</v>
      </c>
      <c r="H437" s="9">
        <f t="shared" si="58"/>
        <v>-89</v>
      </c>
      <c r="I437" s="10" t="s">
        <v>962</v>
      </c>
    </row>
    <row r="438">
      <c r="A438" s="5">
        <v>421.0</v>
      </c>
      <c r="B438" s="35" t="s">
        <v>963</v>
      </c>
      <c r="C438" s="35" t="s">
        <v>36</v>
      </c>
      <c r="D438" s="35" t="s">
        <v>29</v>
      </c>
      <c r="E438" s="7">
        <v>34173.0</v>
      </c>
      <c r="F438" s="8">
        <f t="shared" si="60"/>
        <v>32.97534247</v>
      </c>
      <c r="G438" s="9">
        <v>410.0</v>
      </c>
      <c r="H438" s="9">
        <f t="shared" si="58"/>
        <v>-11</v>
      </c>
      <c r="I438" s="10" t="s">
        <v>964</v>
      </c>
    </row>
    <row r="439">
      <c r="A439" s="5">
        <v>422.0</v>
      </c>
      <c r="B439" s="6" t="s">
        <v>965</v>
      </c>
      <c r="C439" s="6" t="s">
        <v>36</v>
      </c>
      <c r="D439" s="6" t="s">
        <v>18</v>
      </c>
      <c r="E439" s="12">
        <v>37000.0</v>
      </c>
      <c r="F439" s="8">
        <f t="shared" si="60"/>
        <v>25.23561644</v>
      </c>
      <c r="G439" s="9">
        <v>380.0</v>
      </c>
      <c r="H439" s="9">
        <f t="shared" si="58"/>
        <v>-42</v>
      </c>
      <c r="I439" s="10" t="s">
        <v>966</v>
      </c>
    </row>
    <row r="440">
      <c r="A440" s="5">
        <v>423.0</v>
      </c>
      <c r="B440" s="6" t="s">
        <v>967</v>
      </c>
      <c r="C440" s="6" t="s">
        <v>21</v>
      </c>
      <c r="D440" s="35" t="s">
        <v>968</v>
      </c>
      <c r="E440" s="12">
        <v>35763.0</v>
      </c>
      <c r="F440" s="8">
        <f t="shared" si="60"/>
        <v>28.62191781</v>
      </c>
      <c r="G440" s="9">
        <v>360.0</v>
      </c>
      <c r="H440" s="9">
        <f t="shared" si="58"/>
        <v>-63</v>
      </c>
      <c r="I440" s="10" t="s">
        <v>969</v>
      </c>
    </row>
    <row r="441">
      <c r="A441" s="5">
        <v>424.0</v>
      </c>
      <c r="B441" s="36" t="s">
        <v>970</v>
      </c>
      <c r="C441" s="36" t="s">
        <v>36</v>
      </c>
      <c r="D441" s="15" t="s">
        <v>29</v>
      </c>
      <c r="E441" s="48">
        <v>37244.0</v>
      </c>
      <c r="F441" s="36">
        <v>23.8</v>
      </c>
      <c r="G441" s="18">
        <v>420.0</v>
      </c>
      <c r="H441" s="9">
        <f t="shared" si="58"/>
        <v>-4</v>
      </c>
      <c r="I441" s="47" t="s">
        <v>971</v>
      </c>
    </row>
    <row r="442" ht="30.0" customHeight="1">
      <c r="A442" s="5">
        <v>425.0</v>
      </c>
      <c r="B442" s="6" t="s">
        <v>972</v>
      </c>
      <c r="C442" s="6" t="s">
        <v>77</v>
      </c>
      <c r="D442" s="35" t="s">
        <v>932</v>
      </c>
      <c r="E442" s="12">
        <v>36768.0</v>
      </c>
      <c r="F442" s="8">
        <f t="shared" ref="F442:F445" si="61">YEARFRAC(E442, TODAY(),1)</f>
        <v>25.87030466</v>
      </c>
      <c r="G442" s="49">
        <v>308.0</v>
      </c>
      <c r="H442" s="9">
        <f t="shared" si="58"/>
        <v>-117</v>
      </c>
      <c r="I442" s="10" t="s">
        <v>973</v>
      </c>
    </row>
    <row r="443">
      <c r="A443" s="5">
        <v>426.0</v>
      </c>
      <c r="B443" s="6" t="s">
        <v>974</v>
      </c>
      <c r="C443" s="6" t="s">
        <v>25</v>
      </c>
      <c r="D443" s="6" t="s">
        <v>82</v>
      </c>
      <c r="E443" s="12">
        <v>35706.0</v>
      </c>
      <c r="F443" s="8">
        <f t="shared" si="61"/>
        <v>28.77808219</v>
      </c>
      <c r="G443" s="9">
        <v>392.0</v>
      </c>
      <c r="H443" s="9">
        <f t="shared" si="58"/>
        <v>-34</v>
      </c>
      <c r="I443" s="10" t="s">
        <v>975</v>
      </c>
    </row>
    <row r="444">
      <c r="A444" s="5">
        <v>427.0</v>
      </c>
      <c r="B444" s="36" t="s">
        <v>976</v>
      </c>
      <c r="C444" s="36" t="s">
        <v>14</v>
      </c>
      <c r="D444" s="36" t="s">
        <v>46</v>
      </c>
      <c r="E444" s="48">
        <v>36053.0</v>
      </c>
      <c r="F444" s="17">
        <f t="shared" si="61"/>
        <v>27.82739726</v>
      </c>
      <c r="G444" s="18">
        <v>397.0</v>
      </c>
      <c r="H444" s="9">
        <f t="shared" si="58"/>
        <v>-30</v>
      </c>
      <c r="I444" s="47" t="s">
        <v>977</v>
      </c>
    </row>
    <row r="445">
      <c r="A445" s="5">
        <v>428.0</v>
      </c>
      <c r="B445" s="35" t="s">
        <v>978</v>
      </c>
      <c r="C445" s="35" t="s">
        <v>573</v>
      </c>
      <c r="D445" s="35" t="s">
        <v>979</v>
      </c>
      <c r="E445" s="7">
        <v>36559.0</v>
      </c>
      <c r="F445" s="8">
        <f t="shared" si="61"/>
        <v>26.44134291</v>
      </c>
      <c r="G445" s="9">
        <v>362.0</v>
      </c>
      <c r="H445" s="9">
        <f t="shared" si="58"/>
        <v>-66</v>
      </c>
      <c r="I445" s="10" t="s">
        <v>980</v>
      </c>
    </row>
    <row r="446">
      <c r="A446" s="5">
        <v>429.0</v>
      </c>
      <c r="B446" s="36" t="s">
        <v>981</v>
      </c>
      <c r="C446" s="36" t="s">
        <v>25</v>
      </c>
      <c r="D446" s="36" t="s">
        <v>176</v>
      </c>
      <c r="E446" s="48">
        <v>38112.0</v>
      </c>
      <c r="F446" s="36">
        <v>21.4</v>
      </c>
      <c r="G446" s="18">
        <v>400.0</v>
      </c>
      <c r="H446" s="9">
        <f t="shared" si="58"/>
        <v>-29</v>
      </c>
      <c r="I446" s="47" t="s">
        <v>982</v>
      </c>
    </row>
    <row r="447">
      <c r="A447" s="5">
        <v>430.0</v>
      </c>
      <c r="B447" s="36" t="s">
        <v>983</v>
      </c>
      <c r="C447" s="36" t="s">
        <v>36</v>
      </c>
      <c r="D447" s="36" t="s">
        <v>49</v>
      </c>
      <c r="E447" s="48">
        <v>37570.0</v>
      </c>
      <c r="F447" s="17">
        <f t="shared" ref="F447:F462" si="62">YEARFRAC(E447, TODAY(),1)</f>
        <v>23.6739726</v>
      </c>
      <c r="G447" s="18">
        <v>441.0</v>
      </c>
      <c r="H447" s="9">
        <f t="shared" si="58"/>
        <v>11</v>
      </c>
      <c r="I447" s="47" t="s">
        <v>984</v>
      </c>
    </row>
    <row r="448">
      <c r="A448" s="5">
        <v>431.0</v>
      </c>
      <c r="B448" s="36" t="s">
        <v>985</v>
      </c>
      <c r="C448" s="36" t="s">
        <v>36</v>
      </c>
      <c r="D448" s="36" t="s">
        <v>111</v>
      </c>
      <c r="E448" s="48">
        <v>37566.0</v>
      </c>
      <c r="F448" s="17">
        <f t="shared" si="62"/>
        <v>23.68493151</v>
      </c>
      <c r="G448" s="18">
        <v>390.0</v>
      </c>
      <c r="H448" s="9">
        <f t="shared" si="58"/>
        <v>-41</v>
      </c>
      <c r="I448" s="47" t="s">
        <v>986</v>
      </c>
    </row>
    <row r="449">
      <c r="A449" s="5">
        <v>432.0</v>
      </c>
      <c r="B449" s="35" t="s">
        <v>987</v>
      </c>
      <c r="C449" s="35" t="s">
        <v>21</v>
      </c>
      <c r="D449" s="35" t="s">
        <v>69</v>
      </c>
      <c r="E449" s="7">
        <v>35642.0</v>
      </c>
      <c r="F449" s="8">
        <f t="shared" si="62"/>
        <v>28.95342466</v>
      </c>
      <c r="G449" s="9">
        <v>438.0</v>
      </c>
      <c r="H449" s="9">
        <f t="shared" si="58"/>
        <v>6</v>
      </c>
      <c r="I449" s="10" t="s">
        <v>988</v>
      </c>
    </row>
    <row r="450">
      <c r="A450" s="5">
        <v>433.0</v>
      </c>
      <c r="B450" s="11" t="s">
        <v>989</v>
      </c>
      <c r="C450" s="11" t="s">
        <v>10</v>
      </c>
      <c r="D450" s="35" t="s">
        <v>990</v>
      </c>
      <c r="E450" s="12">
        <v>33970.0</v>
      </c>
      <c r="F450" s="8">
        <f t="shared" si="62"/>
        <v>33.53150685</v>
      </c>
      <c r="G450" s="9">
        <v>449.0</v>
      </c>
      <c r="H450" s="9">
        <f t="shared" si="58"/>
        <v>16</v>
      </c>
      <c r="I450" s="10" t="s">
        <v>991</v>
      </c>
    </row>
    <row r="451">
      <c r="A451" s="5">
        <v>434.0</v>
      </c>
      <c r="B451" s="14" t="s">
        <v>992</v>
      </c>
      <c r="C451" s="14" t="s">
        <v>25</v>
      </c>
      <c r="D451" s="14" t="s">
        <v>106</v>
      </c>
      <c r="E451" s="16">
        <v>38560.0</v>
      </c>
      <c r="F451" s="17">
        <f t="shared" si="62"/>
        <v>20.96438356</v>
      </c>
      <c r="G451" s="18">
        <v>382.0</v>
      </c>
      <c r="H451" s="9">
        <f t="shared" si="58"/>
        <v>-52</v>
      </c>
      <c r="I451" s="47" t="s">
        <v>993</v>
      </c>
    </row>
    <row r="452">
      <c r="A452" s="5">
        <v>435.0</v>
      </c>
      <c r="B452" s="15" t="s">
        <v>994</v>
      </c>
      <c r="C452" s="11" t="s">
        <v>10</v>
      </c>
      <c r="D452" s="35" t="s">
        <v>52</v>
      </c>
      <c r="E452" s="12">
        <v>36578.0</v>
      </c>
      <c r="F452" s="8">
        <f t="shared" si="62"/>
        <v>26.38943035</v>
      </c>
      <c r="G452" s="9">
        <v>403.0</v>
      </c>
      <c r="H452" s="9">
        <f t="shared" si="58"/>
        <v>-32</v>
      </c>
      <c r="I452" s="10" t="s">
        <v>995</v>
      </c>
    </row>
    <row r="453">
      <c r="A453" s="5">
        <v>436.0</v>
      </c>
      <c r="B453" s="6" t="s">
        <v>996</v>
      </c>
      <c r="C453" s="35" t="s">
        <v>10</v>
      </c>
      <c r="D453" s="35" t="s">
        <v>997</v>
      </c>
      <c r="E453" s="12">
        <v>37193.0</v>
      </c>
      <c r="F453" s="8">
        <f t="shared" si="62"/>
        <v>24.70684932</v>
      </c>
      <c r="G453" s="9">
        <v>374.0</v>
      </c>
      <c r="H453" s="9">
        <f t="shared" si="58"/>
        <v>-62</v>
      </c>
      <c r="I453" s="10" t="s">
        <v>998</v>
      </c>
    </row>
    <row r="454">
      <c r="A454" s="5">
        <v>437.0</v>
      </c>
      <c r="B454" s="15" t="s">
        <v>999</v>
      </c>
      <c r="C454" s="36" t="s">
        <v>1000</v>
      </c>
      <c r="D454" s="36" t="s">
        <v>66</v>
      </c>
      <c r="E454" s="16">
        <v>38176.0</v>
      </c>
      <c r="F454" s="17">
        <f t="shared" si="62"/>
        <v>22.01511341</v>
      </c>
      <c r="G454" s="58">
        <v>338.0</v>
      </c>
      <c r="H454" s="9">
        <f t="shared" si="58"/>
        <v>-99</v>
      </c>
      <c r="I454" s="47" t="s">
        <v>1001</v>
      </c>
    </row>
    <row r="455">
      <c r="A455" s="5">
        <v>438.0</v>
      </c>
      <c r="B455" s="6" t="s">
        <v>1002</v>
      </c>
      <c r="C455" s="6" t="s">
        <v>36</v>
      </c>
      <c r="D455" s="35" t="s">
        <v>1003</v>
      </c>
      <c r="E455" s="12">
        <v>37442.0</v>
      </c>
      <c r="F455" s="8">
        <f t="shared" si="62"/>
        <v>24.02465753</v>
      </c>
      <c r="G455" s="9">
        <v>387.0</v>
      </c>
      <c r="H455" s="9">
        <f t="shared" si="58"/>
        <v>-51</v>
      </c>
      <c r="I455" s="10" t="s">
        <v>1004</v>
      </c>
    </row>
    <row r="456">
      <c r="A456" s="5">
        <v>439.0</v>
      </c>
      <c r="B456" s="6" t="s">
        <v>1005</v>
      </c>
      <c r="C456" s="6" t="s">
        <v>14</v>
      </c>
      <c r="D456" s="35" t="s">
        <v>1006</v>
      </c>
      <c r="E456" s="12">
        <v>38322.0</v>
      </c>
      <c r="F456" s="8">
        <f t="shared" si="62"/>
        <v>21.6162063</v>
      </c>
      <c r="G456" s="9">
        <v>377.0</v>
      </c>
      <c r="H456" s="9">
        <f t="shared" si="58"/>
        <v>-62</v>
      </c>
      <c r="I456" s="10" t="s">
        <v>1007</v>
      </c>
    </row>
    <row r="457">
      <c r="A457" s="5">
        <v>440.0</v>
      </c>
      <c r="B457" s="11" t="s">
        <v>1008</v>
      </c>
      <c r="C457" s="11" t="s">
        <v>25</v>
      </c>
      <c r="D457" s="35" t="s">
        <v>527</v>
      </c>
      <c r="E457" s="12">
        <v>36757.0</v>
      </c>
      <c r="F457" s="8">
        <f t="shared" si="62"/>
        <v>25.90035931</v>
      </c>
      <c r="G457" s="9">
        <v>417.0</v>
      </c>
      <c r="H457" s="9">
        <f t="shared" si="58"/>
        <v>-23</v>
      </c>
      <c r="I457" s="10" t="s">
        <v>1009</v>
      </c>
    </row>
    <row r="458">
      <c r="A458" s="5">
        <v>441.0</v>
      </c>
      <c r="B458" s="6" t="s">
        <v>1010</v>
      </c>
      <c r="C458" s="6" t="s">
        <v>36</v>
      </c>
      <c r="D458" s="35" t="s">
        <v>1011</v>
      </c>
      <c r="E458" s="12">
        <v>37878.0</v>
      </c>
      <c r="F458" s="8">
        <f t="shared" si="62"/>
        <v>22.83013699</v>
      </c>
      <c r="G458" s="9">
        <v>413.0</v>
      </c>
      <c r="H458" s="9">
        <f t="shared" si="58"/>
        <v>-28</v>
      </c>
      <c r="I458" s="10" t="s">
        <v>1012</v>
      </c>
    </row>
    <row r="459">
      <c r="A459" s="5">
        <v>442.0</v>
      </c>
      <c r="B459" s="11" t="s">
        <v>1013</v>
      </c>
      <c r="C459" s="11" t="s">
        <v>36</v>
      </c>
      <c r="D459" s="11" t="s">
        <v>26</v>
      </c>
      <c r="E459" s="12">
        <v>34970.0</v>
      </c>
      <c r="F459" s="8">
        <f t="shared" si="62"/>
        <v>30.79178082</v>
      </c>
      <c r="G459" s="9">
        <v>424.0</v>
      </c>
      <c r="H459" s="9">
        <f t="shared" si="58"/>
        <v>-18</v>
      </c>
      <c r="I459" s="10" t="s">
        <v>1014</v>
      </c>
    </row>
    <row r="460">
      <c r="A460" s="5">
        <v>443.0</v>
      </c>
      <c r="B460" s="35" t="s">
        <v>1015</v>
      </c>
      <c r="C460" s="35" t="s">
        <v>25</v>
      </c>
      <c r="D460" s="35" t="s">
        <v>58</v>
      </c>
      <c r="E460" s="7">
        <v>35591.0</v>
      </c>
      <c r="F460" s="8">
        <f t="shared" si="62"/>
        <v>29.09315068</v>
      </c>
      <c r="G460" s="9">
        <v>365.0</v>
      </c>
      <c r="H460" s="9">
        <f t="shared" si="58"/>
        <v>-78</v>
      </c>
      <c r="I460" s="10" t="s">
        <v>1016</v>
      </c>
    </row>
    <row r="461">
      <c r="A461" s="5">
        <v>444.0</v>
      </c>
      <c r="B461" s="6" t="s">
        <v>1017</v>
      </c>
      <c r="C461" s="6" t="s">
        <v>183</v>
      </c>
      <c r="D461" s="6" t="s">
        <v>11</v>
      </c>
      <c r="E461" s="12">
        <v>38142.0</v>
      </c>
      <c r="F461" s="8">
        <f t="shared" si="62"/>
        <v>22.10800958</v>
      </c>
      <c r="G461" s="9">
        <v>448.0</v>
      </c>
      <c r="H461" s="9">
        <f t="shared" si="58"/>
        <v>4</v>
      </c>
      <c r="I461" s="10" t="s">
        <v>1018</v>
      </c>
    </row>
    <row r="462">
      <c r="A462" s="5">
        <v>445.0</v>
      </c>
      <c r="B462" s="6" t="s">
        <v>1019</v>
      </c>
      <c r="C462" s="6" t="s">
        <v>14</v>
      </c>
      <c r="D462" s="6" t="s">
        <v>90</v>
      </c>
      <c r="E462" s="12">
        <v>36925.0</v>
      </c>
      <c r="F462" s="8">
        <f t="shared" si="62"/>
        <v>25.44109589</v>
      </c>
      <c r="G462" s="9">
        <v>364.0</v>
      </c>
      <c r="H462" s="9">
        <f t="shared" si="58"/>
        <v>-81</v>
      </c>
      <c r="I462" s="10" t="s">
        <v>1020</v>
      </c>
    </row>
    <row r="463">
      <c r="A463" s="5">
        <v>446.0</v>
      </c>
      <c r="B463" s="36" t="s">
        <v>1021</v>
      </c>
      <c r="C463" s="36" t="s">
        <v>573</v>
      </c>
      <c r="D463" s="36" t="s">
        <v>46</v>
      </c>
      <c r="E463" s="48">
        <v>37314.0</v>
      </c>
      <c r="F463" s="36">
        <v>23.6</v>
      </c>
      <c r="G463" s="18">
        <v>440.0</v>
      </c>
      <c r="H463" s="9">
        <f t="shared" si="58"/>
        <v>-6</v>
      </c>
      <c r="I463" s="47" t="s">
        <v>1022</v>
      </c>
    </row>
    <row r="464">
      <c r="A464" s="5">
        <v>447.0</v>
      </c>
      <c r="B464" s="11" t="s">
        <v>1023</v>
      </c>
      <c r="C464" s="11" t="s">
        <v>21</v>
      </c>
      <c r="D464" s="11" t="s">
        <v>55</v>
      </c>
      <c r="E464" s="12">
        <v>34472.0</v>
      </c>
      <c r="F464" s="8">
        <f t="shared" ref="F464:F467" si="63">YEARFRAC(E464, TODAY(),1)</f>
        <v>32.15616438</v>
      </c>
      <c r="G464" s="9">
        <v>385.0</v>
      </c>
      <c r="H464" s="9">
        <f t="shared" si="58"/>
        <v>-62</v>
      </c>
      <c r="I464" s="10" t="s">
        <v>1024</v>
      </c>
    </row>
    <row r="465">
      <c r="A465" s="5">
        <v>448.0</v>
      </c>
      <c r="B465" s="11" t="s">
        <v>1025</v>
      </c>
      <c r="C465" s="11" t="s">
        <v>14</v>
      </c>
      <c r="D465" s="35" t="s">
        <v>932</v>
      </c>
      <c r="E465" s="12">
        <v>35730.0</v>
      </c>
      <c r="F465" s="8">
        <f t="shared" si="63"/>
        <v>28.71232877</v>
      </c>
      <c r="G465" s="49">
        <v>349.0</v>
      </c>
      <c r="H465" s="9">
        <f t="shared" si="58"/>
        <v>-99</v>
      </c>
      <c r="I465" s="10" t="s">
        <v>1026</v>
      </c>
    </row>
    <row r="466">
      <c r="A466" s="5">
        <v>449.0</v>
      </c>
      <c r="B466" s="11" t="s">
        <v>1027</v>
      </c>
      <c r="C466" s="11" t="s">
        <v>25</v>
      </c>
      <c r="D466" s="35" t="s">
        <v>49</v>
      </c>
      <c r="E466" s="12">
        <v>37440.0</v>
      </c>
      <c r="F466" s="8">
        <f t="shared" si="63"/>
        <v>24.03013699</v>
      </c>
      <c r="G466" s="9">
        <v>432.0</v>
      </c>
      <c r="H466" s="9">
        <f t="shared" si="58"/>
        <v>-17</v>
      </c>
      <c r="I466" s="10" t="s">
        <v>1028</v>
      </c>
    </row>
    <row r="467">
      <c r="A467" s="5">
        <v>450.0</v>
      </c>
      <c r="B467" s="6" t="s">
        <v>1029</v>
      </c>
      <c r="C467" s="6" t="s">
        <v>25</v>
      </c>
      <c r="D467" s="35" t="s">
        <v>915</v>
      </c>
      <c r="E467" s="12">
        <v>36834.0</v>
      </c>
      <c r="F467" s="8">
        <f t="shared" si="63"/>
        <v>25.68997679</v>
      </c>
      <c r="G467" s="9">
        <v>426.0</v>
      </c>
      <c r="H467" s="9">
        <f t="shared" si="58"/>
        <v>-24</v>
      </c>
      <c r="I467" s="10" t="s">
        <v>1030</v>
      </c>
    </row>
  </sheetData>
  <mergeCells count="1">
    <mergeCell ref="A1:I1"/>
  </mergeCells>
  <conditionalFormatting sqref="H3:H467">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23.38"/>
    <col customWidth="1" min="3" max="3" width="14.0"/>
    <col customWidth="1" min="4" max="4" width="12.75"/>
    <col customWidth="1" min="5" max="5" width="10.0"/>
    <col customWidth="1" min="6" max="6" width="9.75"/>
    <col customWidth="1" min="7" max="7" width="11.25"/>
    <col customWidth="1" min="8" max="8" width="13.38"/>
    <col customWidth="1" min="9" max="9" width="70.5"/>
  </cols>
  <sheetData>
    <row r="1" ht="8.25" customHeight="1">
      <c r="A1" s="1"/>
    </row>
    <row r="2" ht="22.5" customHeight="1">
      <c r="A2" s="2" t="s">
        <v>0</v>
      </c>
      <c r="B2" s="3" t="s">
        <v>1</v>
      </c>
      <c r="C2" s="3" t="s">
        <v>2</v>
      </c>
      <c r="D2" s="3" t="s">
        <v>3</v>
      </c>
      <c r="E2" s="2" t="s">
        <v>4</v>
      </c>
      <c r="F2" s="4" t="s">
        <v>5</v>
      </c>
      <c r="G2" s="2" t="s">
        <v>6</v>
      </c>
      <c r="H2" s="2" t="s">
        <v>7</v>
      </c>
      <c r="I2" s="2" t="s">
        <v>8</v>
      </c>
    </row>
    <row r="3">
      <c r="A3" s="5">
        <v>1.0</v>
      </c>
      <c r="B3" s="6" t="s">
        <v>9</v>
      </c>
      <c r="C3" s="6" t="s">
        <v>10</v>
      </c>
      <c r="D3" s="6" t="s">
        <v>11</v>
      </c>
      <c r="E3" s="7">
        <v>37990.0</v>
      </c>
      <c r="F3" s="8">
        <f t="shared" ref="F3:F8" si="1">YEARFRAC(E3, TODAY(),1)</f>
        <v>22.52331013</v>
      </c>
      <c r="G3" s="9">
        <v>1.0</v>
      </c>
      <c r="H3" s="9">
        <f t="shared" ref="H3:H8" si="2">MINUS(G3, A3)</f>
        <v>0</v>
      </c>
      <c r="I3" s="10" t="s">
        <v>12</v>
      </c>
    </row>
    <row r="4">
      <c r="A4" s="5">
        <v>2.0</v>
      </c>
      <c r="B4" s="11" t="s">
        <v>13</v>
      </c>
      <c r="C4" s="11" t="s">
        <v>14</v>
      </c>
      <c r="D4" s="11" t="s">
        <v>15</v>
      </c>
      <c r="E4" s="12">
        <v>35988.0</v>
      </c>
      <c r="F4" s="8">
        <f t="shared" si="1"/>
        <v>28.00547945</v>
      </c>
      <c r="G4" s="9">
        <v>3.0</v>
      </c>
      <c r="H4" s="9">
        <f t="shared" si="2"/>
        <v>1</v>
      </c>
      <c r="I4" s="13" t="s">
        <v>16</v>
      </c>
    </row>
    <row r="5">
      <c r="A5" s="5">
        <v>3.0</v>
      </c>
      <c r="B5" s="11" t="s">
        <v>17</v>
      </c>
      <c r="C5" s="11" t="s">
        <v>14</v>
      </c>
      <c r="D5" s="6" t="s">
        <v>18</v>
      </c>
      <c r="E5" s="12">
        <v>36219.0</v>
      </c>
      <c r="F5" s="8">
        <f t="shared" si="1"/>
        <v>27.37260274</v>
      </c>
      <c r="G5" s="9">
        <v>2.0</v>
      </c>
      <c r="H5" s="9">
        <f t="shared" si="2"/>
        <v>-1</v>
      </c>
      <c r="I5" s="13" t="s">
        <v>19</v>
      </c>
    </row>
    <row r="6">
      <c r="A6" s="5">
        <v>4.0</v>
      </c>
      <c r="B6" s="11" t="s">
        <v>20</v>
      </c>
      <c r="C6" s="11" t="s">
        <v>21</v>
      </c>
      <c r="D6" s="11" t="s">
        <v>22</v>
      </c>
      <c r="E6" s="12">
        <v>34749.0</v>
      </c>
      <c r="F6" s="8">
        <f t="shared" si="1"/>
        <v>31.39726027</v>
      </c>
      <c r="G6" s="9">
        <v>4.0</v>
      </c>
      <c r="H6" s="9">
        <f t="shared" si="2"/>
        <v>0</v>
      </c>
      <c r="I6" s="13" t="s">
        <v>23</v>
      </c>
    </row>
    <row r="7">
      <c r="A7" s="5">
        <v>5.0</v>
      </c>
      <c r="B7" s="14" t="s">
        <v>24</v>
      </c>
      <c r="C7" s="15" t="s">
        <v>25</v>
      </c>
      <c r="D7" s="14" t="s">
        <v>26</v>
      </c>
      <c r="E7" s="16">
        <v>39072.0</v>
      </c>
      <c r="F7" s="17">
        <f t="shared" si="1"/>
        <v>19.56164384</v>
      </c>
      <c r="G7" s="18">
        <v>5.0</v>
      </c>
      <c r="H7" s="18">
        <f t="shared" si="2"/>
        <v>0</v>
      </c>
      <c r="I7" s="19" t="s">
        <v>27</v>
      </c>
    </row>
    <row r="8">
      <c r="A8" s="5">
        <v>6.0</v>
      </c>
      <c r="B8" s="11" t="s">
        <v>28</v>
      </c>
      <c r="C8" s="11" t="s">
        <v>14</v>
      </c>
      <c r="D8" s="11" t="s">
        <v>29</v>
      </c>
      <c r="E8" s="12">
        <v>37159.0</v>
      </c>
      <c r="F8" s="8">
        <f t="shared" si="1"/>
        <v>24.8</v>
      </c>
      <c r="G8" s="9">
        <v>6.0</v>
      </c>
      <c r="H8" s="9">
        <f t="shared" si="2"/>
        <v>0</v>
      </c>
      <c r="I8" s="13" t="s">
        <v>30</v>
      </c>
    </row>
    <row r="9">
      <c r="A9" s="20"/>
      <c r="B9" s="21" t="s">
        <v>34</v>
      </c>
      <c r="C9" s="22"/>
      <c r="D9" s="22"/>
      <c r="E9" s="23"/>
      <c r="F9" s="24"/>
      <c r="G9" s="25"/>
      <c r="H9" s="25"/>
      <c r="I9" s="26"/>
    </row>
    <row r="10">
      <c r="A10" s="5">
        <v>7.0</v>
      </c>
      <c r="B10" s="11" t="s">
        <v>31</v>
      </c>
      <c r="C10" s="11" t="s">
        <v>25</v>
      </c>
      <c r="D10" s="11" t="s">
        <v>32</v>
      </c>
      <c r="E10" s="12">
        <v>35857.0</v>
      </c>
      <c r="F10" s="8">
        <f t="shared" ref="F10:F16" si="3">YEARFRAC(E10, TODAY(),1)</f>
        <v>28.36438356</v>
      </c>
      <c r="G10" s="9">
        <v>10.0</v>
      </c>
      <c r="H10" s="9">
        <f t="shared" ref="H10:H16" si="4">MINUS(G10, A10)</f>
        <v>3</v>
      </c>
      <c r="I10" s="13" t="s">
        <v>33</v>
      </c>
    </row>
    <row r="11">
      <c r="A11" s="5">
        <v>8.0</v>
      </c>
      <c r="B11" s="11" t="s">
        <v>35</v>
      </c>
      <c r="C11" s="11" t="s">
        <v>36</v>
      </c>
      <c r="D11" s="11" t="s">
        <v>37</v>
      </c>
      <c r="E11" s="12">
        <v>37108.0</v>
      </c>
      <c r="F11" s="8">
        <f t="shared" si="3"/>
        <v>24.93972603</v>
      </c>
      <c r="G11" s="9">
        <v>9.0</v>
      </c>
      <c r="H11" s="9">
        <f t="shared" si="4"/>
        <v>1</v>
      </c>
      <c r="I11" s="13" t="s">
        <v>38</v>
      </c>
    </row>
    <row r="12">
      <c r="A12" s="5">
        <v>9.0</v>
      </c>
      <c r="B12" s="6" t="s">
        <v>42</v>
      </c>
      <c r="C12" s="6" t="s">
        <v>25</v>
      </c>
      <c r="D12" s="6" t="s">
        <v>43</v>
      </c>
      <c r="E12" s="12">
        <v>37243.0</v>
      </c>
      <c r="F12" s="8">
        <f t="shared" si="3"/>
        <v>24.56986301</v>
      </c>
      <c r="G12" s="9">
        <v>8.0</v>
      </c>
      <c r="H12" s="9">
        <f t="shared" si="4"/>
        <v>-1</v>
      </c>
      <c r="I12" s="13" t="s">
        <v>44</v>
      </c>
    </row>
    <row r="13">
      <c r="A13" s="5">
        <v>10.0</v>
      </c>
      <c r="B13" s="6" t="s">
        <v>39</v>
      </c>
      <c r="C13" s="6" t="s">
        <v>14</v>
      </c>
      <c r="D13" s="6" t="s">
        <v>40</v>
      </c>
      <c r="E13" s="12">
        <v>36834.0</v>
      </c>
      <c r="F13" s="8">
        <f t="shared" si="3"/>
        <v>25.68997679</v>
      </c>
      <c r="G13" s="9">
        <v>7.0</v>
      </c>
      <c r="H13" s="9">
        <f t="shared" si="4"/>
        <v>-3</v>
      </c>
      <c r="I13" s="13" t="s">
        <v>41</v>
      </c>
    </row>
    <row r="14">
      <c r="A14" s="27">
        <v>11.0</v>
      </c>
      <c r="B14" s="28" t="s">
        <v>48</v>
      </c>
      <c r="C14" s="29" t="s">
        <v>10</v>
      </c>
      <c r="D14" s="28" t="s">
        <v>49</v>
      </c>
      <c r="E14" s="30">
        <v>39281.0</v>
      </c>
      <c r="F14" s="31">
        <f t="shared" si="3"/>
        <v>18.9890411</v>
      </c>
      <c r="G14" s="32">
        <v>14.0</v>
      </c>
      <c r="H14" s="32">
        <f t="shared" si="4"/>
        <v>3</v>
      </c>
      <c r="I14" s="33" t="s">
        <v>50</v>
      </c>
    </row>
    <row r="15">
      <c r="A15" s="5">
        <v>12.0</v>
      </c>
      <c r="B15" s="11" t="s">
        <v>51</v>
      </c>
      <c r="C15" s="11" t="s">
        <v>25</v>
      </c>
      <c r="D15" s="11" t="s">
        <v>52</v>
      </c>
      <c r="E15" s="12">
        <v>37104.0</v>
      </c>
      <c r="F15" s="8">
        <f t="shared" si="3"/>
        <v>24.95068493</v>
      </c>
      <c r="G15" s="9">
        <v>15.0</v>
      </c>
      <c r="H15" s="9">
        <f t="shared" si="4"/>
        <v>3</v>
      </c>
      <c r="I15" s="13" t="s">
        <v>53</v>
      </c>
    </row>
    <row r="16">
      <c r="A16" s="5">
        <v>13.0</v>
      </c>
      <c r="B16" s="11" t="s">
        <v>45</v>
      </c>
      <c r="C16" s="11" t="s">
        <v>14</v>
      </c>
      <c r="D16" s="11" t="s">
        <v>46</v>
      </c>
      <c r="E16" s="12">
        <v>36585.0</v>
      </c>
      <c r="F16" s="8">
        <f t="shared" si="3"/>
        <v>26.37030466</v>
      </c>
      <c r="G16" s="9">
        <v>13.0</v>
      </c>
      <c r="H16" s="9">
        <f t="shared" si="4"/>
        <v>0</v>
      </c>
      <c r="I16" s="13" t="s">
        <v>47</v>
      </c>
    </row>
    <row r="17">
      <c r="A17" s="20"/>
      <c r="B17" s="21" t="s">
        <v>34</v>
      </c>
      <c r="C17" s="22"/>
      <c r="D17" s="22"/>
      <c r="E17" s="23"/>
      <c r="F17" s="24"/>
      <c r="G17" s="25"/>
      <c r="H17" s="25"/>
      <c r="I17" s="26"/>
    </row>
    <row r="18">
      <c r="A18" s="5">
        <v>14.0</v>
      </c>
      <c r="B18" s="6" t="s">
        <v>54</v>
      </c>
      <c r="C18" s="6" t="s">
        <v>21</v>
      </c>
      <c r="D18" s="6" t="s">
        <v>55</v>
      </c>
      <c r="E18" s="12">
        <v>37462.0</v>
      </c>
      <c r="F18" s="8">
        <f t="shared" ref="F18:F24" si="5">YEARFRAC(E18, TODAY(),1)</f>
        <v>23.96986301</v>
      </c>
      <c r="G18" s="9">
        <v>11.0</v>
      </c>
      <c r="H18" s="9">
        <f t="shared" ref="H18:H24" si="6">MINUS(G18, A18)</f>
        <v>-3</v>
      </c>
      <c r="I18" s="13" t="s">
        <v>56</v>
      </c>
    </row>
    <row r="19">
      <c r="A19" s="27">
        <v>15.0</v>
      </c>
      <c r="B19" s="28" t="s">
        <v>1031</v>
      </c>
      <c r="C19" s="34" t="s">
        <v>36</v>
      </c>
      <c r="D19" s="28" t="s">
        <v>66</v>
      </c>
      <c r="E19" s="30">
        <v>39111.0</v>
      </c>
      <c r="F19" s="31">
        <f t="shared" si="5"/>
        <v>19.45479452</v>
      </c>
      <c r="G19" s="32">
        <v>16.0</v>
      </c>
      <c r="H19" s="32">
        <f t="shared" si="6"/>
        <v>1</v>
      </c>
      <c r="I19" s="33" t="s">
        <v>67</v>
      </c>
    </row>
    <row r="20">
      <c r="A20" s="5">
        <v>16.0</v>
      </c>
      <c r="B20" s="11" t="s">
        <v>62</v>
      </c>
      <c r="C20" s="11" t="s">
        <v>10</v>
      </c>
      <c r="D20" s="35" t="s">
        <v>63</v>
      </c>
      <c r="E20" s="12">
        <v>34674.0</v>
      </c>
      <c r="F20" s="8">
        <f t="shared" si="5"/>
        <v>31.60273973</v>
      </c>
      <c r="G20" s="9">
        <v>12.0</v>
      </c>
      <c r="H20" s="9">
        <f t="shared" si="6"/>
        <v>-4</v>
      </c>
      <c r="I20" s="13" t="s">
        <v>64</v>
      </c>
    </row>
    <row r="21">
      <c r="A21" s="27">
        <v>17.0</v>
      </c>
      <c r="B21" s="28" t="s">
        <v>1032</v>
      </c>
      <c r="C21" s="34" t="s">
        <v>14</v>
      </c>
      <c r="D21" s="28" t="s">
        <v>58</v>
      </c>
      <c r="E21" s="30">
        <v>39099.0</v>
      </c>
      <c r="F21" s="31">
        <f t="shared" si="5"/>
        <v>19.48767123</v>
      </c>
      <c r="G21" s="32">
        <v>20.0</v>
      </c>
      <c r="H21" s="32">
        <f t="shared" si="6"/>
        <v>3</v>
      </c>
      <c r="I21" s="33" t="s">
        <v>59</v>
      </c>
    </row>
    <row r="22">
      <c r="A22" s="5">
        <v>18.0</v>
      </c>
      <c r="B22" s="11" t="s">
        <v>73</v>
      </c>
      <c r="C22" s="11" t="s">
        <v>74</v>
      </c>
      <c r="D22" s="11" t="s">
        <v>55</v>
      </c>
      <c r="E22" s="12">
        <v>37651.0</v>
      </c>
      <c r="F22" s="8">
        <f t="shared" si="5"/>
        <v>23.45205479</v>
      </c>
      <c r="G22" s="9">
        <v>17.0</v>
      </c>
      <c r="H22" s="9">
        <f t="shared" si="6"/>
        <v>-1</v>
      </c>
      <c r="I22" s="13" t="s">
        <v>75</v>
      </c>
    </row>
    <row r="23">
      <c r="A23" s="5">
        <v>19.0</v>
      </c>
      <c r="B23" s="11" t="s">
        <v>68</v>
      </c>
      <c r="C23" s="11" t="s">
        <v>10</v>
      </c>
      <c r="D23" s="11" t="s">
        <v>69</v>
      </c>
      <c r="E23" s="12">
        <v>37060.0</v>
      </c>
      <c r="F23" s="8">
        <f t="shared" si="5"/>
        <v>25.07123288</v>
      </c>
      <c r="G23" s="9">
        <v>19.0</v>
      </c>
      <c r="H23" s="9">
        <f t="shared" si="6"/>
        <v>0</v>
      </c>
      <c r="I23" s="13" t="s">
        <v>70</v>
      </c>
    </row>
    <row r="24">
      <c r="A24" s="5">
        <v>20.0</v>
      </c>
      <c r="B24" s="14" t="s">
        <v>71</v>
      </c>
      <c r="C24" s="14" t="s">
        <v>14</v>
      </c>
      <c r="D24" s="14" t="s">
        <v>11</v>
      </c>
      <c r="E24" s="16">
        <v>38778.0</v>
      </c>
      <c r="F24" s="17">
        <f t="shared" si="5"/>
        <v>20.36712329</v>
      </c>
      <c r="G24" s="18">
        <v>29.0</v>
      </c>
      <c r="H24" s="9">
        <f t="shared" si="6"/>
        <v>9</v>
      </c>
      <c r="I24" s="19" t="s">
        <v>72</v>
      </c>
    </row>
    <row r="25">
      <c r="A25" s="20"/>
      <c r="B25" s="21" t="s">
        <v>34</v>
      </c>
      <c r="C25" s="22"/>
      <c r="D25" s="22"/>
      <c r="E25" s="23"/>
      <c r="F25" s="24"/>
      <c r="G25" s="25"/>
      <c r="H25" s="25"/>
      <c r="I25" s="26"/>
    </row>
    <row r="26">
      <c r="A26" s="5">
        <v>21.0</v>
      </c>
      <c r="B26" s="11" t="s">
        <v>76</v>
      </c>
      <c r="C26" s="6" t="s">
        <v>77</v>
      </c>
      <c r="D26" s="11" t="s">
        <v>15</v>
      </c>
      <c r="E26" s="12">
        <v>36995.0</v>
      </c>
      <c r="F26" s="8">
        <f t="shared" ref="F26:F35" si="7">YEARFRAC(E26, TODAY(),1)</f>
        <v>25.24931507</v>
      </c>
      <c r="G26" s="9">
        <v>26.0</v>
      </c>
      <c r="H26" s="9">
        <f t="shared" ref="H26:H35" si="8">MINUS(G26, A26)</f>
        <v>5</v>
      </c>
      <c r="I26" s="13" t="s">
        <v>78</v>
      </c>
    </row>
    <row r="27">
      <c r="A27" s="5">
        <v>22.0</v>
      </c>
      <c r="B27" s="14" t="s">
        <v>89</v>
      </c>
      <c r="C27" s="14" t="s">
        <v>36</v>
      </c>
      <c r="D27" s="14" t="s">
        <v>90</v>
      </c>
      <c r="E27" s="16">
        <v>38567.0</v>
      </c>
      <c r="F27" s="17">
        <f t="shared" si="7"/>
        <v>20.94520548</v>
      </c>
      <c r="G27" s="18">
        <v>34.0</v>
      </c>
      <c r="H27" s="9">
        <f t="shared" si="8"/>
        <v>12</v>
      </c>
      <c r="I27" s="19" t="s">
        <v>91</v>
      </c>
    </row>
    <row r="28">
      <c r="A28" s="5">
        <v>23.0</v>
      </c>
      <c r="B28" s="11" t="s">
        <v>118</v>
      </c>
      <c r="C28" s="35" t="s">
        <v>25</v>
      </c>
      <c r="D28" s="11" t="s">
        <v>82</v>
      </c>
      <c r="E28" s="12">
        <v>37572.0</v>
      </c>
      <c r="F28" s="8">
        <f t="shared" si="7"/>
        <v>23.66849315</v>
      </c>
      <c r="G28" s="9">
        <v>22.0</v>
      </c>
      <c r="H28" s="9">
        <f t="shared" si="8"/>
        <v>-1</v>
      </c>
      <c r="I28" s="13" t="s">
        <v>119</v>
      </c>
    </row>
    <row r="29">
      <c r="A29" s="5">
        <v>24.0</v>
      </c>
      <c r="B29" s="11" t="s">
        <v>86</v>
      </c>
      <c r="C29" s="6" t="s">
        <v>74</v>
      </c>
      <c r="D29" s="6" t="s">
        <v>87</v>
      </c>
      <c r="E29" s="12">
        <v>37539.0</v>
      </c>
      <c r="F29" s="8">
        <f t="shared" si="7"/>
        <v>23.75890411</v>
      </c>
      <c r="G29" s="9">
        <v>23.0</v>
      </c>
      <c r="H29" s="9">
        <f t="shared" si="8"/>
        <v>-1</v>
      </c>
      <c r="I29" s="13" t="s">
        <v>88</v>
      </c>
    </row>
    <row r="30">
      <c r="A30" s="5">
        <v>25.0</v>
      </c>
      <c r="B30" s="11" t="s">
        <v>84</v>
      </c>
      <c r="C30" s="11" t="s">
        <v>14</v>
      </c>
      <c r="D30" s="11" t="s">
        <v>69</v>
      </c>
      <c r="E30" s="12">
        <v>35315.0</v>
      </c>
      <c r="F30" s="8">
        <f t="shared" si="7"/>
        <v>29.84844674</v>
      </c>
      <c r="G30" s="9">
        <v>25.0</v>
      </c>
      <c r="H30" s="9">
        <f t="shared" si="8"/>
        <v>0</v>
      </c>
      <c r="I30" s="13" t="s">
        <v>85</v>
      </c>
    </row>
    <row r="31">
      <c r="A31" s="5">
        <v>26.0</v>
      </c>
      <c r="B31" s="6" t="s">
        <v>94</v>
      </c>
      <c r="C31" s="6" t="s">
        <v>25</v>
      </c>
      <c r="D31" s="6" t="s">
        <v>95</v>
      </c>
      <c r="E31" s="12">
        <v>36894.0</v>
      </c>
      <c r="F31" s="8">
        <f t="shared" si="7"/>
        <v>25.5260274</v>
      </c>
      <c r="G31" s="9">
        <v>18.0</v>
      </c>
      <c r="H31" s="9">
        <f t="shared" si="8"/>
        <v>-8</v>
      </c>
      <c r="I31" s="13" t="s">
        <v>96</v>
      </c>
    </row>
    <row r="32">
      <c r="A32" s="5">
        <v>27.0</v>
      </c>
      <c r="B32" s="11" t="s">
        <v>60</v>
      </c>
      <c r="C32" s="11" t="s">
        <v>10</v>
      </c>
      <c r="D32" s="11" t="s">
        <v>15</v>
      </c>
      <c r="E32" s="12">
        <v>37377.0</v>
      </c>
      <c r="F32" s="8">
        <f t="shared" si="7"/>
        <v>24.20273973</v>
      </c>
      <c r="G32" s="9">
        <v>28.0</v>
      </c>
      <c r="H32" s="9">
        <f t="shared" si="8"/>
        <v>1</v>
      </c>
      <c r="I32" s="13" t="s">
        <v>61</v>
      </c>
    </row>
    <row r="33">
      <c r="A33" s="5">
        <v>28.0</v>
      </c>
      <c r="B33" s="6" t="s">
        <v>81</v>
      </c>
      <c r="C33" s="6" t="s">
        <v>77</v>
      </c>
      <c r="D33" s="6" t="s">
        <v>82</v>
      </c>
      <c r="E33" s="12">
        <v>37130.0</v>
      </c>
      <c r="F33" s="8">
        <f t="shared" si="7"/>
        <v>24.87945205</v>
      </c>
      <c r="G33" s="9">
        <v>27.0</v>
      </c>
      <c r="H33" s="9">
        <f t="shared" si="8"/>
        <v>-1</v>
      </c>
      <c r="I33" s="13" t="s">
        <v>83</v>
      </c>
    </row>
    <row r="34">
      <c r="A34" s="5">
        <v>29.0</v>
      </c>
      <c r="B34" s="11" t="s">
        <v>79</v>
      </c>
      <c r="C34" s="11" t="s">
        <v>14</v>
      </c>
      <c r="D34" s="11" t="s">
        <v>18</v>
      </c>
      <c r="E34" s="12">
        <v>35944.0</v>
      </c>
      <c r="F34" s="8">
        <f t="shared" si="7"/>
        <v>28.1260274</v>
      </c>
      <c r="G34" s="9">
        <v>24.0</v>
      </c>
      <c r="H34" s="9">
        <f t="shared" si="8"/>
        <v>-5</v>
      </c>
      <c r="I34" s="13" t="s">
        <v>80</v>
      </c>
    </row>
    <row r="35">
      <c r="A35" s="27">
        <v>30.0</v>
      </c>
      <c r="B35" s="28" t="s">
        <v>92</v>
      </c>
      <c r="C35" s="34" t="s">
        <v>25</v>
      </c>
      <c r="D35" s="28" t="s">
        <v>87</v>
      </c>
      <c r="E35" s="30">
        <v>38916.0</v>
      </c>
      <c r="F35" s="31">
        <f t="shared" si="7"/>
        <v>19.9890411</v>
      </c>
      <c r="G35" s="32">
        <v>38.0</v>
      </c>
      <c r="H35" s="32">
        <f t="shared" si="8"/>
        <v>8</v>
      </c>
      <c r="I35" s="33" t="s">
        <v>93</v>
      </c>
    </row>
    <row r="36">
      <c r="A36" s="20"/>
      <c r="B36" s="21" t="s">
        <v>34</v>
      </c>
      <c r="C36" s="22"/>
      <c r="D36" s="22"/>
      <c r="E36" s="23"/>
      <c r="F36" s="24"/>
      <c r="G36" s="25"/>
      <c r="H36" s="25"/>
      <c r="I36" s="26"/>
    </row>
    <row r="37">
      <c r="A37" s="5">
        <v>31.0</v>
      </c>
      <c r="B37" s="11" t="s">
        <v>100</v>
      </c>
      <c r="C37" s="11" t="s">
        <v>14</v>
      </c>
      <c r="D37" s="11" t="s">
        <v>22</v>
      </c>
      <c r="E37" s="12">
        <v>35484.0</v>
      </c>
      <c r="F37" s="8">
        <f t="shared" ref="F37:F45" si="9">YEARFRAC(E37, TODAY(),1)</f>
        <v>29.38630137</v>
      </c>
      <c r="G37" s="9">
        <v>35.0</v>
      </c>
      <c r="H37" s="9">
        <f t="shared" ref="H37:H45" si="10">MINUS(G37, A37)</f>
        <v>4</v>
      </c>
      <c r="I37" s="13" t="s">
        <v>101</v>
      </c>
    </row>
    <row r="38">
      <c r="A38" s="5">
        <v>32.0</v>
      </c>
      <c r="B38" s="11" t="s">
        <v>97</v>
      </c>
      <c r="C38" s="11" t="s">
        <v>14</v>
      </c>
      <c r="D38" s="35" t="s">
        <v>98</v>
      </c>
      <c r="E38" s="12">
        <v>36551.0</v>
      </c>
      <c r="F38" s="8">
        <f t="shared" si="9"/>
        <v>26.46320084</v>
      </c>
      <c r="G38" s="9">
        <v>33.0</v>
      </c>
      <c r="H38" s="9">
        <f t="shared" si="10"/>
        <v>1</v>
      </c>
      <c r="I38" s="13" t="s">
        <v>99</v>
      </c>
    </row>
    <row r="39">
      <c r="A39" s="5">
        <v>33.0</v>
      </c>
      <c r="B39" s="15" t="s">
        <v>105</v>
      </c>
      <c r="C39" s="15" t="s">
        <v>14</v>
      </c>
      <c r="D39" s="15" t="s">
        <v>106</v>
      </c>
      <c r="E39" s="16">
        <v>35308.0</v>
      </c>
      <c r="F39" s="17">
        <f t="shared" si="9"/>
        <v>29.86757242</v>
      </c>
      <c r="G39" s="18">
        <v>40.0</v>
      </c>
      <c r="H39" s="9">
        <f t="shared" si="10"/>
        <v>7</v>
      </c>
      <c r="I39" s="19" t="s">
        <v>107</v>
      </c>
    </row>
    <row r="40">
      <c r="A40" s="5">
        <v>34.0</v>
      </c>
      <c r="B40" s="11" t="s">
        <v>102</v>
      </c>
      <c r="C40" s="11" t="s">
        <v>14</v>
      </c>
      <c r="D40" s="35" t="s">
        <v>103</v>
      </c>
      <c r="E40" s="12">
        <v>37125.0</v>
      </c>
      <c r="F40" s="8">
        <f t="shared" si="9"/>
        <v>24.89315068</v>
      </c>
      <c r="G40" s="9">
        <v>21.0</v>
      </c>
      <c r="H40" s="9">
        <f t="shared" si="10"/>
        <v>-13</v>
      </c>
      <c r="I40" s="13" t="s">
        <v>104</v>
      </c>
    </row>
    <row r="41">
      <c r="A41" s="5">
        <v>35.0</v>
      </c>
      <c r="B41" s="15" t="s">
        <v>108</v>
      </c>
      <c r="C41" s="15" t="s">
        <v>21</v>
      </c>
      <c r="D41" s="36" t="s">
        <v>29</v>
      </c>
      <c r="E41" s="37">
        <v>37943.0</v>
      </c>
      <c r="F41" s="17">
        <f t="shared" si="9"/>
        <v>22.65205479</v>
      </c>
      <c r="G41" s="18">
        <v>32.0</v>
      </c>
      <c r="H41" s="9">
        <f t="shared" si="10"/>
        <v>-3</v>
      </c>
      <c r="I41" s="19" t="s">
        <v>109</v>
      </c>
    </row>
    <row r="42">
      <c r="A42" s="5">
        <v>36.0</v>
      </c>
      <c r="B42" s="11" t="s">
        <v>110</v>
      </c>
      <c r="C42" s="11" t="s">
        <v>36</v>
      </c>
      <c r="D42" s="11" t="s">
        <v>111</v>
      </c>
      <c r="E42" s="12">
        <v>35368.0</v>
      </c>
      <c r="F42" s="8">
        <f t="shared" si="9"/>
        <v>29.703638</v>
      </c>
      <c r="G42" s="9">
        <v>30.0</v>
      </c>
      <c r="H42" s="9">
        <f t="shared" si="10"/>
        <v>-6</v>
      </c>
      <c r="I42" s="13" t="s">
        <v>112</v>
      </c>
    </row>
    <row r="43">
      <c r="A43" s="5">
        <v>37.0</v>
      </c>
      <c r="B43" s="11" t="s">
        <v>116</v>
      </c>
      <c r="C43" s="11" t="s">
        <v>10</v>
      </c>
      <c r="D43" s="35" t="s">
        <v>106</v>
      </c>
      <c r="E43" s="12">
        <v>35018.0</v>
      </c>
      <c r="F43" s="8">
        <f t="shared" si="9"/>
        <v>30.66027397</v>
      </c>
      <c r="G43" s="9">
        <v>42.0</v>
      </c>
      <c r="H43" s="9">
        <f t="shared" si="10"/>
        <v>5</v>
      </c>
      <c r="I43" s="13" t="s">
        <v>117</v>
      </c>
    </row>
    <row r="44">
      <c r="A44" s="5">
        <v>38.0</v>
      </c>
      <c r="B44" s="11" t="s">
        <v>113</v>
      </c>
      <c r="C44" s="11" t="s">
        <v>77</v>
      </c>
      <c r="D44" s="11" t="s">
        <v>114</v>
      </c>
      <c r="E44" s="12">
        <v>36695.0</v>
      </c>
      <c r="F44" s="8">
        <f t="shared" si="9"/>
        <v>26.06975822</v>
      </c>
      <c r="G44" s="9">
        <v>37.0</v>
      </c>
      <c r="H44" s="9">
        <f t="shared" si="10"/>
        <v>-1</v>
      </c>
      <c r="I44" s="13" t="s">
        <v>115</v>
      </c>
    </row>
    <row r="45">
      <c r="A45" s="5">
        <v>39.0</v>
      </c>
      <c r="B45" s="14" t="s">
        <v>122</v>
      </c>
      <c r="C45" s="36" t="s">
        <v>36</v>
      </c>
      <c r="D45" s="36" t="s">
        <v>123</v>
      </c>
      <c r="E45" s="16">
        <v>35362.0</v>
      </c>
      <c r="F45" s="17">
        <f t="shared" si="9"/>
        <v>29.72003144</v>
      </c>
      <c r="G45" s="18">
        <v>36.0</v>
      </c>
      <c r="H45" s="9">
        <f t="shared" si="10"/>
        <v>-3</v>
      </c>
      <c r="I45" s="19" t="s">
        <v>124</v>
      </c>
    </row>
    <row r="46">
      <c r="A46" s="20"/>
      <c r="B46" s="21" t="s">
        <v>34</v>
      </c>
      <c r="C46" s="22"/>
      <c r="D46" s="22"/>
      <c r="E46" s="23"/>
      <c r="F46" s="24"/>
      <c r="G46" s="25"/>
      <c r="H46" s="25"/>
      <c r="I46" s="26"/>
    </row>
    <row r="47">
      <c r="A47" s="5">
        <v>40.0</v>
      </c>
      <c r="B47" s="11" t="s">
        <v>125</v>
      </c>
      <c r="C47" s="11" t="s">
        <v>14</v>
      </c>
      <c r="D47" s="35" t="s">
        <v>66</v>
      </c>
      <c r="E47" s="12">
        <v>36057.0</v>
      </c>
      <c r="F47" s="8">
        <f t="shared" ref="F47:F62" si="11">YEARFRAC(E47, TODAY(),1)</f>
        <v>27.81643836</v>
      </c>
      <c r="G47" s="9">
        <v>31.0</v>
      </c>
      <c r="H47" s="9">
        <f t="shared" ref="H47:H62" si="12">MINUS(G47, A47)</f>
        <v>-9</v>
      </c>
      <c r="I47" s="13" t="s">
        <v>126</v>
      </c>
    </row>
    <row r="48">
      <c r="A48" s="5">
        <v>41.0</v>
      </c>
      <c r="B48" s="6" t="s">
        <v>132</v>
      </c>
      <c r="C48" s="6" t="s">
        <v>74</v>
      </c>
      <c r="D48" s="6" t="s">
        <v>11</v>
      </c>
      <c r="E48" s="12">
        <v>38292.0</v>
      </c>
      <c r="F48" s="8">
        <f t="shared" si="11"/>
        <v>21.69817352</v>
      </c>
      <c r="G48" s="9">
        <v>47.0</v>
      </c>
      <c r="H48" s="9">
        <f t="shared" si="12"/>
        <v>6</v>
      </c>
      <c r="I48" s="13" t="s">
        <v>133</v>
      </c>
    </row>
    <row r="49">
      <c r="A49" s="5">
        <v>42.0</v>
      </c>
      <c r="B49" s="6" t="s">
        <v>134</v>
      </c>
      <c r="C49" s="6" t="s">
        <v>25</v>
      </c>
      <c r="D49" s="6" t="s">
        <v>90</v>
      </c>
      <c r="E49" s="12">
        <v>37582.0</v>
      </c>
      <c r="F49" s="8">
        <f t="shared" si="11"/>
        <v>23.64109589</v>
      </c>
      <c r="G49" s="9">
        <v>53.0</v>
      </c>
      <c r="H49" s="9">
        <f t="shared" si="12"/>
        <v>11</v>
      </c>
      <c r="I49" s="13" t="s">
        <v>135</v>
      </c>
    </row>
    <row r="50">
      <c r="A50" s="5">
        <v>43.0</v>
      </c>
      <c r="B50" s="11" t="s">
        <v>127</v>
      </c>
      <c r="C50" s="11" t="s">
        <v>10</v>
      </c>
      <c r="D50" s="11" t="s">
        <v>128</v>
      </c>
      <c r="E50" s="12">
        <v>35629.0</v>
      </c>
      <c r="F50" s="8">
        <f t="shared" si="11"/>
        <v>28.9890411</v>
      </c>
      <c r="G50" s="9">
        <v>45.0</v>
      </c>
      <c r="H50" s="9">
        <f t="shared" si="12"/>
        <v>2</v>
      </c>
      <c r="I50" s="13" t="s">
        <v>129</v>
      </c>
    </row>
    <row r="51">
      <c r="A51" s="5">
        <v>44.0</v>
      </c>
      <c r="B51" s="14" t="s">
        <v>130</v>
      </c>
      <c r="C51" s="14" t="s">
        <v>14</v>
      </c>
      <c r="D51" s="14" t="s">
        <v>40</v>
      </c>
      <c r="E51" s="16">
        <v>38563.0</v>
      </c>
      <c r="F51" s="17">
        <f t="shared" si="11"/>
        <v>20.95616438</v>
      </c>
      <c r="G51" s="18">
        <v>39.0</v>
      </c>
      <c r="H51" s="9">
        <f t="shared" si="12"/>
        <v>-5</v>
      </c>
      <c r="I51" s="19" t="s">
        <v>131</v>
      </c>
    </row>
    <row r="52">
      <c r="A52" s="5">
        <v>45.0</v>
      </c>
      <c r="B52" s="11" t="s">
        <v>140</v>
      </c>
      <c r="C52" s="11" t="s">
        <v>25</v>
      </c>
      <c r="D52" s="11" t="s">
        <v>58</v>
      </c>
      <c r="E52" s="12">
        <v>35572.0</v>
      </c>
      <c r="F52" s="8">
        <f t="shared" si="11"/>
        <v>29.14520548</v>
      </c>
      <c r="G52" s="9">
        <v>49.0</v>
      </c>
      <c r="H52" s="9">
        <f t="shared" si="12"/>
        <v>4</v>
      </c>
      <c r="I52" s="13" t="s">
        <v>141</v>
      </c>
    </row>
    <row r="53">
      <c r="A53" s="5">
        <v>46.0</v>
      </c>
      <c r="B53" s="11" t="s">
        <v>136</v>
      </c>
      <c r="C53" s="11" t="s">
        <v>21</v>
      </c>
      <c r="D53" s="11" t="s">
        <v>95</v>
      </c>
      <c r="E53" s="12">
        <v>38040.0</v>
      </c>
      <c r="F53" s="8">
        <f t="shared" si="11"/>
        <v>22.38669811</v>
      </c>
      <c r="G53" s="9">
        <v>41.0</v>
      </c>
      <c r="H53" s="9">
        <f t="shared" si="12"/>
        <v>-5</v>
      </c>
      <c r="I53" s="13" t="s">
        <v>137</v>
      </c>
    </row>
    <row r="54">
      <c r="A54" s="5">
        <v>47.0</v>
      </c>
      <c r="B54" s="11" t="s">
        <v>152</v>
      </c>
      <c r="C54" s="11" t="s">
        <v>21</v>
      </c>
      <c r="D54" s="35" t="s">
        <v>153</v>
      </c>
      <c r="E54" s="12">
        <v>37098.0</v>
      </c>
      <c r="F54" s="8">
        <f t="shared" si="11"/>
        <v>24.96712329</v>
      </c>
      <c r="G54" s="9">
        <v>71.0</v>
      </c>
      <c r="H54" s="9">
        <f t="shared" si="12"/>
        <v>24</v>
      </c>
      <c r="I54" s="13" t="s">
        <v>154</v>
      </c>
    </row>
    <row r="55">
      <c r="A55" s="5">
        <v>48.0</v>
      </c>
      <c r="B55" s="6" t="s">
        <v>138</v>
      </c>
      <c r="C55" s="11" t="s">
        <v>10</v>
      </c>
      <c r="D55" s="6" t="s">
        <v>66</v>
      </c>
      <c r="E55" s="12">
        <v>38468.0</v>
      </c>
      <c r="F55" s="8">
        <f t="shared" si="11"/>
        <v>21.21643836</v>
      </c>
      <c r="G55" s="9">
        <v>43.0</v>
      </c>
      <c r="H55" s="9">
        <f t="shared" si="12"/>
        <v>-5</v>
      </c>
      <c r="I55" s="13" t="s">
        <v>139</v>
      </c>
    </row>
    <row r="56">
      <c r="A56" s="5">
        <v>49.0</v>
      </c>
      <c r="B56" s="11" t="s">
        <v>146</v>
      </c>
      <c r="C56" s="11" t="s">
        <v>14</v>
      </c>
      <c r="D56" s="11" t="s">
        <v>58</v>
      </c>
      <c r="E56" s="12">
        <v>37933.0</v>
      </c>
      <c r="F56" s="8">
        <f t="shared" si="11"/>
        <v>22.67945205</v>
      </c>
      <c r="G56" s="9">
        <v>44.0</v>
      </c>
      <c r="H56" s="9">
        <f t="shared" si="12"/>
        <v>-5</v>
      </c>
      <c r="I56" s="13" t="s">
        <v>147</v>
      </c>
    </row>
    <row r="57">
      <c r="A57" s="27">
        <v>50.0</v>
      </c>
      <c r="B57" s="28" t="s">
        <v>1033</v>
      </c>
      <c r="C57" s="34" t="s">
        <v>183</v>
      </c>
      <c r="D57" s="28" t="s">
        <v>167</v>
      </c>
      <c r="E57" s="30">
        <v>39037.0</v>
      </c>
      <c r="F57" s="31">
        <f t="shared" si="11"/>
        <v>19.65753425</v>
      </c>
      <c r="G57" s="32">
        <v>48.0</v>
      </c>
      <c r="H57" s="32">
        <f t="shared" si="12"/>
        <v>-2</v>
      </c>
      <c r="I57" s="41" t="s">
        <v>184</v>
      </c>
    </row>
    <row r="58">
      <c r="A58" s="5">
        <v>51.0</v>
      </c>
      <c r="B58" s="14" t="s">
        <v>142</v>
      </c>
      <c r="C58" s="14" t="s">
        <v>21</v>
      </c>
      <c r="D58" s="14" t="s">
        <v>49</v>
      </c>
      <c r="E58" s="16">
        <v>37390.0</v>
      </c>
      <c r="F58" s="17">
        <f t="shared" si="11"/>
        <v>24.16712329</v>
      </c>
      <c r="G58" s="9">
        <v>54.0</v>
      </c>
      <c r="H58" s="9">
        <f t="shared" si="12"/>
        <v>3</v>
      </c>
      <c r="I58" s="19" t="s">
        <v>143</v>
      </c>
    </row>
    <row r="59">
      <c r="A59" s="5">
        <v>52.0</v>
      </c>
      <c r="B59" s="15" t="s">
        <v>160</v>
      </c>
      <c r="C59" s="15" t="s">
        <v>25</v>
      </c>
      <c r="D59" s="36" t="s">
        <v>161</v>
      </c>
      <c r="E59" s="16">
        <v>35675.0</v>
      </c>
      <c r="F59" s="17">
        <f t="shared" si="11"/>
        <v>28.8630137</v>
      </c>
      <c r="G59" s="18">
        <v>80.0</v>
      </c>
      <c r="H59" s="9">
        <f t="shared" si="12"/>
        <v>28</v>
      </c>
      <c r="I59" s="19" t="s">
        <v>162</v>
      </c>
    </row>
    <row r="60">
      <c r="A60" s="5">
        <v>53.0</v>
      </c>
      <c r="B60" s="11" t="s">
        <v>120</v>
      </c>
      <c r="C60" s="11" t="s">
        <v>10</v>
      </c>
      <c r="D60" s="35" t="s">
        <v>58</v>
      </c>
      <c r="E60" s="12">
        <v>36418.0</v>
      </c>
      <c r="F60" s="8">
        <f t="shared" si="11"/>
        <v>26.82739726</v>
      </c>
      <c r="G60" s="9">
        <v>61.0</v>
      </c>
      <c r="H60" s="9">
        <f t="shared" si="12"/>
        <v>8</v>
      </c>
      <c r="I60" s="13" t="s">
        <v>121</v>
      </c>
    </row>
    <row r="61">
      <c r="A61" s="27">
        <v>54.0</v>
      </c>
      <c r="B61" s="28" t="s">
        <v>1034</v>
      </c>
      <c r="C61" s="34" t="s">
        <v>14</v>
      </c>
      <c r="D61" s="28" t="s">
        <v>98</v>
      </c>
      <c r="E61" s="30">
        <v>39116.0</v>
      </c>
      <c r="F61" s="31">
        <f t="shared" si="11"/>
        <v>19.44109589</v>
      </c>
      <c r="G61" s="32">
        <v>63.0</v>
      </c>
      <c r="H61" s="32">
        <f t="shared" si="12"/>
        <v>9</v>
      </c>
      <c r="I61" s="33" t="s">
        <v>149</v>
      </c>
    </row>
    <row r="62">
      <c r="A62" s="5">
        <v>55.0</v>
      </c>
      <c r="B62" s="15" t="s">
        <v>166</v>
      </c>
      <c r="C62" s="15" t="s">
        <v>10</v>
      </c>
      <c r="D62" s="36" t="s">
        <v>167</v>
      </c>
      <c r="E62" s="16">
        <v>35188.0</v>
      </c>
      <c r="F62" s="17">
        <f t="shared" si="11"/>
        <v>30.19544128</v>
      </c>
      <c r="G62" s="18">
        <v>50.0</v>
      </c>
      <c r="H62" s="9">
        <f t="shared" si="12"/>
        <v>-5</v>
      </c>
      <c r="I62" s="19" t="s">
        <v>168</v>
      </c>
    </row>
    <row r="63">
      <c r="A63" s="20"/>
      <c r="B63" s="21" t="s">
        <v>34</v>
      </c>
      <c r="C63" s="22"/>
      <c r="D63" s="22"/>
      <c r="E63" s="23"/>
      <c r="F63" s="24"/>
      <c r="G63" s="25"/>
      <c r="H63" s="25"/>
      <c r="I63" s="26"/>
    </row>
    <row r="64">
      <c r="A64" s="5">
        <v>56.0</v>
      </c>
      <c r="B64" s="6" t="s">
        <v>150</v>
      </c>
      <c r="C64" s="6" t="s">
        <v>10</v>
      </c>
      <c r="D64" s="6" t="s">
        <v>43</v>
      </c>
      <c r="E64" s="12">
        <v>36871.0</v>
      </c>
      <c r="F64" s="8">
        <f t="shared" ref="F64:F75" si="13">YEARFRAC(E64, TODAY(),1)</f>
        <v>25.5888839</v>
      </c>
      <c r="G64" s="9">
        <v>56.0</v>
      </c>
      <c r="H64" s="9">
        <f t="shared" ref="H64:H75" si="14">MINUS(G64, A64)</f>
        <v>0</v>
      </c>
      <c r="I64" s="13" t="s">
        <v>151</v>
      </c>
    </row>
    <row r="65">
      <c r="A65" s="5">
        <v>57.0</v>
      </c>
      <c r="B65" s="11" t="s">
        <v>144</v>
      </c>
      <c r="C65" s="11" t="s">
        <v>36</v>
      </c>
      <c r="D65" s="6" t="s">
        <v>82</v>
      </c>
      <c r="E65" s="12">
        <v>35971.0</v>
      </c>
      <c r="F65" s="8">
        <f t="shared" si="13"/>
        <v>28.05205479</v>
      </c>
      <c r="G65" s="9">
        <v>58.0</v>
      </c>
      <c r="H65" s="9">
        <f t="shared" si="14"/>
        <v>1</v>
      </c>
      <c r="I65" s="13" t="s">
        <v>145</v>
      </c>
    </row>
    <row r="66">
      <c r="A66" s="5">
        <v>58.0</v>
      </c>
      <c r="B66" s="11" t="s">
        <v>171</v>
      </c>
      <c r="C66" s="11" t="s">
        <v>25</v>
      </c>
      <c r="D66" s="6" t="s">
        <v>55</v>
      </c>
      <c r="E66" s="12">
        <v>32415.0</v>
      </c>
      <c r="F66" s="8">
        <f t="shared" si="13"/>
        <v>37.78833745</v>
      </c>
      <c r="G66" s="9">
        <v>51.0</v>
      </c>
      <c r="H66" s="9">
        <f t="shared" si="14"/>
        <v>-7</v>
      </c>
      <c r="I66" s="13" t="s">
        <v>172</v>
      </c>
    </row>
    <row r="67">
      <c r="A67" s="5">
        <v>59.0</v>
      </c>
      <c r="B67" s="11" t="s">
        <v>169</v>
      </c>
      <c r="C67" s="11" t="s">
        <v>14</v>
      </c>
      <c r="D67" s="35" t="s">
        <v>69</v>
      </c>
      <c r="E67" s="39">
        <v>32746.0</v>
      </c>
      <c r="F67" s="8">
        <f t="shared" si="13"/>
        <v>36.88219178</v>
      </c>
      <c r="G67" s="9">
        <v>46.0</v>
      </c>
      <c r="H67" s="9">
        <f t="shared" si="14"/>
        <v>-13</v>
      </c>
      <c r="I67" s="13" t="s">
        <v>170</v>
      </c>
    </row>
    <row r="68">
      <c r="A68" s="27">
        <v>60.0</v>
      </c>
      <c r="B68" s="28" t="s">
        <v>1035</v>
      </c>
      <c r="C68" s="29" t="s">
        <v>14</v>
      </c>
      <c r="D68" s="28" t="s">
        <v>158</v>
      </c>
      <c r="E68" s="30">
        <v>38810.0</v>
      </c>
      <c r="F68" s="31">
        <f t="shared" si="13"/>
        <v>20.27945205</v>
      </c>
      <c r="G68" s="32">
        <v>68.0</v>
      </c>
      <c r="H68" s="32">
        <f t="shared" si="14"/>
        <v>8</v>
      </c>
      <c r="I68" s="38" t="s">
        <v>159</v>
      </c>
    </row>
    <row r="69">
      <c r="A69" s="5">
        <v>61.0</v>
      </c>
      <c r="B69" s="11" t="s">
        <v>173</v>
      </c>
      <c r="C69" s="11" t="s">
        <v>14</v>
      </c>
      <c r="D69" s="6" t="s">
        <v>11</v>
      </c>
      <c r="E69" s="12">
        <v>35784.0</v>
      </c>
      <c r="F69" s="8">
        <f t="shared" si="13"/>
        <v>28.56438356</v>
      </c>
      <c r="G69" s="9">
        <v>52.0</v>
      </c>
      <c r="H69" s="9">
        <f t="shared" si="14"/>
        <v>-9</v>
      </c>
      <c r="I69" s="13" t="s">
        <v>174</v>
      </c>
    </row>
    <row r="70">
      <c r="A70" s="5">
        <v>62.0</v>
      </c>
      <c r="B70" s="11" t="s">
        <v>189</v>
      </c>
      <c r="C70" s="11" t="s">
        <v>10</v>
      </c>
      <c r="D70" s="11" t="s">
        <v>114</v>
      </c>
      <c r="E70" s="12">
        <v>36713.0</v>
      </c>
      <c r="F70" s="8">
        <f t="shared" si="13"/>
        <v>26.02057789</v>
      </c>
      <c r="G70" s="9">
        <v>64.0</v>
      </c>
      <c r="H70" s="9">
        <f t="shared" si="14"/>
        <v>2</v>
      </c>
      <c r="I70" s="13" t="s">
        <v>190</v>
      </c>
    </row>
    <row r="71">
      <c r="A71" s="5">
        <v>63.0</v>
      </c>
      <c r="B71" s="11" t="s">
        <v>175</v>
      </c>
      <c r="C71" s="11" t="s">
        <v>14</v>
      </c>
      <c r="D71" s="6" t="s">
        <v>176</v>
      </c>
      <c r="E71" s="12">
        <v>32216.0</v>
      </c>
      <c r="F71" s="8">
        <f t="shared" si="13"/>
        <v>38.3320533</v>
      </c>
      <c r="G71" s="9">
        <v>66.0</v>
      </c>
      <c r="H71" s="9">
        <f t="shared" si="14"/>
        <v>3</v>
      </c>
      <c r="I71" s="13" t="s">
        <v>177</v>
      </c>
    </row>
    <row r="72">
      <c r="A72" s="5">
        <v>64.0</v>
      </c>
      <c r="B72" s="15" t="s">
        <v>178</v>
      </c>
      <c r="C72" s="15" t="s">
        <v>10</v>
      </c>
      <c r="D72" s="36" t="s">
        <v>66</v>
      </c>
      <c r="E72" s="16">
        <v>34039.0</v>
      </c>
      <c r="F72" s="17">
        <f t="shared" si="13"/>
        <v>33.34246575</v>
      </c>
      <c r="G72" s="18">
        <v>62.0</v>
      </c>
      <c r="H72" s="9">
        <f t="shared" si="14"/>
        <v>-2</v>
      </c>
      <c r="I72" s="19" t="s">
        <v>179</v>
      </c>
    </row>
    <row r="73">
      <c r="A73" s="5">
        <v>65.0</v>
      </c>
      <c r="B73" s="15" t="s">
        <v>193</v>
      </c>
      <c r="C73" s="15" t="s">
        <v>10</v>
      </c>
      <c r="D73" s="14" t="s">
        <v>52</v>
      </c>
      <c r="E73" s="16">
        <v>38513.0</v>
      </c>
      <c r="F73" s="17">
        <f t="shared" si="13"/>
        <v>21.09315068</v>
      </c>
      <c r="G73" s="18">
        <v>89.0</v>
      </c>
      <c r="H73" s="9">
        <f t="shared" si="14"/>
        <v>24</v>
      </c>
      <c r="I73" s="19" t="s">
        <v>194</v>
      </c>
    </row>
    <row r="74">
      <c r="A74" s="5">
        <v>66.0</v>
      </c>
      <c r="B74" s="6" t="s">
        <v>163</v>
      </c>
      <c r="C74" s="11" t="s">
        <v>21</v>
      </c>
      <c r="D74" s="35" t="s">
        <v>164</v>
      </c>
      <c r="E74" s="12">
        <v>38097.0</v>
      </c>
      <c r="F74" s="8">
        <f t="shared" si="13"/>
        <v>22.2309604</v>
      </c>
      <c r="G74" s="9">
        <v>75.0</v>
      </c>
      <c r="H74" s="9">
        <f t="shared" si="14"/>
        <v>9</v>
      </c>
      <c r="I74" s="13" t="s">
        <v>165</v>
      </c>
    </row>
    <row r="75">
      <c r="A75" s="5">
        <v>67.0</v>
      </c>
      <c r="B75" s="6" t="s">
        <v>155</v>
      </c>
      <c r="C75" s="6" t="s">
        <v>21</v>
      </c>
      <c r="D75" s="35" t="s">
        <v>46</v>
      </c>
      <c r="E75" s="12">
        <v>35507.0</v>
      </c>
      <c r="F75" s="8">
        <f t="shared" si="13"/>
        <v>29.32328767</v>
      </c>
      <c r="G75" s="9">
        <v>59.0</v>
      </c>
      <c r="H75" s="9">
        <f t="shared" si="14"/>
        <v>-8</v>
      </c>
      <c r="I75" s="13" t="s">
        <v>156</v>
      </c>
    </row>
    <row r="76">
      <c r="A76" s="20"/>
      <c r="B76" s="21" t="s">
        <v>34</v>
      </c>
      <c r="C76" s="22"/>
      <c r="D76" s="22"/>
      <c r="E76" s="23"/>
      <c r="F76" s="24"/>
      <c r="G76" s="25"/>
      <c r="H76" s="25"/>
      <c r="I76" s="26"/>
    </row>
    <row r="77">
      <c r="A77" s="5">
        <v>68.0</v>
      </c>
      <c r="B77" s="15" t="s">
        <v>205</v>
      </c>
      <c r="C77" s="15" t="s">
        <v>36</v>
      </c>
      <c r="D77" s="36" t="s">
        <v>206</v>
      </c>
      <c r="E77" s="16">
        <v>33418.0</v>
      </c>
      <c r="F77" s="17">
        <f t="shared" ref="F77:F90" si="15">YEARFRAC(E77, TODAY(),1)</f>
        <v>35.04109589</v>
      </c>
      <c r="G77" s="18">
        <v>72.0</v>
      </c>
      <c r="H77" s="9">
        <f t="shared" ref="H77:H90" si="16">MINUS(G77, A77)</f>
        <v>4</v>
      </c>
      <c r="I77" s="19" t="s">
        <v>207</v>
      </c>
    </row>
    <row r="78">
      <c r="A78" s="27">
        <v>69.0</v>
      </c>
      <c r="B78" s="28" t="s">
        <v>208</v>
      </c>
      <c r="C78" s="34" t="s">
        <v>14</v>
      </c>
      <c r="D78" s="28" t="s">
        <v>43</v>
      </c>
      <c r="E78" s="44">
        <v>39085.0</v>
      </c>
      <c r="F78" s="31">
        <f t="shared" si="15"/>
        <v>19.5260274</v>
      </c>
      <c r="G78" s="32">
        <v>69.0</v>
      </c>
      <c r="H78" s="32">
        <f t="shared" si="16"/>
        <v>0</v>
      </c>
      <c r="I78" s="33" t="s">
        <v>209</v>
      </c>
    </row>
    <row r="79">
      <c r="A79" s="5">
        <v>70.0</v>
      </c>
      <c r="B79" s="11" t="s">
        <v>201</v>
      </c>
      <c r="C79" s="11" t="s">
        <v>14</v>
      </c>
      <c r="D79" s="11" t="s">
        <v>26</v>
      </c>
      <c r="E79" s="12">
        <v>33686.0</v>
      </c>
      <c r="F79" s="8">
        <f t="shared" si="15"/>
        <v>34.30746313</v>
      </c>
      <c r="G79" s="9">
        <v>65.0</v>
      </c>
      <c r="H79" s="9">
        <f t="shared" si="16"/>
        <v>-5</v>
      </c>
      <c r="I79" s="13" t="s">
        <v>202</v>
      </c>
    </row>
    <row r="80">
      <c r="A80" s="5">
        <v>71.0</v>
      </c>
      <c r="B80" s="6" t="s">
        <v>191</v>
      </c>
      <c r="C80" s="35" t="s">
        <v>869</v>
      </c>
      <c r="D80" s="6" t="s">
        <v>46</v>
      </c>
      <c r="E80" s="12">
        <v>34426.0</v>
      </c>
      <c r="F80" s="8">
        <f t="shared" si="15"/>
        <v>32.28219178</v>
      </c>
      <c r="G80" s="9">
        <v>73.0</v>
      </c>
      <c r="H80" s="9">
        <f t="shared" si="16"/>
        <v>2</v>
      </c>
      <c r="I80" s="42" t="s">
        <v>192</v>
      </c>
    </row>
    <row r="81">
      <c r="A81" s="5">
        <v>72.0</v>
      </c>
      <c r="B81" s="6" t="s">
        <v>187</v>
      </c>
      <c r="C81" s="6" t="s">
        <v>25</v>
      </c>
      <c r="D81" s="6" t="s">
        <v>87</v>
      </c>
      <c r="E81" s="12">
        <v>38263.0</v>
      </c>
      <c r="F81" s="8">
        <f t="shared" si="15"/>
        <v>21.77740849</v>
      </c>
      <c r="G81" s="9">
        <v>74.0</v>
      </c>
      <c r="H81" s="9">
        <f t="shared" si="16"/>
        <v>2</v>
      </c>
      <c r="I81" s="13" t="s">
        <v>188</v>
      </c>
    </row>
    <row r="82">
      <c r="A82" s="5">
        <v>73.0</v>
      </c>
      <c r="B82" s="11" t="s">
        <v>180</v>
      </c>
      <c r="C82" s="11" t="s">
        <v>77</v>
      </c>
      <c r="D82" s="6" t="s">
        <v>106</v>
      </c>
      <c r="E82" s="12">
        <v>35628.0</v>
      </c>
      <c r="F82" s="8">
        <f t="shared" si="15"/>
        <v>28.99178082</v>
      </c>
      <c r="G82" s="9">
        <v>83.0</v>
      </c>
      <c r="H82" s="9">
        <f t="shared" si="16"/>
        <v>10</v>
      </c>
      <c r="I82" s="40" t="s">
        <v>181</v>
      </c>
    </row>
    <row r="83">
      <c r="A83" s="5">
        <v>74.0</v>
      </c>
      <c r="B83" s="14" t="s">
        <v>185</v>
      </c>
      <c r="C83" s="6" t="s">
        <v>14</v>
      </c>
      <c r="D83" s="6" t="s">
        <v>32</v>
      </c>
      <c r="E83" s="12">
        <v>34517.0</v>
      </c>
      <c r="F83" s="8">
        <f t="shared" si="15"/>
        <v>32.03287671</v>
      </c>
      <c r="G83" s="9">
        <v>78.0</v>
      </c>
      <c r="H83" s="9">
        <f t="shared" si="16"/>
        <v>4</v>
      </c>
      <c r="I83" s="13" t="s">
        <v>186</v>
      </c>
    </row>
    <row r="84">
      <c r="A84" s="5">
        <v>75.0</v>
      </c>
      <c r="B84" s="15" t="s">
        <v>195</v>
      </c>
      <c r="C84" s="11" t="s">
        <v>14</v>
      </c>
      <c r="D84" s="35" t="s">
        <v>164</v>
      </c>
      <c r="E84" s="12">
        <v>36545.0</v>
      </c>
      <c r="F84" s="8">
        <f t="shared" si="15"/>
        <v>26.47959428</v>
      </c>
      <c r="G84" s="9">
        <v>57.0</v>
      </c>
      <c r="H84" s="9">
        <f t="shared" si="16"/>
        <v>-18</v>
      </c>
      <c r="I84" s="13" t="s">
        <v>196</v>
      </c>
    </row>
    <row r="85">
      <c r="A85" s="5">
        <v>76.0</v>
      </c>
      <c r="B85" s="11" t="s">
        <v>215</v>
      </c>
      <c r="C85" s="11" t="s">
        <v>21</v>
      </c>
      <c r="D85" s="11" t="s">
        <v>40</v>
      </c>
      <c r="E85" s="12">
        <v>34409.0</v>
      </c>
      <c r="F85" s="8">
        <f t="shared" si="15"/>
        <v>32.32876712</v>
      </c>
      <c r="G85" s="9">
        <v>70.0</v>
      </c>
      <c r="H85" s="9">
        <f t="shared" si="16"/>
        <v>-6</v>
      </c>
      <c r="I85" s="13" t="s">
        <v>216</v>
      </c>
    </row>
    <row r="86">
      <c r="A86" s="5">
        <v>77.0</v>
      </c>
      <c r="B86" s="11" t="s">
        <v>217</v>
      </c>
      <c r="C86" s="11" t="s">
        <v>14</v>
      </c>
      <c r="D86" s="35" t="s">
        <v>218</v>
      </c>
      <c r="E86" s="12">
        <v>36382.0</v>
      </c>
      <c r="F86" s="8">
        <f t="shared" si="15"/>
        <v>26.9260274</v>
      </c>
      <c r="G86" s="9">
        <v>67.0</v>
      </c>
      <c r="H86" s="9">
        <f t="shared" si="16"/>
        <v>-10</v>
      </c>
      <c r="I86" s="13" t="s">
        <v>219</v>
      </c>
    </row>
    <row r="87">
      <c r="A87" s="5">
        <v>78.0</v>
      </c>
      <c r="B87" s="6" t="s">
        <v>203</v>
      </c>
      <c r="C87" s="6" t="s">
        <v>14</v>
      </c>
      <c r="D87" s="6" t="s">
        <v>43</v>
      </c>
      <c r="E87" s="12">
        <v>37697.0</v>
      </c>
      <c r="F87" s="8">
        <f t="shared" si="15"/>
        <v>23.3260274</v>
      </c>
      <c r="G87" s="9">
        <v>76.0</v>
      </c>
      <c r="H87" s="9">
        <f t="shared" si="16"/>
        <v>-2</v>
      </c>
      <c r="I87" s="13" t="s">
        <v>204</v>
      </c>
    </row>
    <row r="88">
      <c r="A88" s="5">
        <v>79.0</v>
      </c>
      <c r="B88" s="6" t="s">
        <v>224</v>
      </c>
      <c r="C88" s="11" t="s">
        <v>36</v>
      </c>
      <c r="D88" s="11" t="s">
        <v>29</v>
      </c>
      <c r="E88" s="12">
        <v>37651.0</v>
      </c>
      <c r="F88" s="8">
        <f t="shared" si="15"/>
        <v>23.45205479</v>
      </c>
      <c r="G88" s="9">
        <v>96.0</v>
      </c>
      <c r="H88" s="9">
        <f t="shared" si="16"/>
        <v>17</v>
      </c>
      <c r="I88" s="13" t="s">
        <v>225</v>
      </c>
    </row>
    <row r="89">
      <c r="A89" s="5">
        <v>80.0</v>
      </c>
      <c r="B89" s="11" t="s">
        <v>199</v>
      </c>
      <c r="C89" s="11" t="s">
        <v>14</v>
      </c>
      <c r="D89" s="11" t="s">
        <v>82</v>
      </c>
      <c r="E89" s="12">
        <v>37045.0</v>
      </c>
      <c r="F89" s="8">
        <f t="shared" si="15"/>
        <v>25.11232877</v>
      </c>
      <c r="G89" s="9">
        <v>84.0</v>
      </c>
      <c r="H89" s="9">
        <f t="shared" si="16"/>
        <v>4</v>
      </c>
      <c r="I89" s="13" t="s">
        <v>200</v>
      </c>
    </row>
    <row r="90">
      <c r="A90" s="5">
        <v>81.0</v>
      </c>
      <c r="B90" s="15" t="s">
        <v>210</v>
      </c>
      <c r="C90" s="15" t="s">
        <v>36</v>
      </c>
      <c r="D90" s="15" t="s">
        <v>49</v>
      </c>
      <c r="E90" s="16">
        <v>37875.0</v>
      </c>
      <c r="F90" s="17">
        <f t="shared" si="15"/>
        <v>22.83835616</v>
      </c>
      <c r="G90" s="18">
        <v>86.0</v>
      </c>
      <c r="H90" s="9">
        <f t="shared" si="16"/>
        <v>5</v>
      </c>
      <c r="I90" s="45" t="s">
        <v>211</v>
      </c>
    </row>
    <row r="91">
      <c r="A91" s="20"/>
      <c r="B91" s="21" t="s">
        <v>34</v>
      </c>
      <c r="C91" s="22"/>
      <c r="D91" s="22"/>
      <c r="E91" s="23"/>
      <c r="F91" s="24"/>
      <c r="G91" s="25"/>
      <c r="H91" s="25"/>
      <c r="I91" s="26"/>
    </row>
    <row r="92">
      <c r="A92" s="5">
        <v>82.0</v>
      </c>
      <c r="B92" s="11" t="s">
        <v>212</v>
      </c>
      <c r="C92" s="11" t="s">
        <v>14</v>
      </c>
      <c r="D92" s="11" t="s">
        <v>213</v>
      </c>
      <c r="E92" s="12">
        <v>37440.0</v>
      </c>
      <c r="F92" s="8">
        <f t="shared" ref="F92:F103" si="17">YEARFRAC(E92, TODAY(),1)</f>
        <v>24.03013699</v>
      </c>
      <c r="G92" s="9">
        <v>85.0</v>
      </c>
      <c r="H92" s="9">
        <f t="shared" ref="H92:H103" si="18">MINUS(G92, A92)</f>
        <v>3</v>
      </c>
      <c r="I92" s="13" t="s">
        <v>214</v>
      </c>
    </row>
    <row r="93">
      <c r="A93" s="5">
        <v>83.0</v>
      </c>
      <c r="B93" s="11" t="s">
        <v>230</v>
      </c>
      <c r="C93" s="11" t="s">
        <v>36</v>
      </c>
      <c r="D93" s="11" t="s">
        <v>43</v>
      </c>
      <c r="E93" s="12">
        <v>36040.0</v>
      </c>
      <c r="F93" s="8">
        <f t="shared" si="17"/>
        <v>27.8630137</v>
      </c>
      <c r="G93" s="9">
        <v>97.0</v>
      </c>
      <c r="H93" s="9">
        <f t="shared" si="18"/>
        <v>14</v>
      </c>
      <c r="I93" s="13" t="s">
        <v>231</v>
      </c>
    </row>
    <row r="94">
      <c r="A94" s="5">
        <v>84.0</v>
      </c>
      <c r="B94" s="6" t="s">
        <v>222</v>
      </c>
      <c r="C94" s="11" t="s">
        <v>21</v>
      </c>
      <c r="D94" s="6" t="s">
        <v>69</v>
      </c>
      <c r="E94" s="12">
        <v>35906.0</v>
      </c>
      <c r="F94" s="8">
        <f t="shared" si="17"/>
        <v>28.23013699</v>
      </c>
      <c r="G94" s="9">
        <v>88.0</v>
      </c>
      <c r="H94" s="9">
        <f t="shared" si="18"/>
        <v>4</v>
      </c>
      <c r="I94" s="13" t="s">
        <v>223</v>
      </c>
    </row>
    <row r="95">
      <c r="A95" s="5">
        <v>85.0</v>
      </c>
      <c r="B95" s="11" t="s">
        <v>220</v>
      </c>
      <c r="C95" s="11" t="s">
        <v>36</v>
      </c>
      <c r="D95" s="11" t="s">
        <v>66</v>
      </c>
      <c r="E95" s="46">
        <v>37967.0</v>
      </c>
      <c r="F95" s="8">
        <f t="shared" si="17"/>
        <v>22.58630137</v>
      </c>
      <c r="G95" s="9">
        <v>82.0</v>
      </c>
      <c r="H95" s="9">
        <f t="shared" si="18"/>
        <v>-3</v>
      </c>
      <c r="I95" s="13" t="s">
        <v>221</v>
      </c>
    </row>
    <row r="96">
      <c r="A96" s="5">
        <v>86.0</v>
      </c>
      <c r="B96" s="14" t="s">
        <v>232</v>
      </c>
      <c r="C96" s="14" t="s">
        <v>10</v>
      </c>
      <c r="D96" s="14" t="s">
        <v>114</v>
      </c>
      <c r="E96" s="16">
        <v>38348.0</v>
      </c>
      <c r="F96" s="17">
        <f t="shared" si="17"/>
        <v>21.54516805</v>
      </c>
      <c r="G96" s="18">
        <v>60.0</v>
      </c>
      <c r="H96" s="9">
        <f t="shared" si="18"/>
        <v>-26</v>
      </c>
      <c r="I96" s="19" t="s">
        <v>233</v>
      </c>
    </row>
    <row r="97">
      <c r="A97" s="5">
        <v>87.0</v>
      </c>
      <c r="B97" s="11" t="s">
        <v>197</v>
      </c>
      <c r="C97" s="11" t="s">
        <v>25</v>
      </c>
      <c r="D97" s="11" t="s">
        <v>37</v>
      </c>
      <c r="E97" s="12">
        <v>36798.0</v>
      </c>
      <c r="F97" s="8">
        <f t="shared" si="17"/>
        <v>25.78833745</v>
      </c>
      <c r="G97" s="9">
        <v>104.0</v>
      </c>
      <c r="H97" s="9">
        <f t="shared" si="18"/>
        <v>17</v>
      </c>
      <c r="I97" s="43" t="s">
        <v>198</v>
      </c>
    </row>
    <row r="98">
      <c r="A98" s="5">
        <v>88.0</v>
      </c>
      <c r="B98" s="6" t="s">
        <v>226</v>
      </c>
      <c r="C98" s="6" t="s">
        <v>14</v>
      </c>
      <c r="D98" s="6" t="s">
        <v>55</v>
      </c>
      <c r="E98" s="12">
        <v>38162.0</v>
      </c>
      <c r="F98" s="8">
        <f t="shared" si="17"/>
        <v>22.05336477</v>
      </c>
      <c r="G98" s="9">
        <v>77.0</v>
      </c>
      <c r="H98" s="9">
        <f t="shared" si="18"/>
        <v>-11</v>
      </c>
      <c r="I98" s="13" t="s">
        <v>227</v>
      </c>
    </row>
    <row r="99">
      <c r="A99" s="5">
        <v>89.0</v>
      </c>
      <c r="B99" s="6" t="s">
        <v>244</v>
      </c>
      <c r="C99" s="6" t="s">
        <v>14</v>
      </c>
      <c r="D99" s="6" t="s">
        <v>32</v>
      </c>
      <c r="E99" s="12">
        <v>35823.0</v>
      </c>
      <c r="F99" s="8">
        <f t="shared" si="17"/>
        <v>28.45753425</v>
      </c>
      <c r="G99" s="9">
        <v>106.0</v>
      </c>
      <c r="H99" s="9">
        <f t="shared" si="18"/>
        <v>17</v>
      </c>
      <c r="I99" s="13" t="s">
        <v>245</v>
      </c>
    </row>
    <row r="100">
      <c r="A100" s="5">
        <v>90.0</v>
      </c>
      <c r="B100" s="15" t="s">
        <v>242</v>
      </c>
      <c r="C100" s="15" t="s">
        <v>25</v>
      </c>
      <c r="D100" s="15" t="s">
        <v>58</v>
      </c>
      <c r="E100" s="16">
        <v>38942.0</v>
      </c>
      <c r="F100" s="17">
        <f t="shared" si="17"/>
        <v>19.91780822</v>
      </c>
      <c r="G100" s="18">
        <v>55.0</v>
      </c>
      <c r="H100" s="9">
        <f t="shared" si="18"/>
        <v>-35</v>
      </c>
      <c r="I100" s="19" t="s">
        <v>243</v>
      </c>
    </row>
    <row r="101">
      <c r="A101" s="5">
        <v>91.0</v>
      </c>
      <c r="B101" s="14" t="s">
        <v>228</v>
      </c>
      <c r="C101" s="14" t="s">
        <v>21</v>
      </c>
      <c r="D101" s="14" t="s">
        <v>15</v>
      </c>
      <c r="E101" s="16">
        <v>35920.0</v>
      </c>
      <c r="F101" s="17">
        <f t="shared" si="17"/>
        <v>28.19178082</v>
      </c>
      <c r="G101" s="9">
        <v>87.0</v>
      </c>
      <c r="H101" s="9">
        <f t="shared" si="18"/>
        <v>-4</v>
      </c>
      <c r="I101" s="19" t="s">
        <v>229</v>
      </c>
    </row>
    <row r="102">
      <c r="A102" s="5">
        <v>92.0</v>
      </c>
      <c r="B102" s="11" t="s">
        <v>249</v>
      </c>
      <c r="C102" s="11" t="s">
        <v>25</v>
      </c>
      <c r="D102" s="6" t="s">
        <v>158</v>
      </c>
      <c r="E102" s="12">
        <v>35975.0</v>
      </c>
      <c r="F102" s="8">
        <f t="shared" si="17"/>
        <v>28.04109589</v>
      </c>
      <c r="G102" s="9">
        <v>81.0</v>
      </c>
      <c r="H102" s="9">
        <f t="shared" si="18"/>
        <v>-11</v>
      </c>
      <c r="I102" s="13" t="s">
        <v>250</v>
      </c>
    </row>
    <row r="103">
      <c r="A103" s="5">
        <v>93.0</v>
      </c>
      <c r="B103" s="6" t="s">
        <v>238</v>
      </c>
      <c r="C103" s="6" t="s">
        <v>14</v>
      </c>
      <c r="D103" s="6" t="s">
        <v>90</v>
      </c>
      <c r="E103" s="12">
        <v>36572.0</v>
      </c>
      <c r="F103" s="8">
        <f t="shared" si="17"/>
        <v>26.40582379</v>
      </c>
      <c r="G103" s="9">
        <v>114.0</v>
      </c>
      <c r="H103" s="9">
        <f t="shared" si="18"/>
        <v>21</v>
      </c>
      <c r="I103" s="13" t="s">
        <v>239</v>
      </c>
    </row>
    <row r="104">
      <c r="A104" s="20"/>
      <c r="B104" s="21" t="s">
        <v>34</v>
      </c>
      <c r="C104" s="22"/>
      <c r="D104" s="22"/>
      <c r="E104" s="23"/>
      <c r="F104" s="24"/>
      <c r="G104" s="25"/>
      <c r="H104" s="25"/>
      <c r="I104" s="26"/>
    </row>
    <row r="105">
      <c r="A105" s="5">
        <v>94.0</v>
      </c>
      <c r="B105" s="15" t="s">
        <v>240</v>
      </c>
      <c r="C105" s="15" t="s">
        <v>14</v>
      </c>
      <c r="D105" s="15" t="s">
        <v>95</v>
      </c>
      <c r="E105" s="16">
        <v>38020.0</v>
      </c>
      <c r="F105" s="17">
        <f t="shared" ref="F105:F119" si="19">YEARFRAC(E105, TODAY(),1)</f>
        <v>22.44134291</v>
      </c>
      <c r="G105" s="18">
        <v>107.0</v>
      </c>
      <c r="H105" s="9">
        <f t="shared" ref="H105:H119" si="20">MINUS(G105, A105)</f>
        <v>13</v>
      </c>
      <c r="I105" s="19" t="s">
        <v>241</v>
      </c>
    </row>
    <row r="106">
      <c r="A106" s="27">
        <v>95.0</v>
      </c>
      <c r="B106" s="28" t="s">
        <v>1036</v>
      </c>
      <c r="C106" s="29" t="s">
        <v>14</v>
      </c>
      <c r="D106" s="28" t="s">
        <v>213</v>
      </c>
      <c r="E106" s="30">
        <v>38613.0</v>
      </c>
      <c r="F106" s="31">
        <f t="shared" si="19"/>
        <v>20.81917808</v>
      </c>
      <c r="G106" s="32">
        <v>90.0</v>
      </c>
      <c r="H106" s="32">
        <f t="shared" si="20"/>
        <v>-5</v>
      </c>
      <c r="I106" s="38" t="s">
        <v>273</v>
      </c>
    </row>
    <row r="107">
      <c r="A107" s="5">
        <v>96.0</v>
      </c>
      <c r="B107" s="11" t="s">
        <v>258</v>
      </c>
      <c r="C107" s="11" t="s">
        <v>14</v>
      </c>
      <c r="D107" s="11" t="s">
        <v>52</v>
      </c>
      <c r="E107" s="12">
        <v>36328.0</v>
      </c>
      <c r="F107" s="8">
        <f t="shared" si="19"/>
        <v>27.0739726</v>
      </c>
      <c r="G107" s="9">
        <v>91.0</v>
      </c>
      <c r="H107" s="9">
        <f t="shared" si="20"/>
        <v>-5</v>
      </c>
      <c r="I107" s="40" t="s">
        <v>259</v>
      </c>
    </row>
    <row r="108">
      <c r="A108" s="5">
        <v>97.0</v>
      </c>
      <c r="B108" s="11" t="s">
        <v>266</v>
      </c>
      <c r="C108" s="11" t="s">
        <v>267</v>
      </c>
      <c r="D108" s="35" t="s">
        <v>268</v>
      </c>
      <c r="E108" s="12">
        <v>34667.0</v>
      </c>
      <c r="F108" s="8">
        <f t="shared" si="19"/>
        <v>31.62191781</v>
      </c>
      <c r="G108" s="9">
        <v>79.0</v>
      </c>
      <c r="H108" s="9">
        <f t="shared" si="20"/>
        <v>-18</v>
      </c>
      <c r="I108" s="13" t="s">
        <v>269</v>
      </c>
    </row>
    <row r="109">
      <c r="A109" s="5">
        <v>98.0</v>
      </c>
      <c r="B109" s="11" t="s">
        <v>234</v>
      </c>
      <c r="C109" s="11" t="s">
        <v>36</v>
      </c>
      <c r="D109" s="6" t="s">
        <v>106</v>
      </c>
      <c r="E109" s="12">
        <v>35307.0</v>
      </c>
      <c r="F109" s="8">
        <f t="shared" si="19"/>
        <v>29.87030466</v>
      </c>
      <c r="G109" s="9">
        <v>93.0</v>
      </c>
      <c r="H109" s="9">
        <f t="shared" si="20"/>
        <v>-5</v>
      </c>
      <c r="I109" s="13" t="s">
        <v>235</v>
      </c>
    </row>
    <row r="110">
      <c r="A110" s="27">
        <v>99.0</v>
      </c>
      <c r="B110" s="28" t="s">
        <v>1037</v>
      </c>
      <c r="C110" s="29" t="s">
        <v>267</v>
      </c>
      <c r="D110" s="28" t="s">
        <v>176</v>
      </c>
      <c r="E110" s="30">
        <v>37529.0</v>
      </c>
      <c r="F110" s="31">
        <f t="shared" si="19"/>
        <v>23.78630137</v>
      </c>
      <c r="G110" s="32">
        <v>99.0</v>
      </c>
      <c r="H110" s="32">
        <f t="shared" si="20"/>
        <v>0</v>
      </c>
      <c r="I110" s="41" t="s">
        <v>296</v>
      </c>
    </row>
    <row r="111">
      <c r="A111" s="5">
        <v>100.0</v>
      </c>
      <c r="B111" s="11" t="s">
        <v>246</v>
      </c>
      <c r="C111" s="11" t="s">
        <v>21</v>
      </c>
      <c r="D111" s="35" t="s">
        <v>247</v>
      </c>
      <c r="E111" s="12">
        <v>36267.0</v>
      </c>
      <c r="F111" s="8">
        <f t="shared" si="19"/>
        <v>27.24109589</v>
      </c>
      <c r="G111" s="9">
        <v>108.0</v>
      </c>
      <c r="H111" s="9">
        <f t="shared" si="20"/>
        <v>8</v>
      </c>
      <c r="I111" s="13" t="s">
        <v>248</v>
      </c>
    </row>
    <row r="112">
      <c r="A112" s="27">
        <v>101.0</v>
      </c>
      <c r="B112" s="28" t="s">
        <v>1038</v>
      </c>
      <c r="C112" s="28" t="s">
        <v>21</v>
      </c>
      <c r="D112" s="28" t="s">
        <v>15</v>
      </c>
      <c r="E112" s="44">
        <v>38449.0</v>
      </c>
      <c r="F112" s="31">
        <f t="shared" si="19"/>
        <v>21.26849315</v>
      </c>
      <c r="G112" s="32">
        <v>109.0</v>
      </c>
      <c r="H112" s="32">
        <f t="shared" si="20"/>
        <v>8</v>
      </c>
      <c r="I112" s="33" t="s">
        <v>265</v>
      </c>
    </row>
    <row r="113">
      <c r="A113" s="27">
        <v>102.0</v>
      </c>
      <c r="B113" s="28" t="s">
        <v>1039</v>
      </c>
      <c r="C113" s="29" t="s">
        <v>10</v>
      </c>
      <c r="D113" s="28" t="s">
        <v>26</v>
      </c>
      <c r="E113" s="44">
        <v>38743.0</v>
      </c>
      <c r="F113" s="31">
        <f t="shared" si="19"/>
        <v>20.4630137</v>
      </c>
      <c r="G113" s="32">
        <v>115.0</v>
      </c>
      <c r="H113" s="32">
        <f t="shared" si="20"/>
        <v>13</v>
      </c>
      <c r="I113" s="33" t="s">
        <v>237</v>
      </c>
    </row>
    <row r="114">
      <c r="A114" s="5">
        <v>103.0</v>
      </c>
      <c r="B114" s="6" t="s">
        <v>274</v>
      </c>
      <c r="C114" s="6" t="s">
        <v>14</v>
      </c>
      <c r="D114" s="6" t="s">
        <v>111</v>
      </c>
      <c r="E114" s="12">
        <v>37296.0</v>
      </c>
      <c r="F114" s="8">
        <f t="shared" si="19"/>
        <v>24.42465753</v>
      </c>
      <c r="G114" s="9">
        <v>110.0</v>
      </c>
      <c r="H114" s="9">
        <f t="shared" si="20"/>
        <v>7</v>
      </c>
      <c r="I114" s="13" t="s">
        <v>275</v>
      </c>
    </row>
    <row r="115">
      <c r="A115" s="5">
        <v>104.0</v>
      </c>
      <c r="B115" s="6" t="s">
        <v>256</v>
      </c>
      <c r="C115" s="6" t="s">
        <v>25</v>
      </c>
      <c r="D115" s="6" t="s">
        <v>22</v>
      </c>
      <c r="E115" s="12">
        <v>37510.0</v>
      </c>
      <c r="F115" s="8">
        <f t="shared" si="19"/>
        <v>23.83835616</v>
      </c>
      <c r="G115" s="9">
        <v>94.0</v>
      </c>
      <c r="H115" s="9">
        <f t="shared" si="20"/>
        <v>-10</v>
      </c>
      <c r="I115" s="40" t="s">
        <v>257</v>
      </c>
    </row>
    <row r="116">
      <c r="A116" s="5">
        <v>105.0</v>
      </c>
      <c r="B116" s="11" t="s">
        <v>251</v>
      </c>
      <c r="C116" s="6" t="s">
        <v>10</v>
      </c>
      <c r="D116" s="35" t="s">
        <v>252</v>
      </c>
      <c r="E116" s="12">
        <v>36397.0</v>
      </c>
      <c r="F116" s="8">
        <f t="shared" si="19"/>
        <v>26.88493151</v>
      </c>
      <c r="G116" s="9">
        <v>111.0</v>
      </c>
      <c r="H116" s="9">
        <f t="shared" si="20"/>
        <v>6</v>
      </c>
      <c r="I116" s="13" t="s">
        <v>253</v>
      </c>
    </row>
    <row r="117">
      <c r="A117" s="5">
        <v>106.0</v>
      </c>
      <c r="B117" s="11" t="s">
        <v>286</v>
      </c>
      <c r="C117" s="11" t="s">
        <v>14</v>
      </c>
      <c r="D117" s="11" t="s">
        <v>114</v>
      </c>
      <c r="E117" s="12">
        <v>35327.0</v>
      </c>
      <c r="F117" s="8">
        <f t="shared" si="19"/>
        <v>29.81565985</v>
      </c>
      <c r="G117" s="9">
        <v>99.0</v>
      </c>
      <c r="H117" s="9">
        <f t="shared" si="20"/>
        <v>-7</v>
      </c>
      <c r="I117" s="40" t="s">
        <v>287</v>
      </c>
    </row>
    <row r="118">
      <c r="A118" s="5">
        <v>107.0</v>
      </c>
      <c r="B118" s="6" t="s">
        <v>254</v>
      </c>
      <c r="C118" s="11" t="s">
        <v>25</v>
      </c>
      <c r="D118" s="11" t="s">
        <v>55</v>
      </c>
      <c r="E118" s="12">
        <v>37021.0</v>
      </c>
      <c r="F118" s="8">
        <f t="shared" si="19"/>
        <v>25.17808219</v>
      </c>
      <c r="G118" s="9">
        <v>105.0</v>
      </c>
      <c r="H118" s="9">
        <f t="shared" si="20"/>
        <v>-2</v>
      </c>
      <c r="I118" s="13" t="s">
        <v>255</v>
      </c>
    </row>
    <row r="119">
      <c r="A119" s="5">
        <v>108.0</v>
      </c>
      <c r="B119" s="6" t="s">
        <v>260</v>
      </c>
      <c r="C119" s="6" t="s">
        <v>14</v>
      </c>
      <c r="D119" s="6" t="s">
        <v>15</v>
      </c>
      <c r="E119" s="12">
        <v>37432.0</v>
      </c>
      <c r="F119" s="8">
        <f t="shared" si="19"/>
        <v>24.05205479</v>
      </c>
      <c r="G119" s="9">
        <v>116.0</v>
      </c>
      <c r="H119" s="9">
        <f t="shared" si="20"/>
        <v>8</v>
      </c>
      <c r="I119" s="13" t="s">
        <v>261</v>
      </c>
    </row>
    <row r="120">
      <c r="A120" s="20"/>
      <c r="B120" s="21" t="s">
        <v>34</v>
      </c>
      <c r="C120" s="22"/>
      <c r="D120" s="22"/>
      <c r="E120" s="23"/>
      <c r="F120" s="24"/>
      <c r="G120" s="25"/>
      <c r="H120" s="25"/>
      <c r="I120" s="26"/>
    </row>
    <row r="121">
      <c r="A121" s="5">
        <v>109.0</v>
      </c>
      <c r="B121" s="11" t="s">
        <v>270</v>
      </c>
      <c r="C121" s="11" t="s">
        <v>74</v>
      </c>
      <c r="D121" s="11" t="s">
        <v>82</v>
      </c>
      <c r="E121" s="12">
        <v>38006.0</v>
      </c>
      <c r="F121" s="8">
        <f t="shared" ref="F121:F137" si="21">YEARFRAC(E121, TODAY(),1)</f>
        <v>22.47959428</v>
      </c>
      <c r="G121" s="9">
        <v>100.0</v>
      </c>
      <c r="H121" s="9">
        <f t="shared" ref="H121:H137" si="22">MINUS(G121, A121)</f>
        <v>-9</v>
      </c>
      <c r="I121" s="13" t="s">
        <v>271</v>
      </c>
    </row>
    <row r="122">
      <c r="A122" s="5">
        <v>110.0</v>
      </c>
      <c r="B122" s="11" t="s">
        <v>293</v>
      </c>
      <c r="C122" s="11" t="s">
        <v>36</v>
      </c>
      <c r="D122" s="11" t="s">
        <v>167</v>
      </c>
      <c r="E122" s="12">
        <v>34768.0</v>
      </c>
      <c r="F122" s="8">
        <f t="shared" si="21"/>
        <v>31.34520548</v>
      </c>
      <c r="G122" s="9">
        <v>98.0</v>
      </c>
      <c r="H122" s="9">
        <f t="shared" si="22"/>
        <v>-12</v>
      </c>
      <c r="I122" s="43" t="s">
        <v>294</v>
      </c>
    </row>
    <row r="123">
      <c r="A123" s="5">
        <v>111.0</v>
      </c>
      <c r="B123" s="14" t="s">
        <v>276</v>
      </c>
      <c r="C123" s="14" t="s">
        <v>14</v>
      </c>
      <c r="D123" s="14" t="s">
        <v>114</v>
      </c>
      <c r="E123" s="16">
        <v>39004.0</v>
      </c>
      <c r="F123" s="17">
        <f t="shared" si="21"/>
        <v>19.74794521</v>
      </c>
      <c r="G123" s="18">
        <v>102.0</v>
      </c>
      <c r="H123" s="9">
        <f t="shared" si="22"/>
        <v>-9</v>
      </c>
      <c r="I123" s="19" t="s">
        <v>277</v>
      </c>
    </row>
    <row r="124">
      <c r="A124" s="5">
        <v>112.0</v>
      </c>
      <c r="B124" s="15" t="s">
        <v>262</v>
      </c>
      <c r="C124" s="15" t="s">
        <v>74</v>
      </c>
      <c r="D124" s="14" t="s">
        <v>158</v>
      </c>
      <c r="E124" s="16">
        <v>38779.0</v>
      </c>
      <c r="F124" s="17">
        <f t="shared" si="21"/>
        <v>20.36438356</v>
      </c>
      <c r="G124" s="18">
        <v>117.0</v>
      </c>
      <c r="H124" s="9">
        <f t="shared" si="22"/>
        <v>5</v>
      </c>
      <c r="I124" s="19" t="s">
        <v>263</v>
      </c>
    </row>
    <row r="125">
      <c r="A125" s="5">
        <v>113.0</v>
      </c>
      <c r="B125" s="6" t="s">
        <v>288</v>
      </c>
      <c r="C125" s="6" t="s">
        <v>25</v>
      </c>
      <c r="D125" s="35" t="s">
        <v>289</v>
      </c>
      <c r="E125" s="12">
        <v>35875.0</v>
      </c>
      <c r="F125" s="8">
        <f t="shared" si="21"/>
        <v>28.31506849</v>
      </c>
      <c r="G125" s="9">
        <v>138.0</v>
      </c>
      <c r="H125" s="9">
        <f t="shared" si="22"/>
        <v>25</v>
      </c>
      <c r="I125" s="13" t="s">
        <v>290</v>
      </c>
    </row>
    <row r="126">
      <c r="A126" s="5">
        <v>114.0</v>
      </c>
      <c r="B126" s="6" t="s">
        <v>280</v>
      </c>
      <c r="C126" s="6" t="s">
        <v>21</v>
      </c>
      <c r="D126" s="6" t="s">
        <v>111</v>
      </c>
      <c r="E126" s="12">
        <v>37241.0</v>
      </c>
      <c r="F126" s="8">
        <f t="shared" si="21"/>
        <v>24.57534247</v>
      </c>
      <c r="G126" s="9">
        <v>95.0</v>
      </c>
      <c r="H126" s="9">
        <f t="shared" si="22"/>
        <v>-19</v>
      </c>
      <c r="I126" s="13" t="s">
        <v>281</v>
      </c>
    </row>
    <row r="127">
      <c r="A127" s="5">
        <v>115.0</v>
      </c>
      <c r="B127" s="11" t="s">
        <v>282</v>
      </c>
      <c r="C127" s="11" t="s">
        <v>25</v>
      </c>
      <c r="D127" s="11" t="s">
        <v>167</v>
      </c>
      <c r="E127" s="12">
        <v>36757.0</v>
      </c>
      <c r="F127" s="8">
        <f t="shared" si="21"/>
        <v>25.90035931</v>
      </c>
      <c r="G127" s="9">
        <v>125.0</v>
      </c>
      <c r="H127" s="9">
        <f t="shared" si="22"/>
        <v>10</v>
      </c>
      <c r="I127" s="40" t="s">
        <v>283</v>
      </c>
    </row>
    <row r="128">
      <c r="A128" s="5">
        <v>116.0</v>
      </c>
      <c r="B128" s="6" t="s">
        <v>299</v>
      </c>
      <c r="C128" s="6" t="s">
        <v>36</v>
      </c>
      <c r="D128" s="6" t="s">
        <v>106</v>
      </c>
      <c r="E128" s="12">
        <v>34764.0</v>
      </c>
      <c r="F128" s="8">
        <f t="shared" si="21"/>
        <v>31.35616438</v>
      </c>
      <c r="G128" s="9">
        <v>118.0</v>
      </c>
      <c r="H128" s="9">
        <f t="shared" si="22"/>
        <v>2</v>
      </c>
      <c r="I128" s="40" t="s">
        <v>300</v>
      </c>
    </row>
    <row r="129">
      <c r="A129" s="5">
        <v>117.0</v>
      </c>
      <c r="B129" s="6" t="s">
        <v>297</v>
      </c>
      <c r="C129" s="6" t="s">
        <v>14</v>
      </c>
      <c r="D129" s="6" t="s">
        <v>46</v>
      </c>
      <c r="E129" s="12">
        <v>36541.0</v>
      </c>
      <c r="F129" s="8">
        <f t="shared" si="21"/>
        <v>26.49052324</v>
      </c>
      <c r="G129" s="9">
        <v>120.0</v>
      </c>
      <c r="H129" s="9">
        <f t="shared" si="22"/>
        <v>3</v>
      </c>
      <c r="I129" s="13" t="s">
        <v>298</v>
      </c>
    </row>
    <row r="130">
      <c r="A130" s="5">
        <v>118.0</v>
      </c>
      <c r="B130" s="14" t="s">
        <v>316</v>
      </c>
      <c r="C130" s="14" t="s">
        <v>36</v>
      </c>
      <c r="D130" s="14" t="s">
        <v>66</v>
      </c>
      <c r="E130" s="16">
        <v>38783.0</v>
      </c>
      <c r="F130" s="17">
        <f t="shared" si="21"/>
        <v>20.35342466</v>
      </c>
      <c r="G130" s="18">
        <v>103.0</v>
      </c>
      <c r="H130" s="9">
        <f t="shared" si="22"/>
        <v>-15</v>
      </c>
      <c r="I130" s="19" t="s">
        <v>317</v>
      </c>
    </row>
    <row r="131">
      <c r="A131" s="27">
        <v>119.0</v>
      </c>
      <c r="B131" s="28" t="s">
        <v>311</v>
      </c>
      <c r="C131" s="29" t="s">
        <v>14</v>
      </c>
      <c r="D131" s="28" t="s">
        <v>29</v>
      </c>
      <c r="E131" s="44">
        <v>39182.0</v>
      </c>
      <c r="F131" s="31">
        <f t="shared" si="21"/>
        <v>19.26027397</v>
      </c>
      <c r="G131" s="32">
        <v>123.0</v>
      </c>
      <c r="H131" s="32">
        <f t="shared" si="22"/>
        <v>4</v>
      </c>
      <c r="I131" s="33" t="s">
        <v>312</v>
      </c>
    </row>
    <row r="132">
      <c r="A132" s="5">
        <v>120.0</v>
      </c>
      <c r="B132" s="14" t="s">
        <v>278</v>
      </c>
      <c r="C132" s="14" t="s">
        <v>21</v>
      </c>
      <c r="D132" s="14" t="s">
        <v>37</v>
      </c>
      <c r="E132" s="16">
        <v>39032.0</v>
      </c>
      <c r="F132" s="17">
        <f t="shared" si="21"/>
        <v>19.67123288</v>
      </c>
      <c r="G132" s="18">
        <v>194.0</v>
      </c>
      <c r="H132" s="9">
        <f t="shared" si="22"/>
        <v>74</v>
      </c>
      <c r="I132" s="19" t="s">
        <v>279</v>
      </c>
    </row>
    <row r="133">
      <c r="A133" s="5">
        <v>121.0</v>
      </c>
      <c r="B133" s="6" t="s">
        <v>303</v>
      </c>
      <c r="C133" s="6" t="s">
        <v>36</v>
      </c>
      <c r="D133" s="6" t="s">
        <v>11</v>
      </c>
      <c r="E133" s="12">
        <v>36761.0</v>
      </c>
      <c r="F133" s="8">
        <f t="shared" si="21"/>
        <v>25.88943035</v>
      </c>
      <c r="G133" s="9">
        <v>113.0</v>
      </c>
      <c r="H133" s="9">
        <f t="shared" si="22"/>
        <v>-8</v>
      </c>
      <c r="I133" s="40" t="s">
        <v>304</v>
      </c>
    </row>
    <row r="134">
      <c r="A134" s="5">
        <v>122.0</v>
      </c>
      <c r="B134" s="35" t="s">
        <v>375</v>
      </c>
      <c r="C134" s="35" t="s">
        <v>36</v>
      </c>
      <c r="D134" s="6" t="s">
        <v>52</v>
      </c>
      <c r="E134" s="12">
        <v>36691.0</v>
      </c>
      <c r="F134" s="8">
        <f t="shared" si="21"/>
        <v>26.08068718</v>
      </c>
      <c r="G134" s="9">
        <v>112.0</v>
      </c>
      <c r="H134" s="9">
        <f t="shared" si="22"/>
        <v>-10</v>
      </c>
      <c r="I134" s="13" t="s">
        <v>376</v>
      </c>
    </row>
    <row r="135">
      <c r="A135" s="5">
        <v>123.0</v>
      </c>
      <c r="B135" s="15" t="s">
        <v>301</v>
      </c>
      <c r="C135" s="15" t="s">
        <v>21</v>
      </c>
      <c r="D135" s="15" t="s">
        <v>111</v>
      </c>
      <c r="E135" s="16">
        <v>38974.0</v>
      </c>
      <c r="F135" s="17">
        <f t="shared" si="21"/>
        <v>19.83013699</v>
      </c>
      <c r="G135" s="18">
        <v>145.0</v>
      </c>
      <c r="H135" s="9">
        <f t="shared" si="22"/>
        <v>22</v>
      </c>
      <c r="I135" s="45" t="s">
        <v>302</v>
      </c>
    </row>
    <row r="136">
      <c r="A136" s="5">
        <v>124.0</v>
      </c>
      <c r="B136" s="6" t="s">
        <v>307</v>
      </c>
      <c r="C136" s="35" t="s">
        <v>21</v>
      </c>
      <c r="D136" s="6" t="s">
        <v>158</v>
      </c>
      <c r="E136" s="12">
        <v>37201.0</v>
      </c>
      <c r="F136" s="8">
        <f t="shared" si="21"/>
        <v>24.68493151</v>
      </c>
      <c r="G136" s="9">
        <v>203.0</v>
      </c>
      <c r="H136" s="9">
        <f t="shared" si="22"/>
        <v>79</v>
      </c>
      <c r="I136" s="10" t="s">
        <v>308</v>
      </c>
    </row>
    <row r="137">
      <c r="A137" s="27">
        <v>125.0</v>
      </c>
      <c r="B137" s="28" t="s">
        <v>1040</v>
      </c>
      <c r="C137" s="28" t="s">
        <v>10</v>
      </c>
      <c r="D137" s="28" t="s">
        <v>90</v>
      </c>
      <c r="E137" s="44">
        <v>38838.0</v>
      </c>
      <c r="F137" s="31">
        <f t="shared" si="21"/>
        <v>20.20273973</v>
      </c>
      <c r="G137" s="32">
        <v>130.0</v>
      </c>
      <c r="H137" s="32">
        <f t="shared" si="22"/>
        <v>5</v>
      </c>
      <c r="I137" s="33" t="s">
        <v>332</v>
      </c>
    </row>
    <row r="138">
      <c r="A138" s="20"/>
      <c r="B138" s="21" t="s">
        <v>34</v>
      </c>
      <c r="C138" s="22"/>
      <c r="D138" s="22"/>
      <c r="E138" s="23"/>
      <c r="F138" s="24"/>
      <c r="G138" s="25"/>
      <c r="H138" s="25"/>
      <c r="I138" s="26"/>
    </row>
    <row r="139">
      <c r="A139" s="5">
        <v>126.0</v>
      </c>
      <c r="B139" s="6" t="s">
        <v>313</v>
      </c>
      <c r="C139" s="6" t="s">
        <v>77</v>
      </c>
      <c r="D139" s="35" t="s">
        <v>314</v>
      </c>
      <c r="E139" s="12">
        <v>32995.0</v>
      </c>
      <c r="F139" s="8">
        <f t="shared" ref="F139:F150" si="23">YEARFRAC(E139, TODAY(),1)</f>
        <v>36.2</v>
      </c>
      <c r="G139" s="9">
        <v>174.0</v>
      </c>
      <c r="H139" s="9">
        <f t="shared" ref="H139:H150" si="24">MINUS(G139, A139)</f>
        <v>48</v>
      </c>
      <c r="I139" s="13" t="s">
        <v>315</v>
      </c>
    </row>
    <row r="140">
      <c r="A140" s="5">
        <v>127.0</v>
      </c>
      <c r="B140" s="11" t="s">
        <v>309</v>
      </c>
      <c r="C140" s="11" t="s">
        <v>25</v>
      </c>
      <c r="D140" s="11" t="s">
        <v>95</v>
      </c>
      <c r="E140" s="12">
        <v>36654.0</v>
      </c>
      <c r="F140" s="8">
        <f t="shared" si="23"/>
        <v>26.18178007</v>
      </c>
      <c r="G140" s="9">
        <v>141.0</v>
      </c>
      <c r="H140" s="9">
        <f t="shared" si="24"/>
        <v>14</v>
      </c>
      <c r="I140" s="13" t="s">
        <v>310</v>
      </c>
    </row>
    <row r="141">
      <c r="A141" s="5">
        <v>128.0</v>
      </c>
      <c r="B141" s="11" t="s">
        <v>324</v>
      </c>
      <c r="C141" s="11" t="s">
        <v>36</v>
      </c>
      <c r="D141" s="35" t="s">
        <v>325</v>
      </c>
      <c r="E141" s="12">
        <v>34114.0</v>
      </c>
      <c r="F141" s="8">
        <f t="shared" si="23"/>
        <v>33.1369863</v>
      </c>
      <c r="G141" s="9">
        <v>119.0</v>
      </c>
      <c r="H141" s="9">
        <f t="shared" si="24"/>
        <v>-9</v>
      </c>
      <c r="I141" s="13" t="s">
        <v>1041</v>
      </c>
    </row>
    <row r="142">
      <c r="A142" s="5">
        <v>129.0</v>
      </c>
      <c r="B142" s="6" t="s">
        <v>305</v>
      </c>
      <c r="C142" s="6" t="s">
        <v>21</v>
      </c>
      <c r="D142" s="6" t="s">
        <v>213</v>
      </c>
      <c r="E142" s="12">
        <v>35148.0</v>
      </c>
      <c r="F142" s="8">
        <f t="shared" si="23"/>
        <v>30.30473089</v>
      </c>
      <c r="G142" s="9">
        <v>127.0</v>
      </c>
      <c r="H142" s="9">
        <f t="shared" si="24"/>
        <v>-2</v>
      </c>
      <c r="I142" s="40" t="s">
        <v>306</v>
      </c>
    </row>
    <row r="143">
      <c r="A143" s="5">
        <v>130.0</v>
      </c>
      <c r="B143" s="11" t="s">
        <v>291</v>
      </c>
      <c r="C143" s="11" t="s">
        <v>14</v>
      </c>
      <c r="D143" s="11" t="s">
        <v>15</v>
      </c>
      <c r="E143" s="12">
        <v>37932.0</v>
      </c>
      <c r="F143" s="8">
        <f t="shared" si="23"/>
        <v>22.68219178</v>
      </c>
      <c r="G143" s="9">
        <v>146.0</v>
      </c>
      <c r="H143" s="9">
        <f t="shared" si="24"/>
        <v>16</v>
      </c>
      <c r="I143" s="40" t="s">
        <v>292</v>
      </c>
    </row>
    <row r="144">
      <c r="A144" s="5">
        <v>131.0</v>
      </c>
      <c r="B144" s="6" t="s">
        <v>320</v>
      </c>
      <c r="C144" s="6" t="s">
        <v>10</v>
      </c>
      <c r="D144" s="6" t="s">
        <v>26</v>
      </c>
      <c r="E144" s="12">
        <v>36030.0</v>
      </c>
      <c r="F144" s="8">
        <f t="shared" si="23"/>
        <v>27.89041096</v>
      </c>
      <c r="G144" s="9">
        <v>139.0</v>
      </c>
      <c r="H144" s="9">
        <f t="shared" si="24"/>
        <v>8</v>
      </c>
      <c r="I144" s="13" t="s">
        <v>321</v>
      </c>
    </row>
    <row r="145">
      <c r="A145" s="5">
        <v>132.0</v>
      </c>
      <c r="B145" s="6" t="s">
        <v>284</v>
      </c>
      <c r="C145" s="6" t="s">
        <v>267</v>
      </c>
      <c r="D145" s="6" t="s">
        <v>55</v>
      </c>
      <c r="E145" s="12">
        <v>37754.0</v>
      </c>
      <c r="F145" s="8">
        <f t="shared" si="23"/>
        <v>23.16986301</v>
      </c>
      <c r="G145" s="9">
        <v>121.0</v>
      </c>
      <c r="H145" s="9">
        <f t="shared" si="24"/>
        <v>-11</v>
      </c>
      <c r="I145" s="13" t="s">
        <v>1042</v>
      </c>
    </row>
    <row r="146">
      <c r="A146" s="5">
        <v>133.0</v>
      </c>
      <c r="B146" s="14" t="s">
        <v>327</v>
      </c>
      <c r="C146" s="14" t="s">
        <v>21</v>
      </c>
      <c r="D146" s="14" t="s">
        <v>52</v>
      </c>
      <c r="E146" s="16">
        <v>34987.0</v>
      </c>
      <c r="F146" s="17">
        <f t="shared" si="23"/>
        <v>30.74520548</v>
      </c>
      <c r="G146" s="9">
        <v>126.0</v>
      </c>
      <c r="H146" s="9">
        <f t="shared" si="24"/>
        <v>-7</v>
      </c>
      <c r="I146" s="19" t="s">
        <v>328</v>
      </c>
    </row>
    <row r="147">
      <c r="A147" s="5">
        <v>134.0</v>
      </c>
      <c r="B147" s="6" t="s">
        <v>341</v>
      </c>
      <c r="C147" s="6" t="s">
        <v>14</v>
      </c>
      <c r="D147" s="6" t="s">
        <v>55</v>
      </c>
      <c r="E147" s="12">
        <v>34390.0</v>
      </c>
      <c r="F147" s="8">
        <f t="shared" si="23"/>
        <v>32.38082192</v>
      </c>
      <c r="G147" s="9">
        <v>168.0</v>
      </c>
      <c r="H147" s="9">
        <f t="shared" si="24"/>
        <v>34</v>
      </c>
      <c r="I147" s="13" t="s">
        <v>342</v>
      </c>
    </row>
    <row r="148">
      <c r="A148" s="5">
        <v>135.0</v>
      </c>
      <c r="B148" s="11" t="s">
        <v>322</v>
      </c>
      <c r="C148" s="11" t="s">
        <v>36</v>
      </c>
      <c r="D148" s="11" t="s">
        <v>95</v>
      </c>
      <c r="E148" s="12">
        <v>37771.0</v>
      </c>
      <c r="F148" s="8">
        <f t="shared" si="23"/>
        <v>23.12328767</v>
      </c>
      <c r="G148" s="9">
        <v>92.0</v>
      </c>
      <c r="H148" s="9">
        <f t="shared" si="24"/>
        <v>-43</v>
      </c>
      <c r="I148" s="40" t="s">
        <v>323</v>
      </c>
    </row>
    <row r="149">
      <c r="A149" s="5">
        <v>136.0</v>
      </c>
      <c r="B149" s="15" t="s">
        <v>337</v>
      </c>
      <c r="C149" s="15" t="s">
        <v>14</v>
      </c>
      <c r="D149" s="15" t="s">
        <v>49</v>
      </c>
      <c r="E149" s="16">
        <v>35619.0</v>
      </c>
      <c r="F149" s="17">
        <f t="shared" si="23"/>
        <v>29.01643836</v>
      </c>
      <c r="G149" s="9">
        <v>128.0</v>
      </c>
      <c r="H149" s="9">
        <f t="shared" si="24"/>
        <v>-8</v>
      </c>
      <c r="I149" s="19" t="s">
        <v>338</v>
      </c>
    </row>
    <row r="150">
      <c r="A150" s="5">
        <v>137.0</v>
      </c>
      <c r="B150" s="11" t="s">
        <v>333</v>
      </c>
      <c r="C150" s="11" t="s">
        <v>21</v>
      </c>
      <c r="D150" s="11" t="s">
        <v>37</v>
      </c>
      <c r="E150" s="12">
        <v>33781.0</v>
      </c>
      <c r="F150" s="8">
        <f t="shared" si="23"/>
        <v>34.04790029</v>
      </c>
      <c r="G150" s="9">
        <v>134.0</v>
      </c>
      <c r="H150" s="9">
        <f t="shared" si="24"/>
        <v>-3</v>
      </c>
      <c r="I150" s="13" t="s">
        <v>334</v>
      </c>
    </row>
    <row r="151">
      <c r="A151" s="20"/>
      <c r="B151" s="21" t="s">
        <v>34</v>
      </c>
      <c r="C151" s="22"/>
      <c r="D151" s="22"/>
      <c r="E151" s="23"/>
      <c r="F151" s="24"/>
      <c r="G151" s="25"/>
      <c r="H151" s="25"/>
      <c r="I151" s="26"/>
    </row>
    <row r="152">
      <c r="A152" s="5">
        <v>138.0</v>
      </c>
      <c r="B152" s="6" t="s">
        <v>335</v>
      </c>
      <c r="C152" s="6" t="s">
        <v>10</v>
      </c>
      <c r="D152" s="6" t="s">
        <v>176</v>
      </c>
      <c r="E152" s="12">
        <v>34913.0</v>
      </c>
      <c r="F152" s="8">
        <f t="shared" ref="F152:F169" si="25">YEARFRAC(E152, TODAY(),1)</f>
        <v>30.94794521</v>
      </c>
      <c r="G152" s="9">
        <v>135.0</v>
      </c>
      <c r="H152" s="9">
        <f t="shared" ref="H152:H158" si="26">MINUS(G152, A152)</f>
        <v>-3</v>
      </c>
      <c r="I152" s="13" t="s">
        <v>336</v>
      </c>
    </row>
    <row r="153">
      <c r="A153" s="27">
        <v>139.0</v>
      </c>
      <c r="B153" s="28" t="s">
        <v>1043</v>
      </c>
      <c r="C153" s="28" t="s">
        <v>14</v>
      </c>
      <c r="D153" s="28" t="s">
        <v>15</v>
      </c>
      <c r="E153" s="44">
        <v>37897.0</v>
      </c>
      <c r="F153" s="31">
        <f t="shared" si="25"/>
        <v>22.77808219</v>
      </c>
      <c r="G153" s="32">
        <v>144.0</v>
      </c>
      <c r="H153" s="32">
        <f t="shared" si="26"/>
        <v>5</v>
      </c>
      <c r="I153" s="33" t="s">
        <v>340</v>
      </c>
    </row>
    <row r="154">
      <c r="A154" s="5">
        <v>140.0</v>
      </c>
      <c r="B154" s="6" t="s">
        <v>343</v>
      </c>
      <c r="C154" s="35" t="s">
        <v>25</v>
      </c>
      <c r="D154" s="35" t="s">
        <v>344</v>
      </c>
      <c r="E154" s="12">
        <v>36901.0</v>
      </c>
      <c r="F154" s="8">
        <f t="shared" si="25"/>
        <v>25.50684932</v>
      </c>
      <c r="G154" s="9">
        <v>132.0</v>
      </c>
      <c r="H154" s="9">
        <f t="shared" si="26"/>
        <v>-8</v>
      </c>
      <c r="I154" s="13" t="s">
        <v>345</v>
      </c>
    </row>
    <row r="155">
      <c r="A155" s="5">
        <v>141.0</v>
      </c>
      <c r="B155" s="6" t="s">
        <v>349</v>
      </c>
      <c r="C155" s="6" t="s">
        <v>25</v>
      </c>
      <c r="D155" s="6" t="s">
        <v>22</v>
      </c>
      <c r="E155" s="12">
        <v>34958.0</v>
      </c>
      <c r="F155" s="8">
        <f t="shared" si="25"/>
        <v>30.82465753</v>
      </c>
      <c r="G155" s="9">
        <v>155.0</v>
      </c>
      <c r="H155" s="9">
        <f t="shared" si="26"/>
        <v>14</v>
      </c>
      <c r="I155" s="13" t="s">
        <v>350</v>
      </c>
    </row>
    <row r="156">
      <c r="A156" s="5">
        <v>142.0</v>
      </c>
      <c r="B156" s="35" t="s">
        <v>351</v>
      </c>
      <c r="C156" s="11" t="s">
        <v>21</v>
      </c>
      <c r="D156" s="35" t="s">
        <v>32</v>
      </c>
      <c r="E156" s="12">
        <v>36354.0</v>
      </c>
      <c r="F156" s="8">
        <f t="shared" si="25"/>
        <v>27.00273973</v>
      </c>
      <c r="G156" s="9">
        <v>157.0</v>
      </c>
      <c r="H156" s="9">
        <f t="shared" si="26"/>
        <v>15</v>
      </c>
      <c r="I156" s="10" t="s">
        <v>352</v>
      </c>
    </row>
    <row r="157">
      <c r="A157" s="5">
        <v>143.0</v>
      </c>
      <c r="B157" s="11" t="s">
        <v>358</v>
      </c>
      <c r="C157" s="11" t="s">
        <v>14</v>
      </c>
      <c r="D157" s="11" t="s">
        <v>15</v>
      </c>
      <c r="E157" s="12">
        <v>38037.0</v>
      </c>
      <c r="F157" s="8">
        <f t="shared" si="25"/>
        <v>22.39489483</v>
      </c>
      <c r="G157" s="9">
        <v>136.0</v>
      </c>
      <c r="H157" s="9">
        <f t="shared" si="26"/>
        <v>-7</v>
      </c>
      <c r="I157" s="40" t="s">
        <v>359</v>
      </c>
    </row>
    <row r="158">
      <c r="A158" s="27">
        <v>144.0</v>
      </c>
      <c r="B158" s="28" t="s">
        <v>1044</v>
      </c>
      <c r="C158" s="28" t="s">
        <v>36</v>
      </c>
      <c r="D158" s="28" t="s">
        <v>87</v>
      </c>
      <c r="E158" s="30">
        <v>38548.0</v>
      </c>
      <c r="F158" s="31">
        <f t="shared" si="25"/>
        <v>20.99726027</v>
      </c>
      <c r="G158" s="32">
        <v>152.0</v>
      </c>
      <c r="H158" s="32">
        <f t="shared" si="26"/>
        <v>8</v>
      </c>
      <c r="I158" s="41" t="s">
        <v>330</v>
      </c>
    </row>
    <row r="159">
      <c r="A159" s="27">
        <v>145.0</v>
      </c>
      <c r="B159" s="28" t="s">
        <v>1045</v>
      </c>
      <c r="C159" s="28" t="s">
        <v>36</v>
      </c>
      <c r="D159" s="28" t="s">
        <v>18</v>
      </c>
      <c r="E159" s="44">
        <v>38312.0</v>
      </c>
      <c r="F159" s="31">
        <f t="shared" si="25"/>
        <v>21.64352871</v>
      </c>
      <c r="G159" s="32" t="s">
        <v>371</v>
      </c>
      <c r="H159" s="32" t="s">
        <v>371</v>
      </c>
      <c r="I159" s="33" t="s">
        <v>406</v>
      </c>
    </row>
    <row r="160">
      <c r="A160" s="5">
        <v>146.0</v>
      </c>
      <c r="B160" s="6" t="s">
        <v>346</v>
      </c>
      <c r="C160" s="6" t="s">
        <v>10</v>
      </c>
      <c r="D160" s="35" t="s">
        <v>347</v>
      </c>
      <c r="E160" s="12">
        <v>35696.0</v>
      </c>
      <c r="F160" s="8">
        <f t="shared" si="25"/>
        <v>28.80547945</v>
      </c>
      <c r="G160" s="9">
        <v>158.0</v>
      </c>
      <c r="H160" s="9">
        <f t="shared" ref="H160:H166" si="27">MINUS(G160, A160)</f>
        <v>12</v>
      </c>
      <c r="I160" s="13" t="s">
        <v>348</v>
      </c>
    </row>
    <row r="161">
      <c r="A161" s="5">
        <v>147.0</v>
      </c>
      <c r="B161" s="11" t="s">
        <v>360</v>
      </c>
      <c r="C161" s="11" t="s">
        <v>36</v>
      </c>
      <c r="D161" s="35" t="s">
        <v>164</v>
      </c>
      <c r="E161" s="12">
        <v>36940.0</v>
      </c>
      <c r="F161" s="8">
        <f t="shared" si="25"/>
        <v>25.4</v>
      </c>
      <c r="G161" s="9">
        <v>124.0</v>
      </c>
      <c r="H161" s="9">
        <f t="shared" si="27"/>
        <v>-23</v>
      </c>
      <c r="I161" s="13" t="s">
        <v>361</v>
      </c>
    </row>
    <row r="162">
      <c r="A162" s="5">
        <v>148.0</v>
      </c>
      <c r="B162" s="6" t="s">
        <v>362</v>
      </c>
      <c r="C162" s="6" t="s">
        <v>36</v>
      </c>
      <c r="D162" s="6" t="s">
        <v>66</v>
      </c>
      <c r="E162" s="12">
        <v>38194.0</v>
      </c>
      <c r="F162" s="8">
        <f t="shared" si="25"/>
        <v>21.96593308</v>
      </c>
      <c r="G162" s="9">
        <v>140.0</v>
      </c>
      <c r="H162" s="9">
        <f t="shared" si="27"/>
        <v>-8</v>
      </c>
      <c r="I162" s="40" t="s">
        <v>363</v>
      </c>
    </row>
    <row r="163">
      <c r="A163" s="5">
        <v>149.0</v>
      </c>
      <c r="B163" s="11" t="s">
        <v>364</v>
      </c>
      <c r="C163" s="11" t="s">
        <v>21</v>
      </c>
      <c r="D163" s="11" t="s">
        <v>26</v>
      </c>
      <c r="E163" s="12">
        <v>38029.0</v>
      </c>
      <c r="F163" s="8">
        <f t="shared" si="25"/>
        <v>22.41675275</v>
      </c>
      <c r="G163" s="9">
        <v>142.0</v>
      </c>
      <c r="H163" s="9">
        <f t="shared" si="27"/>
        <v>-7</v>
      </c>
      <c r="I163" s="13" t="s">
        <v>365</v>
      </c>
    </row>
    <row r="164">
      <c r="A164" s="5">
        <v>150.0</v>
      </c>
      <c r="B164" s="6" t="s">
        <v>368</v>
      </c>
      <c r="C164" s="6" t="s">
        <v>25</v>
      </c>
      <c r="D164" s="6" t="s">
        <v>29</v>
      </c>
      <c r="E164" s="12">
        <v>38540.0</v>
      </c>
      <c r="F164" s="8">
        <f t="shared" si="25"/>
        <v>21.01917808</v>
      </c>
      <c r="G164" s="9">
        <v>169.0</v>
      </c>
      <c r="H164" s="9">
        <f t="shared" si="27"/>
        <v>19</v>
      </c>
      <c r="I164" s="13" t="s">
        <v>369</v>
      </c>
    </row>
    <row r="165">
      <c r="A165" s="5">
        <v>151.0</v>
      </c>
      <c r="B165" s="36" t="s">
        <v>366</v>
      </c>
      <c r="C165" s="14" t="s">
        <v>10</v>
      </c>
      <c r="D165" s="14" t="s">
        <v>167</v>
      </c>
      <c r="E165" s="16">
        <v>37718.0</v>
      </c>
      <c r="F165" s="17">
        <f t="shared" si="25"/>
        <v>23.26849315</v>
      </c>
      <c r="G165" s="18">
        <v>156.0</v>
      </c>
      <c r="H165" s="9">
        <f t="shared" si="27"/>
        <v>5</v>
      </c>
      <c r="I165" s="47" t="s">
        <v>367</v>
      </c>
    </row>
    <row r="166">
      <c r="A166" s="5">
        <v>152.0</v>
      </c>
      <c r="B166" s="11" t="s">
        <v>355</v>
      </c>
      <c r="C166" s="11" t="s">
        <v>77</v>
      </c>
      <c r="D166" s="35" t="s">
        <v>356</v>
      </c>
      <c r="E166" s="12">
        <v>31046.0</v>
      </c>
      <c r="F166" s="8">
        <f t="shared" si="25"/>
        <v>41.53697133</v>
      </c>
      <c r="G166" s="9">
        <v>148.0</v>
      </c>
      <c r="H166" s="9">
        <f t="shared" si="27"/>
        <v>-4</v>
      </c>
      <c r="I166" s="13" t="s">
        <v>357</v>
      </c>
    </row>
    <row r="167">
      <c r="A167" s="27">
        <v>153.0</v>
      </c>
      <c r="B167" s="28" t="s">
        <v>1046</v>
      </c>
      <c r="C167" s="28" t="s">
        <v>14</v>
      </c>
      <c r="D167" s="28" t="s">
        <v>90</v>
      </c>
      <c r="E167" s="44">
        <v>38809.0</v>
      </c>
      <c r="F167" s="31">
        <f t="shared" si="25"/>
        <v>20.28219178</v>
      </c>
      <c r="G167" s="32" t="s">
        <v>371</v>
      </c>
      <c r="H167" s="32" t="s">
        <v>371</v>
      </c>
      <c r="I167" s="33" t="s">
        <v>372</v>
      </c>
    </row>
    <row r="168">
      <c r="A168" s="5">
        <v>154.0</v>
      </c>
      <c r="B168" s="14" t="s">
        <v>353</v>
      </c>
      <c r="C168" s="14" t="s">
        <v>21</v>
      </c>
      <c r="D168" s="14" t="s">
        <v>15</v>
      </c>
      <c r="E168" s="16">
        <v>38711.0</v>
      </c>
      <c r="F168" s="17">
        <f t="shared" si="25"/>
        <v>20.55068493</v>
      </c>
      <c r="G168" s="18">
        <v>166.0</v>
      </c>
      <c r="H168" s="9">
        <f t="shared" ref="H168:H169" si="28">MINUS(G168, A168)</f>
        <v>12</v>
      </c>
      <c r="I168" s="19" t="s">
        <v>354</v>
      </c>
    </row>
    <row r="169">
      <c r="A169" s="5">
        <v>155.0</v>
      </c>
      <c r="B169" s="36" t="s">
        <v>318</v>
      </c>
      <c r="C169" s="14" t="s">
        <v>25</v>
      </c>
      <c r="D169" s="14" t="s">
        <v>11</v>
      </c>
      <c r="E169" s="16">
        <v>38682.0</v>
      </c>
      <c r="F169" s="17">
        <f t="shared" si="25"/>
        <v>20.63013699</v>
      </c>
      <c r="G169" s="18">
        <v>232.0</v>
      </c>
      <c r="H169" s="9">
        <f t="shared" si="28"/>
        <v>77</v>
      </c>
      <c r="I169" s="47" t="s">
        <v>319</v>
      </c>
    </row>
    <row r="170">
      <c r="A170" s="20"/>
      <c r="B170" s="21" t="s">
        <v>34</v>
      </c>
      <c r="C170" s="22"/>
      <c r="D170" s="22"/>
      <c r="E170" s="23"/>
      <c r="F170" s="24"/>
      <c r="G170" s="25"/>
      <c r="H170" s="25"/>
      <c r="I170" s="26"/>
    </row>
    <row r="171">
      <c r="A171" s="5">
        <v>156.0</v>
      </c>
      <c r="B171" s="11" t="s">
        <v>382</v>
      </c>
      <c r="C171" s="11" t="s">
        <v>14</v>
      </c>
      <c r="D171" s="35" t="s">
        <v>37</v>
      </c>
      <c r="E171" s="12">
        <v>36542.0</v>
      </c>
      <c r="F171" s="8">
        <f t="shared" ref="F171:F196" si="29">YEARFRAC(E171, TODAY(),1)</f>
        <v>26.487791</v>
      </c>
      <c r="G171" s="9">
        <v>184.0</v>
      </c>
      <c r="H171" s="9">
        <f t="shared" ref="H171:H175" si="30">MINUS(G171, A171)</f>
        <v>28</v>
      </c>
      <c r="I171" s="10" t="s">
        <v>383</v>
      </c>
    </row>
    <row r="172">
      <c r="A172" s="5">
        <v>157.0</v>
      </c>
      <c r="B172" s="11" t="s">
        <v>392</v>
      </c>
      <c r="C172" s="11" t="s">
        <v>25</v>
      </c>
      <c r="D172" s="11" t="s">
        <v>26</v>
      </c>
      <c r="E172" s="12">
        <v>35819.0</v>
      </c>
      <c r="F172" s="8">
        <f t="shared" si="29"/>
        <v>28.46849315</v>
      </c>
      <c r="G172" s="9">
        <v>176.0</v>
      </c>
      <c r="H172" s="9">
        <f t="shared" si="30"/>
        <v>19</v>
      </c>
      <c r="I172" s="10" t="s">
        <v>393</v>
      </c>
    </row>
    <row r="173">
      <c r="A173" s="5">
        <v>158.0</v>
      </c>
      <c r="B173" s="6" t="s">
        <v>386</v>
      </c>
      <c r="C173" s="6" t="s">
        <v>14</v>
      </c>
      <c r="D173" s="6" t="s">
        <v>95</v>
      </c>
      <c r="E173" s="12">
        <v>33069.0</v>
      </c>
      <c r="F173" s="8">
        <f t="shared" si="29"/>
        <v>35.99726027</v>
      </c>
      <c r="G173" s="9">
        <v>172.0</v>
      </c>
      <c r="H173" s="9">
        <f t="shared" si="30"/>
        <v>14</v>
      </c>
      <c r="I173" s="10" t="s">
        <v>387</v>
      </c>
    </row>
    <row r="174">
      <c r="A174" s="5">
        <v>159.0</v>
      </c>
      <c r="B174" s="6" t="s">
        <v>409</v>
      </c>
      <c r="C174" s="11" t="s">
        <v>25</v>
      </c>
      <c r="D174" s="11" t="s">
        <v>128</v>
      </c>
      <c r="E174" s="12">
        <v>34753.0</v>
      </c>
      <c r="F174" s="8">
        <f t="shared" si="29"/>
        <v>31.38630137</v>
      </c>
      <c r="G174" s="9">
        <v>175.0</v>
      </c>
      <c r="H174" s="9">
        <f t="shared" si="30"/>
        <v>16</v>
      </c>
      <c r="I174" s="10" t="s">
        <v>410</v>
      </c>
    </row>
    <row r="175">
      <c r="A175" s="5">
        <v>160.0</v>
      </c>
      <c r="B175" s="14" t="s">
        <v>394</v>
      </c>
      <c r="C175" s="14" t="s">
        <v>36</v>
      </c>
      <c r="D175" s="14" t="s">
        <v>22</v>
      </c>
      <c r="E175" s="16">
        <v>36998.0</v>
      </c>
      <c r="F175" s="17">
        <f t="shared" si="29"/>
        <v>25.24109589</v>
      </c>
      <c r="G175" s="9">
        <v>149.0</v>
      </c>
      <c r="H175" s="9">
        <f t="shared" si="30"/>
        <v>-11</v>
      </c>
      <c r="I175" s="13" t="s">
        <v>395</v>
      </c>
    </row>
    <row r="176">
      <c r="A176" s="27">
        <v>161.0</v>
      </c>
      <c r="B176" s="28" t="s">
        <v>1047</v>
      </c>
      <c r="C176" s="28" t="s">
        <v>14</v>
      </c>
      <c r="D176" s="28" t="s">
        <v>40</v>
      </c>
      <c r="E176" s="44">
        <v>38680.0</v>
      </c>
      <c r="F176" s="31">
        <f t="shared" si="29"/>
        <v>20.63561644</v>
      </c>
      <c r="G176" s="32" t="s">
        <v>371</v>
      </c>
      <c r="H176" s="32" t="s">
        <v>371</v>
      </c>
      <c r="I176" s="33" t="s">
        <v>429</v>
      </c>
    </row>
    <row r="177">
      <c r="A177" s="27">
        <v>162.0</v>
      </c>
      <c r="B177" s="28" t="s">
        <v>1048</v>
      </c>
      <c r="C177" s="28" t="s">
        <v>25</v>
      </c>
      <c r="D177" s="28" t="s">
        <v>213</v>
      </c>
      <c r="E177" s="44">
        <v>39061.0</v>
      </c>
      <c r="F177" s="31">
        <f t="shared" si="29"/>
        <v>19.59178082</v>
      </c>
      <c r="G177" s="32" t="s">
        <v>371</v>
      </c>
      <c r="H177" s="32" t="s">
        <v>371</v>
      </c>
      <c r="I177" s="33" t="s">
        <v>431</v>
      </c>
    </row>
    <row r="178">
      <c r="A178" s="5">
        <v>163.0</v>
      </c>
      <c r="B178" s="6" t="s">
        <v>388</v>
      </c>
      <c r="C178" s="6" t="s">
        <v>74</v>
      </c>
      <c r="D178" s="6" t="s">
        <v>176</v>
      </c>
      <c r="E178" s="12">
        <v>37677.0</v>
      </c>
      <c r="F178" s="8">
        <f t="shared" si="29"/>
        <v>23.38082192</v>
      </c>
      <c r="G178" s="9">
        <v>133.0</v>
      </c>
      <c r="H178" s="9">
        <f t="shared" ref="H178:H196" si="31">MINUS(G178, A178)</f>
        <v>-30</v>
      </c>
      <c r="I178" s="13" t="s">
        <v>389</v>
      </c>
    </row>
    <row r="179">
      <c r="A179" s="5">
        <v>164.0</v>
      </c>
      <c r="B179" s="6" t="s">
        <v>377</v>
      </c>
      <c r="C179" s="6" t="s">
        <v>36</v>
      </c>
      <c r="D179" s="6" t="s">
        <v>69</v>
      </c>
      <c r="E179" s="12">
        <v>37592.0</v>
      </c>
      <c r="F179" s="8">
        <f t="shared" si="29"/>
        <v>23.61369863</v>
      </c>
      <c r="G179" s="9">
        <v>143.0</v>
      </c>
      <c r="H179" s="9">
        <f t="shared" si="31"/>
        <v>-21</v>
      </c>
      <c r="I179" s="13" t="s">
        <v>378</v>
      </c>
    </row>
    <row r="180">
      <c r="A180" s="5">
        <v>165.0</v>
      </c>
      <c r="B180" s="6" t="s">
        <v>398</v>
      </c>
      <c r="C180" s="6" t="s">
        <v>36</v>
      </c>
      <c r="D180" s="35" t="s">
        <v>399</v>
      </c>
      <c r="E180" s="12">
        <v>36654.0</v>
      </c>
      <c r="F180" s="8">
        <f t="shared" si="29"/>
        <v>26.18178007</v>
      </c>
      <c r="G180" s="9">
        <v>165.0</v>
      </c>
      <c r="H180" s="9">
        <f t="shared" si="31"/>
        <v>0</v>
      </c>
      <c r="I180" s="10" t="s">
        <v>400</v>
      </c>
    </row>
    <row r="181">
      <c r="A181" s="5">
        <v>166.0</v>
      </c>
      <c r="B181" s="36" t="s">
        <v>401</v>
      </c>
      <c r="C181" s="36" t="s">
        <v>25</v>
      </c>
      <c r="D181" s="36" t="s">
        <v>66</v>
      </c>
      <c r="E181" s="48">
        <v>38758.0</v>
      </c>
      <c r="F181" s="17">
        <f t="shared" si="29"/>
        <v>20.42191781</v>
      </c>
      <c r="G181" s="18">
        <v>129.0</v>
      </c>
      <c r="H181" s="9">
        <f t="shared" si="31"/>
        <v>-37</v>
      </c>
      <c r="I181" s="47" t="s">
        <v>402</v>
      </c>
    </row>
    <row r="182">
      <c r="A182" s="5">
        <v>167.0</v>
      </c>
      <c r="B182" s="6" t="s">
        <v>434</v>
      </c>
      <c r="C182" s="6" t="s">
        <v>14</v>
      </c>
      <c r="D182" s="6" t="s">
        <v>213</v>
      </c>
      <c r="E182" s="12">
        <v>36650.0</v>
      </c>
      <c r="F182" s="8">
        <f t="shared" si="29"/>
        <v>26.19270904</v>
      </c>
      <c r="G182" s="9">
        <v>131.0</v>
      </c>
      <c r="H182" s="9">
        <f t="shared" si="31"/>
        <v>-36</v>
      </c>
      <c r="I182" s="10" t="s">
        <v>435</v>
      </c>
    </row>
    <row r="183">
      <c r="A183" s="5">
        <v>168.0</v>
      </c>
      <c r="B183" s="35" t="s">
        <v>1049</v>
      </c>
      <c r="C183" s="6" t="s">
        <v>21</v>
      </c>
      <c r="D183" s="35" t="s">
        <v>380</v>
      </c>
      <c r="E183" s="12">
        <v>35999.0</v>
      </c>
      <c r="F183" s="8">
        <f t="shared" si="29"/>
        <v>27.97534247</v>
      </c>
      <c r="G183" s="9">
        <v>137.0</v>
      </c>
      <c r="H183" s="9">
        <f t="shared" si="31"/>
        <v>-31</v>
      </c>
      <c r="I183" s="13" t="s">
        <v>381</v>
      </c>
    </row>
    <row r="184">
      <c r="A184" s="5">
        <v>169.0</v>
      </c>
      <c r="B184" s="6" t="s">
        <v>373</v>
      </c>
      <c r="C184" s="6" t="s">
        <v>21</v>
      </c>
      <c r="D184" s="6" t="s">
        <v>26</v>
      </c>
      <c r="E184" s="12">
        <v>36069.0</v>
      </c>
      <c r="F184" s="8">
        <f t="shared" si="29"/>
        <v>27.78356164</v>
      </c>
      <c r="G184" s="9">
        <v>164.0</v>
      </c>
      <c r="H184" s="9">
        <f t="shared" si="31"/>
        <v>-5</v>
      </c>
      <c r="I184" s="13" t="s">
        <v>374</v>
      </c>
    </row>
    <row r="185">
      <c r="A185" s="5">
        <v>170.0</v>
      </c>
      <c r="B185" s="11" t="s">
        <v>384</v>
      </c>
      <c r="C185" s="35" t="s">
        <v>21</v>
      </c>
      <c r="D185" s="11" t="s">
        <v>90</v>
      </c>
      <c r="E185" s="12">
        <v>37277.0</v>
      </c>
      <c r="F185" s="8">
        <f t="shared" si="29"/>
        <v>24.47671233</v>
      </c>
      <c r="G185" s="9">
        <v>159.0</v>
      </c>
      <c r="H185" s="9">
        <f t="shared" si="31"/>
        <v>-11</v>
      </c>
      <c r="I185" s="10" t="s">
        <v>385</v>
      </c>
    </row>
    <row r="186">
      <c r="A186" s="5">
        <v>171.0</v>
      </c>
      <c r="B186" s="11" t="s">
        <v>390</v>
      </c>
      <c r="C186" s="11" t="s">
        <v>25</v>
      </c>
      <c r="D186" s="11" t="s">
        <v>46</v>
      </c>
      <c r="E186" s="12">
        <v>36449.0</v>
      </c>
      <c r="F186" s="8">
        <f t="shared" si="29"/>
        <v>26.74246575</v>
      </c>
      <c r="G186" s="9">
        <v>154.0</v>
      </c>
      <c r="H186" s="9">
        <f t="shared" si="31"/>
        <v>-17</v>
      </c>
      <c r="I186" s="10" t="s">
        <v>391</v>
      </c>
    </row>
    <row r="187">
      <c r="A187" s="5">
        <v>172.0</v>
      </c>
      <c r="B187" s="36" t="s">
        <v>403</v>
      </c>
      <c r="C187" s="14" t="s">
        <v>14</v>
      </c>
      <c r="D187" s="36" t="s">
        <v>164</v>
      </c>
      <c r="E187" s="16">
        <v>38866.0</v>
      </c>
      <c r="F187" s="17">
        <f t="shared" si="29"/>
        <v>20.1260274</v>
      </c>
      <c r="G187" s="18">
        <v>189.0</v>
      </c>
      <c r="H187" s="9">
        <f t="shared" si="31"/>
        <v>17</v>
      </c>
      <c r="I187" s="47" t="s">
        <v>404</v>
      </c>
    </row>
    <row r="188">
      <c r="A188" s="5">
        <v>173.0</v>
      </c>
      <c r="B188" s="6" t="s">
        <v>414</v>
      </c>
      <c r="C188" s="6" t="s">
        <v>183</v>
      </c>
      <c r="D188" s="6" t="s">
        <v>111</v>
      </c>
      <c r="E188" s="12">
        <v>36336.0</v>
      </c>
      <c r="F188" s="8">
        <f t="shared" si="29"/>
        <v>27.05205479</v>
      </c>
      <c r="G188" s="9">
        <v>192.0</v>
      </c>
      <c r="H188" s="9">
        <f t="shared" si="31"/>
        <v>19</v>
      </c>
      <c r="I188" s="10" t="s">
        <v>415</v>
      </c>
    </row>
    <row r="189">
      <c r="A189" s="5">
        <v>174.0</v>
      </c>
      <c r="B189" s="11" t="s">
        <v>416</v>
      </c>
      <c r="C189" s="11" t="s">
        <v>25</v>
      </c>
      <c r="D189" s="11" t="s">
        <v>11</v>
      </c>
      <c r="E189" s="12">
        <v>37071.0</v>
      </c>
      <c r="F189" s="8">
        <f t="shared" si="29"/>
        <v>25.04109589</v>
      </c>
      <c r="G189" s="9">
        <v>221.0</v>
      </c>
      <c r="H189" s="9">
        <f t="shared" si="31"/>
        <v>47</v>
      </c>
      <c r="I189" s="10" t="s">
        <v>417</v>
      </c>
    </row>
    <row r="190">
      <c r="A190" s="5">
        <v>175.0</v>
      </c>
      <c r="B190" s="11" t="s">
        <v>424</v>
      </c>
      <c r="C190" s="11" t="s">
        <v>10</v>
      </c>
      <c r="D190" s="11" t="s">
        <v>82</v>
      </c>
      <c r="E190" s="12">
        <v>36266.0</v>
      </c>
      <c r="F190" s="8">
        <f t="shared" si="29"/>
        <v>27.24383562</v>
      </c>
      <c r="G190" s="9">
        <v>163.0</v>
      </c>
      <c r="H190" s="9">
        <f t="shared" si="31"/>
        <v>-12</v>
      </c>
      <c r="I190" s="10" t="s">
        <v>425</v>
      </c>
    </row>
    <row r="191">
      <c r="A191" s="5">
        <v>176.0</v>
      </c>
      <c r="B191" s="6" t="s">
        <v>421</v>
      </c>
      <c r="C191" s="6" t="s">
        <v>25</v>
      </c>
      <c r="D191" s="35" t="s">
        <v>422</v>
      </c>
      <c r="E191" s="12">
        <v>37535.0</v>
      </c>
      <c r="F191" s="8">
        <f t="shared" si="29"/>
        <v>23.76986301</v>
      </c>
      <c r="G191" s="9">
        <v>122.0</v>
      </c>
      <c r="H191" s="9">
        <f t="shared" si="31"/>
        <v>-54</v>
      </c>
      <c r="I191" s="13" t="s">
        <v>423</v>
      </c>
    </row>
    <row r="192">
      <c r="A192" s="5">
        <v>177.0</v>
      </c>
      <c r="B192" s="14" t="s">
        <v>446</v>
      </c>
      <c r="C192" s="14" t="s">
        <v>10</v>
      </c>
      <c r="D192" s="14" t="s">
        <v>58</v>
      </c>
      <c r="E192" s="16">
        <v>37932.0</v>
      </c>
      <c r="F192" s="17">
        <f t="shared" si="29"/>
        <v>22.68219178</v>
      </c>
      <c r="G192" s="9">
        <v>160.0</v>
      </c>
      <c r="H192" s="9">
        <f t="shared" si="31"/>
        <v>-17</v>
      </c>
      <c r="I192" s="47" t="s">
        <v>447</v>
      </c>
    </row>
    <row r="193">
      <c r="A193" s="5">
        <v>178.0</v>
      </c>
      <c r="B193" s="6" t="s">
        <v>411</v>
      </c>
      <c r="C193" s="6" t="s">
        <v>10</v>
      </c>
      <c r="D193" s="35" t="s">
        <v>412</v>
      </c>
      <c r="E193" s="12">
        <v>37033.0</v>
      </c>
      <c r="F193" s="8">
        <f t="shared" si="29"/>
        <v>25.14520548</v>
      </c>
      <c r="G193" s="9">
        <v>212.0</v>
      </c>
      <c r="H193" s="9">
        <f t="shared" si="31"/>
        <v>34</v>
      </c>
      <c r="I193" s="10" t="s">
        <v>413</v>
      </c>
    </row>
    <row r="194">
      <c r="A194" s="5">
        <v>179.0</v>
      </c>
      <c r="B194" s="6" t="s">
        <v>432</v>
      </c>
      <c r="C194" s="6" t="s">
        <v>25</v>
      </c>
      <c r="D194" s="35" t="s">
        <v>111</v>
      </c>
      <c r="E194" s="12">
        <v>35086.0</v>
      </c>
      <c r="F194" s="8">
        <f t="shared" si="29"/>
        <v>30.4741298</v>
      </c>
      <c r="G194" s="9">
        <v>178.0</v>
      </c>
      <c r="H194" s="9">
        <f t="shared" si="31"/>
        <v>-1</v>
      </c>
      <c r="I194" s="10" t="s">
        <v>433</v>
      </c>
    </row>
    <row r="195">
      <c r="A195" s="5">
        <v>180.0</v>
      </c>
      <c r="B195" s="6" t="s">
        <v>440</v>
      </c>
      <c r="C195" s="6" t="s">
        <v>14</v>
      </c>
      <c r="D195" s="6" t="s">
        <v>128</v>
      </c>
      <c r="E195" s="12">
        <v>36043.0</v>
      </c>
      <c r="F195" s="8">
        <f t="shared" si="29"/>
        <v>27.85479452</v>
      </c>
      <c r="G195" s="9">
        <v>198.0</v>
      </c>
      <c r="H195" s="9">
        <f t="shared" si="31"/>
        <v>18</v>
      </c>
      <c r="I195" s="10" t="s">
        <v>441</v>
      </c>
    </row>
    <row r="196">
      <c r="A196" s="5">
        <v>181.0</v>
      </c>
      <c r="B196" s="6" t="s">
        <v>456</v>
      </c>
      <c r="C196" s="6" t="s">
        <v>25</v>
      </c>
      <c r="D196" s="6" t="s">
        <v>176</v>
      </c>
      <c r="E196" s="12">
        <v>32765.0</v>
      </c>
      <c r="F196" s="8">
        <f t="shared" si="29"/>
        <v>36.83013699</v>
      </c>
      <c r="G196" s="9">
        <v>199.0</v>
      </c>
      <c r="H196" s="9">
        <f t="shared" si="31"/>
        <v>18</v>
      </c>
      <c r="I196" s="13" t="s">
        <v>457</v>
      </c>
    </row>
    <row r="197">
      <c r="A197" s="20"/>
      <c r="B197" s="21" t="s">
        <v>34</v>
      </c>
      <c r="C197" s="22"/>
      <c r="D197" s="22"/>
      <c r="E197" s="23"/>
      <c r="F197" s="24"/>
      <c r="G197" s="25"/>
      <c r="H197" s="25"/>
      <c r="I197" s="26"/>
    </row>
    <row r="198">
      <c r="A198" s="5">
        <v>182.0</v>
      </c>
      <c r="B198" s="6" t="s">
        <v>444</v>
      </c>
      <c r="C198" s="6" t="s">
        <v>25</v>
      </c>
      <c r="D198" s="6" t="s">
        <v>22</v>
      </c>
      <c r="E198" s="12">
        <v>35127.0</v>
      </c>
      <c r="F198" s="8">
        <f t="shared" ref="F198:F224" si="32">YEARFRAC(E198, TODAY(),1)</f>
        <v>30.36210794</v>
      </c>
      <c r="G198" s="9">
        <v>181.0</v>
      </c>
      <c r="H198" s="9">
        <f t="shared" ref="H198:H200" si="33">MINUS(G198, A198)</f>
        <v>-1</v>
      </c>
      <c r="I198" s="13" t="s">
        <v>445</v>
      </c>
    </row>
    <row r="199">
      <c r="A199" s="5">
        <v>183.0</v>
      </c>
      <c r="B199" s="6" t="s">
        <v>458</v>
      </c>
      <c r="C199" s="6" t="s">
        <v>14</v>
      </c>
      <c r="D199" s="35" t="s">
        <v>43</v>
      </c>
      <c r="E199" s="12">
        <v>33500.0</v>
      </c>
      <c r="F199" s="8">
        <f t="shared" si="32"/>
        <v>34.81643836</v>
      </c>
      <c r="G199" s="9">
        <v>167.0</v>
      </c>
      <c r="H199" s="9">
        <f t="shared" si="33"/>
        <v>-16</v>
      </c>
      <c r="I199" s="10" t="s">
        <v>1050</v>
      </c>
    </row>
    <row r="200">
      <c r="A200" s="5">
        <v>184.0</v>
      </c>
      <c r="B200" s="36" t="s">
        <v>396</v>
      </c>
      <c r="C200" s="14" t="s">
        <v>36</v>
      </c>
      <c r="D200" s="14" t="s">
        <v>32</v>
      </c>
      <c r="E200" s="16">
        <v>38753.0</v>
      </c>
      <c r="F200" s="17">
        <f t="shared" si="32"/>
        <v>20.43561644</v>
      </c>
      <c r="G200" s="18">
        <v>242.0</v>
      </c>
      <c r="H200" s="9">
        <f t="shared" si="33"/>
        <v>58</v>
      </c>
      <c r="I200" s="47" t="s">
        <v>397</v>
      </c>
    </row>
    <row r="201">
      <c r="A201" s="27">
        <v>185.0</v>
      </c>
      <c r="B201" s="28" t="s">
        <v>1051</v>
      </c>
      <c r="C201" s="28" t="s">
        <v>25</v>
      </c>
      <c r="D201" s="28" t="s">
        <v>49</v>
      </c>
      <c r="E201" s="44">
        <v>39184.0</v>
      </c>
      <c r="F201" s="31">
        <f t="shared" si="32"/>
        <v>19.25479452</v>
      </c>
      <c r="G201" s="32" t="s">
        <v>371</v>
      </c>
      <c r="H201" s="32" t="s">
        <v>371</v>
      </c>
      <c r="I201" s="33" t="s">
        <v>451</v>
      </c>
    </row>
    <row r="202">
      <c r="A202" s="27">
        <v>186.0</v>
      </c>
      <c r="B202" s="28" t="s">
        <v>1052</v>
      </c>
      <c r="C202" s="28" t="s">
        <v>21</v>
      </c>
      <c r="D202" s="28" t="s">
        <v>11</v>
      </c>
      <c r="E202" s="44">
        <v>37838.0</v>
      </c>
      <c r="F202" s="31">
        <f t="shared" si="32"/>
        <v>22.93972603</v>
      </c>
      <c r="G202" s="32" t="s">
        <v>371</v>
      </c>
      <c r="H202" s="32" t="s">
        <v>371</v>
      </c>
      <c r="I202" s="33" t="s">
        <v>478</v>
      </c>
    </row>
    <row r="203">
      <c r="A203" s="27">
        <v>187.0</v>
      </c>
      <c r="B203" s="28" t="s">
        <v>1053</v>
      </c>
      <c r="C203" s="28" t="s">
        <v>267</v>
      </c>
      <c r="D203" s="28" t="s">
        <v>52</v>
      </c>
      <c r="E203" s="44">
        <v>38926.0</v>
      </c>
      <c r="F203" s="31">
        <f t="shared" si="32"/>
        <v>19.96164384</v>
      </c>
      <c r="G203" s="32" t="s">
        <v>371</v>
      </c>
      <c r="H203" s="32" t="s">
        <v>371</v>
      </c>
      <c r="I203" s="33" t="s">
        <v>408</v>
      </c>
    </row>
    <row r="204">
      <c r="A204" s="5">
        <v>188.0</v>
      </c>
      <c r="B204" s="14" t="s">
        <v>442</v>
      </c>
      <c r="C204" s="14" t="s">
        <v>25</v>
      </c>
      <c r="D204" s="14" t="s">
        <v>176</v>
      </c>
      <c r="E204" s="16">
        <v>37429.0</v>
      </c>
      <c r="F204" s="17">
        <f t="shared" si="32"/>
        <v>24.06027397</v>
      </c>
      <c r="G204" s="9">
        <v>251.0</v>
      </c>
      <c r="H204" s="9">
        <f t="shared" ref="H204:H221" si="34">MINUS(G204, A204)</f>
        <v>63</v>
      </c>
      <c r="I204" s="51" t="s">
        <v>443</v>
      </c>
    </row>
    <row r="205">
      <c r="A205" s="5">
        <v>189.0</v>
      </c>
      <c r="B205" s="36" t="s">
        <v>426</v>
      </c>
      <c r="C205" s="15" t="s">
        <v>25</v>
      </c>
      <c r="D205" s="15" t="s">
        <v>87</v>
      </c>
      <c r="E205" s="16">
        <v>39069.0</v>
      </c>
      <c r="F205" s="17">
        <f t="shared" si="32"/>
        <v>19.56986301</v>
      </c>
      <c r="G205" s="18">
        <v>183.0</v>
      </c>
      <c r="H205" s="9">
        <f t="shared" si="34"/>
        <v>-6</v>
      </c>
      <c r="I205" s="47" t="s">
        <v>427</v>
      </c>
    </row>
    <row r="206">
      <c r="A206" s="5">
        <v>190.0</v>
      </c>
      <c r="B206" s="11" t="s">
        <v>490</v>
      </c>
      <c r="C206" s="11" t="s">
        <v>36</v>
      </c>
      <c r="D206" s="35" t="s">
        <v>491</v>
      </c>
      <c r="E206" s="12">
        <v>34980.0</v>
      </c>
      <c r="F206" s="8">
        <f t="shared" si="32"/>
        <v>30.76438356</v>
      </c>
      <c r="G206" s="9">
        <v>186.0</v>
      </c>
      <c r="H206" s="9">
        <f t="shared" si="34"/>
        <v>-4</v>
      </c>
      <c r="I206" s="10" t="s">
        <v>492</v>
      </c>
    </row>
    <row r="207">
      <c r="A207" s="5">
        <v>191.0</v>
      </c>
      <c r="B207" s="6" t="s">
        <v>448</v>
      </c>
      <c r="C207" s="35" t="s">
        <v>36</v>
      </c>
      <c r="D207" s="6" t="s">
        <v>167</v>
      </c>
      <c r="E207" s="12">
        <v>35830.0</v>
      </c>
      <c r="F207" s="8">
        <f t="shared" si="32"/>
        <v>28.43835616</v>
      </c>
      <c r="G207" s="9">
        <v>162.0</v>
      </c>
      <c r="H207" s="9">
        <f t="shared" si="34"/>
        <v>-29</v>
      </c>
      <c r="I207" s="13" t="s">
        <v>449</v>
      </c>
    </row>
    <row r="208">
      <c r="A208" s="5">
        <v>192.0</v>
      </c>
      <c r="B208" s="6" t="s">
        <v>436</v>
      </c>
      <c r="C208" s="6" t="s">
        <v>25</v>
      </c>
      <c r="D208" s="6" t="s">
        <v>114</v>
      </c>
      <c r="E208" s="12">
        <v>36074.0</v>
      </c>
      <c r="F208" s="8">
        <f t="shared" si="32"/>
        <v>27.76986301</v>
      </c>
      <c r="G208" s="9">
        <v>207.0</v>
      </c>
      <c r="H208" s="9">
        <f t="shared" si="34"/>
        <v>15</v>
      </c>
      <c r="I208" s="10" t="s">
        <v>437</v>
      </c>
    </row>
    <row r="209">
      <c r="A209" s="5">
        <v>193.0</v>
      </c>
      <c r="B209" s="6" t="s">
        <v>438</v>
      </c>
      <c r="C209" s="11" t="s">
        <v>36</v>
      </c>
      <c r="D209" s="11" t="s">
        <v>26</v>
      </c>
      <c r="E209" s="12">
        <v>37662.0</v>
      </c>
      <c r="F209" s="8">
        <f t="shared" si="32"/>
        <v>23.42191781</v>
      </c>
      <c r="G209" s="9">
        <v>170.0</v>
      </c>
      <c r="H209" s="9">
        <f t="shared" si="34"/>
        <v>-23</v>
      </c>
      <c r="I209" s="10" t="s">
        <v>439</v>
      </c>
    </row>
    <row r="210">
      <c r="A210" s="5">
        <v>194.0</v>
      </c>
      <c r="B210" s="6" t="s">
        <v>518</v>
      </c>
      <c r="C210" s="6" t="s">
        <v>25</v>
      </c>
      <c r="D210" s="35" t="s">
        <v>519</v>
      </c>
      <c r="E210" s="12">
        <v>35834.0</v>
      </c>
      <c r="F210" s="8">
        <f t="shared" si="32"/>
        <v>28.42739726</v>
      </c>
      <c r="G210" s="9">
        <v>215.0</v>
      </c>
      <c r="H210" s="9">
        <f t="shared" si="34"/>
        <v>21</v>
      </c>
      <c r="I210" s="10" t="s">
        <v>520</v>
      </c>
    </row>
    <row r="211">
      <c r="A211" s="5">
        <v>195.0</v>
      </c>
      <c r="B211" s="6" t="s">
        <v>469</v>
      </c>
      <c r="C211" s="6" t="s">
        <v>10</v>
      </c>
      <c r="D211" s="6" t="s">
        <v>176</v>
      </c>
      <c r="E211" s="12">
        <v>32936.0</v>
      </c>
      <c r="F211" s="8">
        <f t="shared" si="32"/>
        <v>36.36164384</v>
      </c>
      <c r="G211" s="9">
        <v>193.0</v>
      </c>
      <c r="H211" s="9">
        <f t="shared" si="34"/>
        <v>-2</v>
      </c>
      <c r="I211" s="53" t="s">
        <v>470</v>
      </c>
    </row>
    <row r="212">
      <c r="A212" s="5">
        <v>196.0</v>
      </c>
      <c r="B212" s="6" t="s">
        <v>464</v>
      </c>
      <c r="C212" s="6" t="s">
        <v>36</v>
      </c>
      <c r="D212" s="35" t="s">
        <v>465</v>
      </c>
      <c r="E212" s="12">
        <v>37426.0</v>
      </c>
      <c r="F212" s="8">
        <f t="shared" si="32"/>
        <v>24.06849315</v>
      </c>
      <c r="G212" s="9">
        <v>147.0</v>
      </c>
      <c r="H212" s="9">
        <f t="shared" si="34"/>
        <v>-49</v>
      </c>
      <c r="I212" s="13" t="s">
        <v>466</v>
      </c>
    </row>
    <row r="213">
      <c r="A213" s="5">
        <v>197.0</v>
      </c>
      <c r="B213" s="6" t="s">
        <v>460</v>
      </c>
      <c r="C213" s="6" t="s">
        <v>10</v>
      </c>
      <c r="D213" s="6" t="s">
        <v>29</v>
      </c>
      <c r="E213" s="12">
        <v>36325.0</v>
      </c>
      <c r="F213" s="8">
        <f t="shared" si="32"/>
        <v>27.08219178</v>
      </c>
      <c r="G213" s="9">
        <v>364.0</v>
      </c>
      <c r="H213" s="9">
        <f t="shared" si="34"/>
        <v>167</v>
      </c>
      <c r="I213" s="10" t="s">
        <v>461</v>
      </c>
    </row>
    <row r="214">
      <c r="A214" s="5">
        <v>198.0</v>
      </c>
      <c r="B214" s="6" t="s">
        <v>529</v>
      </c>
      <c r="C214" s="6" t="s">
        <v>14</v>
      </c>
      <c r="D214" s="35" t="s">
        <v>530</v>
      </c>
      <c r="E214" s="12">
        <v>36319.0</v>
      </c>
      <c r="F214" s="8">
        <f t="shared" si="32"/>
        <v>27.09863014</v>
      </c>
      <c r="G214" s="9">
        <v>197.0</v>
      </c>
      <c r="H214" s="9">
        <f t="shared" si="34"/>
        <v>-1</v>
      </c>
      <c r="I214" s="13" t="s">
        <v>531</v>
      </c>
    </row>
    <row r="215">
      <c r="A215" s="5">
        <v>199.0</v>
      </c>
      <c r="B215" s="36" t="s">
        <v>493</v>
      </c>
      <c r="C215" s="14" t="s">
        <v>36</v>
      </c>
      <c r="D215" s="14" t="s">
        <v>167</v>
      </c>
      <c r="E215" s="16">
        <v>37296.0</v>
      </c>
      <c r="F215" s="17">
        <f t="shared" si="32"/>
        <v>24.42465753</v>
      </c>
      <c r="G215" s="18">
        <v>187.0</v>
      </c>
      <c r="H215" s="9">
        <f t="shared" si="34"/>
        <v>-12</v>
      </c>
      <c r="I215" s="47" t="s">
        <v>494</v>
      </c>
    </row>
    <row r="216">
      <c r="A216" s="5">
        <v>200.0</v>
      </c>
      <c r="B216" s="36" t="s">
        <v>471</v>
      </c>
      <c r="C216" s="14" t="s">
        <v>10</v>
      </c>
      <c r="D216" s="14" t="s">
        <v>158</v>
      </c>
      <c r="E216" s="16">
        <v>38112.0</v>
      </c>
      <c r="F216" s="17">
        <f t="shared" si="32"/>
        <v>22.18997679</v>
      </c>
      <c r="G216" s="18">
        <v>185.0</v>
      </c>
      <c r="H216" s="9">
        <f t="shared" si="34"/>
        <v>-15</v>
      </c>
      <c r="I216" s="47" t="s">
        <v>472</v>
      </c>
    </row>
    <row r="217">
      <c r="A217" s="5">
        <v>201.0</v>
      </c>
      <c r="B217" s="6" t="s">
        <v>418</v>
      </c>
      <c r="C217" s="6" t="s">
        <v>21</v>
      </c>
      <c r="D217" s="35" t="s">
        <v>419</v>
      </c>
      <c r="E217" s="12">
        <v>35886.0</v>
      </c>
      <c r="F217" s="8">
        <f t="shared" si="32"/>
        <v>28.28493151</v>
      </c>
      <c r="G217" s="9">
        <v>226.0</v>
      </c>
      <c r="H217" s="9">
        <f t="shared" si="34"/>
        <v>25</v>
      </c>
      <c r="I217" s="10" t="s">
        <v>420</v>
      </c>
    </row>
    <row r="218">
      <c r="A218" s="5">
        <v>202.0</v>
      </c>
      <c r="B218" s="35" t="s">
        <v>467</v>
      </c>
      <c r="C218" s="35" t="s">
        <v>14</v>
      </c>
      <c r="D218" s="35" t="s">
        <v>29</v>
      </c>
      <c r="E218" s="7">
        <v>37120.0</v>
      </c>
      <c r="F218" s="8">
        <f t="shared" si="32"/>
        <v>24.90684932</v>
      </c>
      <c r="G218" s="9">
        <v>191.0</v>
      </c>
      <c r="H218" s="9">
        <f t="shared" si="34"/>
        <v>-11</v>
      </c>
      <c r="I218" s="10" t="s">
        <v>468</v>
      </c>
    </row>
    <row r="219">
      <c r="A219" s="5">
        <v>203.0</v>
      </c>
      <c r="B219" s="6" t="s">
        <v>502</v>
      </c>
      <c r="C219" s="6" t="s">
        <v>14</v>
      </c>
      <c r="D219" s="6" t="s">
        <v>49</v>
      </c>
      <c r="E219" s="12">
        <v>36622.0</v>
      </c>
      <c r="F219" s="8">
        <f t="shared" si="32"/>
        <v>26.26921177</v>
      </c>
      <c r="G219" s="9">
        <v>208.0</v>
      </c>
      <c r="H219" s="9">
        <f t="shared" si="34"/>
        <v>5</v>
      </c>
      <c r="I219" s="10" t="s">
        <v>503</v>
      </c>
    </row>
    <row r="220">
      <c r="A220" s="5">
        <v>204.0</v>
      </c>
      <c r="B220" s="11" t="s">
        <v>479</v>
      </c>
      <c r="C220" s="11" t="s">
        <v>14</v>
      </c>
      <c r="D220" s="11" t="s">
        <v>95</v>
      </c>
      <c r="E220" s="12">
        <v>33066.0</v>
      </c>
      <c r="F220" s="8">
        <f t="shared" si="32"/>
        <v>36.00547945</v>
      </c>
      <c r="G220" s="9">
        <v>171.0</v>
      </c>
      <c r="H220" s="9">
        <f t="shared" si="34"/>
        <v>-33</v>
      </c>
      <c r="I220" s="10" t="s">
        <v>480</v>
      </c>
    </row>
    <row r="221">
      <c r="A221" s="5">
        <v>205.0</v>
      </c>
      <c r="B221" s="11" t="s">
        <v>462</v>
      </c>
      <c r="C221" s="11" t="s">
        <v>14</v>
      </c>
      <c r="D221" s="11" t="s">
        <v>52</v>
      </c>
      <c r="E221" s="12">
        <v>37431.0</v>
      </c>
      <c r="F221" s="8">
        <f t="shared" si="32"/>
        <v>24.05479452</v>
      </c>
      <c r="G221" s="9">
        <v>267.0</v>
      </c>
      <c r="H221" s="9">
        <f t="shared" si="34"/>
        <v>62</v>
      </c>
      <c r="I221" s="10" t="s">
        <v>463</v>
      </c>
    </row>
    <row r="222">
      <c r="A222" s="27">
        <v>206.0</v>
      </c>
      <c r="B222" s="28" t="s">
        <v>1054</v>
      </c>
      <c r="C222" s="28" t="s">
        <v>14</v>
      </c>
      <c r="D222" s="28" t="s">
        <v>55</v>
      </c>
      <c r="E222" s="44">
        <v>37878.0</v>
      </c>
      <c r="F222" s="31">
        <f t="shared" si="32"/>
        <v>22.83013699</v>
      </c>
      <c r="G222" s="32" t="s">
        <v>371</v>
      </c>
      <c r="H222" s="32" t="s">
        <v>371</v>
      </c>
      <c r="I222" s="33" t="s">
        <v>533</v>
      </c>
    </row>
    <row r="223">
      <c r="A223" s="5">
        <v>207.0</v>
      </c>
      <c r="B223" s="11" t="s">
        <v>550</v>
      </c>
      <c r="C223" s="11" t="s">
        <v>77</v>
      </c>
      <c r="D223" s="35" t="s">
        <v>551</v>
      </c>
      <c r="E223" s="12">
        <v>32727.0</v>
      </c>
      <c r="F223" s="8">
        <f t="shared" si="32"/>
        <v>36.93424658</v>
      </c>
      <c r="G223" s="9">
        <v>177.0</v>
      </c>
      <c r="H223" s="9">
        <f t="shared" ref="H223:H224" si="35">MINUS(G223, A223)</f>
        <v>-30</v>
      </c>
      <c r="I223" s="10" t="s">
        <v>552</v>
      </c>
    </row>
    <row r="224">
      <c r="A224" s="5">
        <v>208.0</v>
      </c>
      <c r="B224" s="6" t="s">
        <v>495</v>
      </c>
      <c r="C224" s="6" t="s">
        <v>14</v>
      </c>
      <c r="D224" s="6" t="s">
        <v>49</v>
      </c>
      <c r="E224" s="12">
        <v>36840.0</v>
      </c>
      <c r="F224" s="8">
        <f t="shared" si="32"/>
        <v>25.67358335</v>
      </c>
      <c r="G224" s="9">
        <v>190.0</v>
      </c>
      <c r="H224" s="9">
        <f t="shared" si="35"/>
        <v>-18</v>
      </c>
      <c r="I224" s="10" t="s">
        <v>496</v>
      </c>
    </row>
    <row r="225">
      <c r="A225" s="20"/>
      <c r="B225" s="21" t="s">
        <v>34</v>
      </c>
      <c r="C225" s="22"/>
      <c r="D225" s="22"/>
      <c r="E225" s="23"/>
      <c r="F225" s="24"/>
      <c r="G225" s="25"/>
      <c r="H225" s="25"/>
      <c r="I225" s="26"/>
    </row>
    <row r="226">
      <c r="A226" s="5">
        <v>209.0</v>
      </c>
      <c r="B226" s="11" t="s">
        <v>555</v>
      </c>
      <c r="C226" s="11" t="s">
        <v>14</v>
      </c>
      <c r="D226" s="11" t="s">
        <v>114</v>
      </c>
      <c r="E226" s="12">
        <v>36330.0</v>
      </c>
      <c r="F226" s="8">
        <f t="shared" ref="F226:F244" si="36">YEARFRAC(E226, TODAY(),1)</f>
        <v>27.06849315</v>
      </c>
      <c r="G226" s="9">
        <v>161.0</v>
      </c>
      <c r="H226" s="9">
        <f t="shared" ref="H226:H242" si="37">MINUS(G226, A226)</f>
        <v>-48</v>
      </c>
      <c r="I226" s="13" t="s">
        <v>556</v>
      </c>
    </row>
    <row r="227">
      <c r="A227" s="5">
        <v>210.0</v>
      </c>
      <c r="B227" s="6" t="s">
        <v>484</v>
      </c>
      <c r="C227" s="6" t="s">
        <v>25</v>
      </c>
      <c r="D227" s="35" t="s">
        <v>158</v>
      </c>
      <c r="E227" s="12">
        <v>37585.0</v>
      </c>
      <c r="F227" s="8">
        <f t="shared" si="36"/>
        <v>23.63287671</v>
      </c>
      <c r="G227" s="9">
        <v>201.0</v>
      </c>
      <c r="H227" s="9">
        <f t="shared" si="37"/>
        <v>-9</v>
      </c>
      <c r="I227" s="10" t="s">
        <v>485</v>
      </c>
    </row>
    <row r="228">
      <c r="A228" s="5">
        <v>211.0</v>
      </c>
      <c r="B228" s="6" t="s">
        <v>512</v>
      </c>
      <c r="C228" s="6" t="s">
        <v>25</v>
      </c>
      <c r="D228" s="35" t="s">
        <v>167</v>
      </c>
      <c r="E228" s="12">
        <v>35766.0</v>
      </c>
      <c r="F228" s="8">
        <f t="shared" si="36"/>
        <v>28.61369863</v>
      </c>
      <c r="G228" s="9">
        <v>217.0</v>
      </c>
      <c r="H228" s="9">
        <f t="shared" si="37"/>
        <v>6</v>
      </c>
      <c r="I228" s="10" t="s">
        <v>513</v>
      </c>
    </row>
    <row r="229">
      <c r="A229" s="5">
        <v>212.0</v>
      </c>
      <c r="B229" s="6" t="s">
        <v>497</v>
      </c>
      <c r="C229" s="6" t="s">
        <v>36</v>
      </c>
      <c r="D229" s="35" t="s">
        <v>498</v>
      </c>
      <c r="E229" s="12">
        <v>36162.0</v>
      </c>
      <c r="F229" s="8">
        <f t="shared" si="36"/>
        <v>27.52876712</v>
      </c>
      <c r="G229" s="9">
        <v>255.0</v>
      </c>
      <c r="H229" s="9">
        <f t="shared" si="37"/>
        <v>43</v>
      </c>
      <c r="I229" s="10" t="s">
        <v>499</v>
      </c>
    </row>
    <row r="230">
      <c r="A230" s="5">
        <v>213.0</v>
      </c>
      <c r="B230" s="6" t="s">
        <v>452</v>
      </c>
      <c r="C230" s="6" t="s">
        <v>14</v>
      </c>
      <c r="D230" s="6" t="s">
        <v>15</v>
      </c>
      <c r="E230" s="12">
        <v>38574.0</v>
      </c>
      <c r="F230" s="8">
        <f t="shared" si="36"/>
        <v>20.9260274</v>
      </c>
      <c r="G230" s="9">
        <v>151.0</v>
      </c>
      <c r="H230" s="9">
        <f t="shared" si="37"/>
        <v>-62</v>
      </c>
      <c r="I230" s="13" t="s">
        <v>453</v>
      </c>
    </row>
    <row r="231">
      <c r="A231" s="5">
        <v>214.0</v>
      </c>
      <c r="B231" s="6" t="s">
        <v>508</v>
      </c>
      <c r="C231" s="6" t="s">
        <v>14</v>
      </c>
      <c r="D231" s="6" t="s">
        <v>87</v>
      </c>
      <c r="E231" s="12">
        <v>36533.0</v>
      </c>
      <c r="F231" s="8">
        <f t="shared" si="36"/>
        <v>26.51238117</v>
      </c>
      <c r="G231" s="9">
        <v>260.0</v>
      </c>
      <c r="H231" s="9">
        <f t="shared" si="37"/>
        <v>46</v>
      </c>
      <c r="I231" s="10" t="s">
        <v>509</v>
      </c>
    </row>
    <row r="232">
      <c r="A232" s="5">
        <v>215.0</v>
      </c>
      <c r="B232" s="11" t="s">
        <v>557</v>
      </c>
      <c r="C232" s="11" t="s">
        <v>21</v>
      </c>
      <c r="D232" s="11" t="s">
        <v>58</v>
      </c>
      <c r="E232" s="12">
        <v>34569.0</v>
      </c>
      <c r="F232" s="8">
        <f t="shared" si="36"/>
        <v>31.89041096</v>
      </c>
      <c r="G232" s="9">
        <v>277.0</v>
      </c>
      <c r="H232" s="9">
        <f t="shared" si="37"/>
        <v>62</v>
      </c>
      <c r="I232" s="10" t="s">
        <v>558</v>
      </c>
    </row>
    <row r="233">
      <c r="A233" s="5">
        <v>216.0</v>
      </c>
      <c r="B233" s="14" t="s">
        <v>488</v>
      </c>
      <c r="C233" s="14" t="s">
        <v>14</v>
      </c>
      <c r="D233" s="36" t="s">
        <v>49</v>
      </c>
      <c r="E233" s="16">
        <v>37686.0</v>
      </c>
      <c r="F233" s="17">
        <f t="shared" si="36"/>
        <v>23.35616438</v>
      </c>
      <c r="G233" s="18">
        <v>179.0</v>
      </c>
      <c r="H233" s="9">
        <f t="shared" si="37"/>
        <v>-37</v>
      </c>
      <c r="I233" s="19" t="s">
        <v>489</v>
      </c>
    </row>
    <row r="234">
      <c r="A234" s="5">
        <v>217.0</v>
      </c>
      <c r="B234" s="11" t="s">
        <v>510</v>
      </c>
      <c r="C234" s="11" t="s">
        <v>10</v>
      </c>
      <c r="D234" s="35" t="s">
        <v>63</v>
      </c>
      <c r="E234" s="12">
        <v>34740.0</v>
      </c>
      <c r="F234" s="8">
        <f t="shared" si="36"/>
        <v>31.42191781</v>
      </c>
      <c r="G234" s="9">
        <v>219.0</v>
      </c>
      <c r="H234" s="9">
        <f t="shared" si="37"/>
        <v>2</v>
      </c>
      <c r="I234" s="10" t="s">
        <v>1055</v>
      </c>
    </row>
    <row r="235">
      <c r="A235" s="5">
        <v>218.0</v>
      </c>
      <c r="B235" s="6" t="s">
        <v>524</v>
      </c>
      <c r="C235" s="6" t="s">
        <v>25</v>
      </c>
      <c r="D235" s="6" t="s">
        <v>32</v>
      </c>
      <c r="E235" s="12">
        <v>35772.0</v>
      </c>
      <c r="F235" s="8">
        <f t="shared" si="36"/>
        <v>28.59726027</v>
      </c>
      <c r="G235" s="9">
        <v>224.0</v>
      </c>
      <c r="H235" s="9">
        <f t="shared" si="37"/>
        <v>6</v>
      </c>
      <c r="I235" s="10" t="s">
        <v>525</v>
      </c>
    </row>
    <row r="236">
      <c r="A236" s="5">
        <v>219.0</v>
      </c>
      <c r="B236" s="6" t="s">
        <v>553</v>
      </c>
      <c r="C236" s="6" t="s">
        <v>25</v>
      </c>
      <c r="D236" s="6" t="s">
        <v>114</v>
      </c>
      <c r="E236" s="12">
        <v>36259.0</v>
      </c>
      <c r="F236" s="8">
        <f t="shared" si="36"/>
        <v>27.2630137</v>
      </c>
      <c r="G236" s="9">
        <v>180.0</v>
      </c>
      <c r="H236" s="9">
        <f t="shared" si="37"/>
        <v>-39</v>
      </c>
      <c r="I236" s="10" t="s">
        <v>554</v>
      </c>
    </row>
    <row r="237">
      <c r="A237" s="5">
        <v>220.0</v>
      </c>
      <c r="B237" s="6" t="s">
        <v>481</v>
      </c>
      <c r="C237" s="6" t="s">
        <v>10</v>
      </c>
      <c r="D237" s="35" t="s">
        <v>482</v>
      </c>
      <c r="E237" s="12">
        <v>36303.0</v>
      </c>
      <c r="F237" s="8">
        <f t="shared" si="36"/>
        <v>27.14246575</v>
      </c>
      <c r="G237" s="9">
        <v>303.0</v>
      </c>
      <c r="H237" s="9">
        <f t="shared" si="37"/>
        <v>83</v>
      </c>
      <c r="I237" s="10" t="s">
        <v>483</v>
      </c>
    </row>
    <row r="238">
      <c r="A238" s="5">
        <v>221.0</v>
      </c>
      <c r="B238" s="6" t="s">
        <v>561</v>
      </c>
      <c r="C238" s="6" t="s">
        <v>14</v>
      </c>
      <c r="D238" s="6" t="s">
        <v>58</v>
      </c>
      <c r="E238" s="12">
        <v>38268.0</v>
      </c>
      <c r="F238" s="8">
        <f t="shared" si="36"/>
        <v>21.76374729</v>
      </c>
      <c r="G238" s="9">
        <v>150.0</v>
      </c>
      <c r="H238" s="9">
        <f t="shared" si="37"/>
        <v>-71</v>
      </c>
      <c r="I238" s="10" t="s">
        <v>562</v>
      </c>
    </row>
    <row r="239">
      <c r="A239" s="5">
        <v>222.0</v>
      </c>
      <c r="B239" s="11" t="s">
        <v>514</v>
      </c>
      <c r="C239" s="35" t="s">
        <v>21</v>
      </c>
      <c r="D239" s="11" t="s">
        <v>95</v>
      </c>
      <c r="E239" s="12">
        <v>35720.0</v>
      </c>
      <c r="F239" s="8">
        <f t="shared" si="36"/>
        <v>28.73972603</v>
      </c>
      <c r="G239" s="9">
        <v>305.0</v>
      </c>
      <c r="H239" s="9">
        <f t="shared" si="37"/>
        <v>83</v>
      </c>
      <c r="I239" s="10" t="s">
        <v>515</v>
      </c>
    </row>
    <row r="240">
      <c r="A240" s="5">
        <v>223.0</v>
      </c>
      <c r="B240" s="11" t="s">
        <v>521</v>
      </c>
      <c r="C240" s="11" t="s">
        <v>25</v>
      </c>
      <c r="D240" s="35" t="s">
        <v>522</v>
      </c>
      <c r="E240" s="12">
        <v>33800.0</v>
      </c>
      <c r="F240" s="8">
        <f t="shared" si="36"/>
        <v>33.99598772</v>
      </c>
      <c r="G240" s="9">
        <v>196.0</v>
      </c>
      <c r="H240" s="9">
        <f t="shared" si="37"/>
        <v>-27</v>
      </c>
      <c r="I240" s="10" t="s">
        <v>523</v>
      </c>
    </row>
    <row r="241">
      <c r="A241" s="5">
        <v>224.0</v>
      </c>
      <c r="B241" s="6" t="s">
        <v>565</v>
      </c>
      <c r="C241" s="6" t="s">
        <v>21</v>
      </c>
      <c r="D241" s="35" t="s">
        <v>566</v>
      </c>
      <c r="E241" s="12">
        <v>33170.0</v>
      </c>
      <c r="F241" s="8">
        <f t="shared" si="36"/>
        <v>35.72054795</v>
      </c>
      <c r="G241" s="9">
        <v>206.0</v>
      </c>
      <c r="H241" s="9">
        <f t="shared" si="37"/>
        <v>-18</v>
      </c>
      <c r="I241" s="10" t="s">
        <v>567</v>
      </c>
    </row>
    <row r="242">
      <c r="A242" s="5">
        <v>225.0</v>
      </c>
      <c r="B242" s="36" t="s">
        <v>500</v>
      </c>
      <c r="C242" s="14" t="s">
        <v>14</v>
      </c>
      <c r="D242" s="14" t="s">
        <v>158</v>
      </c>
      <c r="E242" s="16">
        <v>38865.0</v>
      </c>
      <c r="F242" s="17">
        <f t="shared" si="36"/>
        <v>20.12876712</v>
      </c>
      <c r="G242" s="18">
        <v>222.0</v>
      </c>
      <c r="H242" s="9">
        <f t="shared" si="37"/>
        <v>-3</v>
      </c>
      <c r="I242" s="47" t="s">
        <v>501</v>
      </c>
    </row>
    <row r="243">
      <c r="A243" s="27">
        <v>226.0</v>
      </c>
      <c r="B243" s="28" t="s">
        <v>1056</v>
      </c>
      <c r="C243" s="28" t="s">
        <v>14</v>
      </c>
      <c r="D243" s="28" t="s">
        <v>26</v>
      </c>
      <c r="E243" s="44">
        <v>38690.0</v>
      </c>
      <c r="F243" s="31">
        <f t="shared" si="36"/>
        <v>20.60821918</v>
      </c>
      <c r="G243" s="32" t="s">
        <v>371</v>
      </c>
      <c r="H243" s="32" t="s">
        <v>371</v>
      </c>
      <c r="I243" s="33" t="s">
        <v>474</v>
      </c>
    </row>
    <row r="244">
      <c r="A244" s="27">
        <v>227.0</v>
      </c>
      <c r="B244" s="28" t="s">
        <v>1057</v>
      </c>
      <c r="C244" s="28" t="s">
        <v>10</v>
      </c>
      <c r="D244" s="28" t="s">
        <v>43</v>
      </c>
      <c r="E244" s="44">
        <v>38097.0</v>
      </c>
      <c r="F244" s="31">
        <f t="shared" si="36"/>
        <v>22.2309604</v>
      </c>
      <c r="G244" s="32" t="s">
        <v>371</v>
      </c>
      <c r="H244" s="32" t="s">
        <v>371</v>
      </c>
      <c r="I244" s="33" t="s">
        <v>537</v>
      </c>
    </row>
    <row r="245">
      <c r="A245" s="5">
        <v>228.0</v>
      </c>
      <c r="B245" s="36" t="s">
        <v>486</v>
      </c>
      <c r="C245" s="36" t="s">
        <v>36</v>
      </c>
      <c r="D245" s="15" t="s">
        <v>98</v>
      </c>
      <c r="E245" s="48">
        <v>37406.0</v>
      </c>
      <c r="F245" s="36">
        <v>23.4</v>
      </c>
      <c r="G245" s="18">
        <v>278.0</v>
      </c>
      <c r="H245" s="9">
        <f t="shared" ref="H245:H252" si="38">MINUS(G245, A245)</f>
        <v>50</v>
      </c>
      <c r="I245" s="47" t="s">
        <v>487</v>
      </c>
    </row>
    <row r="246">
      <c r="A246" s="5">
        <v>229.0</v>
      </c>
      <c r="B246" s="6" t="s">
        <v>544</v>
      </c>
      <c r="C246" s="6" t="s">
        <v>14</v>
      </c>
      <c r="D246" s="35" t="s">
        <v>176</v>
      </c>
      <c r="E246" s="12">
        <v>35943.0</v>
      </c>
      <c r="F246" s="8">
        <f t="shared" ref="F246:F259" si="39">YEARFRAC(E246, TODAY(),1)</f>
        <v>28.12876712</v>
      </c>
      <c r="G246" s="9">
        <v>214.0</v>
      </c>
      <c r="H246" s="9">
        <f t="shared" si="38"/>
        <v>-15</v>
      </c>
      <c r="I246" s="10" t="s">
        <v>545</v>
      </c>
    </row>
    <row r="247">
      <c r="A247" s="5">
        <v>230.0</v>
      </c>
      <c r="B247" s="11" t="s">
        <v>526</v>
      </c>
      <c r="C247" s="11" t="s">
        <v>25</v>
      </c>
      <c r="D247" s="35" t="s">
        <v>527</v>
      </c>
      <c r="E247" s="12">
        <v>34405.0</v>
      </c>
      <c r="F247" s="8">
        <f t="shared" si="39"/>
        <v>32.33972603</v>
      </c>
      <c r="G247" s="9">
        <v>188.0</v>
      </c>
      <c r="H247" s="9">
        <f t="shared" si="38"/>
        <v>-42</v>
      </c>
      <c r="I247" s="10" t="s">
        <v>528</v>
      </c>
    </row>
    <row r="248">
      <c r="A248" s="5">
        <v>231.0</v>
      </c>
      <c r="B248" s="6" t="s">
        <v>516</v>
      </c>
      <c r="C248" s="6" t="s">
        <v>36</v>
      </c>
      <c r="D248" s="6" t="s">
        <v>49</v>
      </c>
      <c r="E248" s="12">
        <v>37859.0</v>
      </c>
      <c r="F248" s="8">
        <f t="shared" si="39"/>
        <v>22.88219178</v>
      </c>
      <c r="G248" s="9">
        <v>218.0</v>
      </c>
      <c r="H248" s="9">
        <f t="shared" si="38"/>
        <v>-13</v>
      </c>
      <c r="I248" s="10" t="s">
        <v>517</v>
      </c>
    </row>
    <row r="249">
      <c r="A249" s="5">
        <v>232.0</v>
      </c>
      <c r="B249" s="6" t="s">
        <v>542</v>
      </c>
      <c r="C249" s="6" t="s">
        <v>25</v>
      </c>
      <c r="D249" s="35" t="s">
        <v>213</v>
      </c>
      <c r="E249" s="12">
        <v>37762.0</v>
      </c>
      <c r="F249" s="8">
        <f t="shared" si="39"/>
        <v>23.14794521</v>
      </c>
      <c r="G249" s="9">
        <v>209.0</v>
      </c>
      <c r="H249" s="9">
        <f t="shared" si="38"/>
        <v>-23</v>
      </c>
      <c r="I249" s="10" t="s">
        <v>543</v>
      </c>
    </row>
    <row r="250">
      <c r="A250" s="5">
        <v>233.0</v>
      </c>
      <c r="B250" s="6" t="s">
        <v>506</v>
      </c>
      <c r="C250" s="6" t="s">
        <v>36</v>
      </c>
      <c r="D250" s="6" t="s">
        <v>37</v>
      </c>
      <c r="E250" s="12">
        <v>36737.0</v>
      </c>
      <c r="F250" s="8">
        <f t="shared" si="39"/>
        <v>25.95500412</v>
      </c>
      <c r="G250" s="9">
        <v>330.0</v>
      </c>
      <c r="H250" s="9">
        <f t="shared" si="38"/>
        <v>97</v>
      </c>
      <c r="I250" s="10" t="s">
        <v>507</v>
      </c>
    </row>
    <row r="251">
      <c r="A251" s="5">
        <v>234.0</v>
      </c>
      <c r="B251" s="6" t="s">
        <v>580</v>
      </c>
      <c r="C251" s="35" t="s">
        <v>573</v>
      </c>
      <c r="D251" s="6" t="s">
        <v>69</v>
      </c>
      <c r="E251" s="12">
        <v>35200.0</v>
      </c>
      <c r="F251" s="8">
        <f t="shared" si="39"/>
        <v>30.16265439</v>
      </c>
      <c r="G251" s="9">
        <v>233.0</v>
      </c>
      <c r="H251" s="9">
        <f t="shared" si="38"/>
        <v>-1</v>
      </c>
      <c r="I251" s="10" t="s">
        <v>581</v>
      </c>
    </row>
    <row r="252">
      <c r="A252" s="5">
        <v>235.0</v>
      </c>
      <c r="B252" s="6" t="s">
        <v>548</v>
      </c>
      <c r="C252" s="6" t="s">
        <v>25</v>
      </c>
      <c r="D252" s="6" t="s">
        <v>43</v>
      </c>
      <c r="E252" s="12">
        <v>38450.0</v>
      </c>
      <c r="F252" s="8">
        <f t="shared" si="39"/>
        <v>21.26575342</v>
      </c>
      <c r="G252" s="9">
        <v>200.0</v>
      </c>
      <c r="H252" s="9">
        <f t="shared" si="38"/>
        <v>-35</v>
      </c>
      <c r="I252" s="13" t="s">
        <v>549</v>
      </c>
    </row>
    <row r="253">
      <c r="A253" s="27">
        <v>236.0</v>
      </c>
      <c r="B253" s="28" t="s">
        <v>1058</v>
      </c>
      <c r="C253" s="28" t="s">
        <v>267</v>
      </c>
      <c r="D253" s="28" t="s">
        <v>111</v>
      </c>
      <c r="E253" s="44">
        <v>39102.0</v>
      </c>
      <c r="F253" s="31">
        <f t="shared" si="39"/>
        <v>19.47945205</v>
      </c>
      <c r="G253" s="32" t="s">
        <v>371</v>
      </c>
      <c r="H253" s="32" t="s">
        <v>371</v>
      </c>
      <c r="I253" s="33" t="s">
        <v>505</v>
      </c>
    </row>
    <row r="254">
      <c r="A254" s="27">
        <v>237.0</v>
      </c>
      <c r="B254" s="28" t="s">
        <v>1059</v>
      </c>
      <c r="C254" s="28" t="s">
        <v>573</v>
      </c>
      <c r="D254" s="28" t="s">
        <v>69</v>
      </c>
      <c r="E254" s="44">
        <v>38935.0</v>
      </c>
      <c r="F254" s="31">
        <f t="shared" si="39"/>
        <v>19.9369863</v>
      </c>
      <c r="G254" s="32" t="s">
        <v>371</v>
      </c>
      <c r="H254" s="32" t="s">
        <v>371</v>
      </c>
      <c r="I254" s="54" t="s">
        <v>574</v>
      </c>
    </row>
    <row r="255">
      <c r="A255" s="5">
        <v>238.0</v>
      </c>
      <c r="B255" s="14" t="s">
        <v>568</v>
      </c>
      <c r="C255" s="14" t="s">
        <v>21</v>
      </c>
      <c r="D255" s="14" t="s">
        <v>90</v>
      </c>
      <c r="E255" s="16">
        <v>37273.0</v>
      </c>
      <c r="F255" s="17">
        <f t="shared" si="39"/>
        <v>24.48767123</v>
      </c>
      <c r="G255" s="18">
        <v>182.0</v>
      </c>
      <c r="H255" s="9">
        <f t="shared" ref="H255:H256" si="40">MINUS(G255, A255)</f>
        <v>-56</v>
      </c>
      <c r="I255" s="19" t="s">
        <v>569</v>
      </c>
    </row>
    <row r="256">
      <c r="A256" s="5">
        <v>239.0</v>
      </c>
      <c r="B256" s="11" t="s">
        <v>570</v>
      </c>
      <c r="C256" s="11" t="s">
        <v>25</v>
      </c>
      <c r="D256" s="11" t="s">
        <v>82</v>
      </c>
      <c r="E256" s="12">
        <v>37026.0</v>
      </c>
      <c r="F256" s="8">
        <f t="shared" si="39"/>
        <v>25.16438356</v>
      </c>
      <c r="G256" s="9">
        <v>202.0</v>
      </c>
      <c r="H256" s="9">
        <f t="shared" si="40"/>
        <v>-37</v>
      </c>
      <c r="I256" s="10" t="s">
        <v>571</v>
      </c>
    </row>
    <row r="257">
      <c r="A257" s="27">
        <v>240.0</v>
      </c>
      <c r="B257" s="28" t="s">
        <v>1060</v>
      </c>
      <c r="C257" s="28" t="s">
        <v>10</v>
      </c>
      <c r="D257" s="28" t="s">
        <v>32</v>
      </c>
      <c r="E257" s="44">
        <v>39114.0</v>
      </c>
      <c r="F257" s="31">
        <f t="shared" si="39"/>
        <v>19.44657534</v>
      </c>
      <c r="G257" s="32" t="s">
        <v>371</v>
      </c>
      <c r="H257" s="32" t="s">
        <v>371</v>
      </c>
      <c r="I257" s="33" t="s">
        <v>535</v>
      </c>
    </row>
    <row r="258">
      <c r="A258" s="5">
        <v>241.0</v>
      </c>
      <c r="B258" s="11" t="s">
        <v>591</v>
      </c>
      <c r="C258" s="11" t="s">
        <v>25</v>
      </c>
      <c r="D258" s="11" t="s">
        <v>11</v>
      </c>
      <c r="E258" s="12">
        <v>36444.0</v>
      </c>
      <c r="F258" s="8">
        <f t="shared" si="39"/>
        <v>26.75616438</v>
      </c>
      <c r="G258" s="9">
        <v>195.0</v>
      </c>
      <c r="H258" s="9">
        <f t="shared" ref="H258:H260" si="41">MINUS(G258, A258)</f>
        <v>-46</v>
      </c>
      <c r="I258" s="10" t="s">
        <v>592</v>
      </c>
    </row>
    <row r="259">
      <c r="A259" s="5">
        <v>242.0</v>
      </c>
      <c r="B259" s="36" t="s">
        <v>559</v>
      </c>
      <c r="C259" s="36" t="s">
        <v>21</v>
      </c>
      <c r="D259" s="36" t="s">
        <v>167</v>
      </c>
      <c r="E259" s="48">
        <v>37241.0</v>
      </c>
      <c r="F259" s="17">
        <f t="shared" si="39"/>
        <v>24.57534247</v>
      </c>
      <c r="G259" s="18">
        <v>239.0</v>
      </c>
      <c r="H259" s="9">
        <f t="shared" si="41"/>
        <v>-3</v>
      </c>
      <c r="I259" s="47" t="s">
        <v>560</v>
      </c>
    </row>
    <row r="260">
      <c r="A260" s="5">
        <v>243.0</v>
      </c>
      <c r="B260" s="36" t="s">
        <v>563</v>
      </c>
      <c r="C260" s="36" t="s">
        <v>10</v>
      </c>
      <c r="D260" s="15" t="s">
        <v>98</v>
      </c>
      <c r="E260" s="48">
        <v>37694.0</v>
      </c>
      <c r="F260" s="36">
        <v>22.6</v>
      </c>
      <c r="G260" s="18">
        <v>281.0</v>
      </c>
      <c r="H260" s="9">
        <f t="shared" si="41"/>
        <v>38</v>
      </c>
      <c r="I260" s="47" t="s">
        <v>564</v>
      </c>
    </row>
    <row r="261">
      <c r="A261" s="20"/>
      <c r="B261" s="21" t="s">
        <v>34</v>
      </c>
      <c r="C261" s="22"/>
      <c r="D261" s="22"/>
      <c r="E261" s="23"/>
      <c r="F261" s="24"/>
      <c r="G261" s="25"/>
      <c r="H261" s="25"/>
      <c r="I261" s="26"/>
    </row>
    <row r="262">
      <c r="A262" s="5">
        <v>244.0</v>
      </c>
      <c r="B262" s="11" t="s">
        <v>584</v>
      </c>
      <c r="C262" s="11" t="s">
        <v>36</v>
      </c>
      <c r="D262" s="35" t="s">
        <v>585</v>
      </c>
      <c r="E262" s="12">
        <v>35042.0</v>
      </c>
      <c r="F262" s="8">
        <f t="shared" ref="F262:F264" si="42">YEARFRAC(E262, TODAY(),1)</f>
        <v>30.59452055</v>
      </c>
      <c r="G262" s="9">
        <v>228.0</v>
      </c>
      <c r="H262" s="9">
        <f t="shared" ref="H262:H269" si="43">MINUS(G262, A262)</f>
        <v>-16</v>
      </c>
      <c r="I262" s="55" t="s">
        <v>586</v>
      </c>
    </row>
    <row r="263">
      <c r="A263" s="5">
        <v>245.0</v>
      </c>
      <c r="B263" s="6" t="s">
        <v>606</v>
      </c>
      <c r="C263" s="6" t="s">
        <v>36</v>
      </c>
      <c r="D263" s="6" t="s">
        <v>58</v>
      </c>
      <c r="E263" s="12">
        <v>37924.0</v>
      </c>
      <c r="F263" s="8">
        <f t="shared" si="42"/>
        <v>22.70410959</v>
      </c>
      <c r="G263" s="9">
        <v>153.0</v>
      </c>
      <c r="H263" s="9">
        <f t="shared" si="43"/>
        <v>-92</v>
      </c>
      <c r="I263" s="10" t="s">
        <v>607</v>
      </c>
    </row>
    <row r="264">
      <c r="A264" s="5">
        <v>246.0</v>
      </c>
      <c r="B264" s="6" t="s">
        <v>599</v>
      </c>
      <c r="C264" s="11" t="s">
        <v>25</v>
      </c>
      <c r="D264" s="35" t="s">
        <v>49</v>
      </c>
      <c r="E264" s="12">
        <v>37947.0</v>
      </c>
      <c r="F264" s="8">
        <f t="shared" si="42"/>
        <v>22.64109589</v>
      </c>
      <c r="G264" s="9">
        <v>230.0</v>
      </c>
      <c r="H264" s="9">
        <f t="shared" si="43"/>
        <v>-16</v>
      </c>
      <c r="I264" s="10" t="s">
        <v>600</v>
      </c>
    </row>
    <row r="265">
      <c r="A265" s="5">
        <v>247.0</v>
      </c>
      <c r="B265" s="36" t="s">
        <v>626</v>
      </c>
      <c r="C265" s="36" t="s">
        <v>183</v>
      </c>
      <c r="D265" s="15" t="s">
        <v>26</v>
      </c>
      <c r="E265" s="48">
        <v>37690.0</v>
      </c>
      <c r="F265" s="36">
        <v>22.6</v>
      </c>
      <c r="G265" s="18">
        <v>289.0</v>
      </c>
      <c r="H265" s="9">
        <f t="shared" si="43"/>
        <v>42</v>
      </c>
      <c r="I265" s="47" t="s">
        <v>627</v>
      </c>
    </row>
    <row r="266">
      <c r="A266" s="5">
        <v>248.0</v>
      </c>
      <c r="B266" s="11" t="s">
        <v>690</v>
      </c>
      <c r="C266" s="11" t="s">
        <v>25</v>
      </c>
      <c r="D266" s="11" t="s">
        <v>49</v>
      </c>
      <c r="E266" s="12">
        <v>38338.0</v>
      </c>
      <c r="F266" s="8">
        <f t="shared" ref="F266:F303" si="44">YEARFRAC(E266, TODAY(),1)</f>
        <v>21.57249046</v>
      </c>
      <c r="G266" s="9">
        <v>205.0</v>
      </c>
      <c r="H266" s="9">
        <f t="shared" si="43"/>
        <v>-43</v>
      </c>
      <c r="I266" s="10" t="s">
        <v>691</v>
      </c>
    </row>
    <row r="267">
      <c r="A267" s="5">
        <v>249.0</v>
      </c>
      <c r="B267" s="36" t="s">
        <v>688</v>
      </c>
      <c r="C267" s="15" t="s">
        <v>25</v>
      </c>
      <c r="D267" s="15" t="s">
        <v>111</v>
      </c>
      <c r="E267" s="16">
        <v>38178.0</v>
      </c>
      <c r="F267" s="17">
        <f t="shared" si="44"/>
        <v>22.00964893</v>
      </c>
      <c r="G267" s="18">
        <v>261.0</v>
      </c>
      <c r="H267" s="9">
        <f t="shared" si="43"/>
        <v>12</v>
      </c>
      <c r="I267" s="47" t="s">
        <v>689</v>
      </c>
    </row>
    <row r="268">
      <c r="A268" s="5">
        <v>250.0</v>
      </c>
      <c r="B268" s="15" t="s">
        <v>630</v>
      </c>
      <c r="C268" s="15" t="s">
        <v>36</v>
      </c>
      <c r="D268" s="15" t="s">
        <v>15</v>
      </c>
      <c r="E268" s="16">
        <v>36269.0</v>
      </c>
      <c r="F268" s="17">
        <f t="shared" si="44"/>
        <v>27.23561644</v>
      </c>
      <c r="G268" s="18">
        <v>234.0</v>
      </c>
      <c r="H268" s="9">
        <f t="shared" si="43"/>
        <v>-16</v>
      </c>
      <c r="I268" s="47" t="s">
        <v>631</v>
      </c>
    </row>
    <row r="269">
      <c r="A269" s="5">
        <v>251.0</v>
      </c>
      <c r="B269" s="6" t="s">
        <v>546</v>
      </c>
      <c r="C269" s="35" t="s">
        <v>183</v>
      </c>
      <c r="D269" s="35" t="s">
        <v>87</v>
      </c>
      <c r="E269" s="12">
        <v>38356.0</v>
      </c>
      <c r="F269" s="8">
        <f t="shared" si="44"/>
        <v>21.52328767</v>
      </c>
      <c r="G269" s="9">
        <v>220.0</v>
      </c>
      <c r="H269" s="9">
        <f t="shared" si="43"/>
        <v>-31</v>
      </c>
      <c r="I269" s="10" t="s">
        <v>547</v>
      </c>
    </row>
    <row r="270">
      <c r="A270" s="27">
        <v>252.0</v>
      </c>
      <c r="B270" s="28" t="s">
        <v>538</v>
      </c>
      <c r="C270" s="28" t="s">
        <v>25</v>
      </c>
      <c r="D270" s="28" t="s">
        <v>158</v>
      </c>
      <c r="E270" s="44">
        <v>37946.0</v>
      </c>
      <c r="F270" s="31">
        <f t="shared" si="44"/>
        <v>22.64383562</v>
      </c>
      <c r="G270" s="32" t="s">
        <v>371</v>
      </c>
      <c r="H270" s="32" t="s">
        <v>371</v>
      </c>
      <c r="I270" s="33" t="s">
        <v>539</v>
      </c>
    </row>
    <row r="271">
      <c r="A271" s="27">
        <v>253.0</v>
      </c>
      <c r="B271" s="28" t="s">
        <v>1061</v>
      </c>
      <c r="C271" s="28" t="s">
        <v>21</v>
      </c>
      <c r="D271" s="28" t="s">
        <v>11</v>
      </c>
      <c r="E271" s="44">
        <v>39274.0</v>
      </c>
      <c r="F271" s="31">
        <f t="shared" si="44"/>
        <v>19.00821918</v>
      </c>
      <c r="G271" s="32" t="s">
        <v>371</v>
      </c>
      <c r="H271" s="32" t="s">
        <v>371</v>
      </c>
      <c r="I271" s="33" t="s">
        <v>476</v>
      </c>
    </row>
    <row r="272">
      <c r="A272" s="27">
        <v>254.0</v>
      </c>
      <c r="B272" s="28" t="s">
        <v>1062</v>
      </c>
      <c r="C272" s="28" t="s">
        <v>36</v>
      </c>
      <c r="D272" s="28" t="s">
        <v>37</v>
      </c>
      <c r="E272" s="44">
        <v>38692.0</v>
      </c>
      <c r="F272" s="31">
        <f t="shared" si="44"/>
        <v>20.60273973</v>
      </c>
      <c r="G272" s="32" t="s">
        <v>371</v>
      </c>
      <c r="H272" s="32" t="s">
        <v>371</v>
      </c>
      <c r="I272" s="57" t="s">
        <v>660</v>
      </c>
    </row>
    <row r="273">
      <c r="A273" s="27">
        <v>255.0</v>
      </c>
      <c r="B273" s="28" t="s">
        <v>1063</v>
      </c>
      <c r="C273" s="28" t="s">
        <v>36</v>
      </c>
      <c r="D273" s="28" t="s">
        <v>49</v>
      </c>
      <c r="E273" s="44">
        <v>37153.0</v>
      </c>
      <c r="F273" s="31">
        <f t="shared" si="44"/>
        <v>24.81643836</v>
      </c>
      <c r="G273" s="32" t="s">
        <v>371</v>
      </c>
      <c r="H273" s="32" t="s">
        <v>371</v>
      </c>
      <c r="I273" s="56" t="s">
        <v>594</v>
      </c>
    </row>
    <row r="274">
      <c r="A274" s="5">
        <v>256.0</v>
      </c>
      <c r="B274" s="11" t="s">
        <v>601</v>
      </c>
      <c r="C274" s="11" t="s">
        <v>14</v>
      </c>
      <c r="D274" s="11" t="s">
        <v>106</v>
      </c>
      <c r="E274" s="12">
        <v>36777.0</v>
      </c>
      <c r="F274" s="8">
        <f t="shared" si="44"/>
        <v>25.8457145</v>
      </c>
      <c r="G274" s="9">
        <v>241.0</v>
      </c>
      <c r="H274" s="9">
        <f t="shared" ref="H274:H287" si="45">MINUS(G274, A274)</f>
        <v>-15</v>
      </c>
      <c r="I274" s="10" t="s">
        <v>602</v>
      </c>
    </row>
    <row r="275">
      <c r="A275" s="5">
        <v>257.0</v>
      </c>
      <c r="B275" s="14" t="s">
        <v>578</v>
      </c>
      <c r="C275" s="6" t="s">
        <v>14</v>
      </c>
      <c r="D275" s="6" t="s">
        <v>37</v>
      </c>
      <c r="E275" s="12">
        <v>35461.0</v>
      </c>
      <c r="F275" s="8">
        <f t="shared" si="44"/>
        <v>29.44931507</v>
      </c>
      <c r="G275" s="9">
        <v>173.0</v>
      </c>
      <c r="H275" s="9">
        <f t="shared" si="45"/>
        <v>-84</v>
      </c>
      <c r="I275" s="13" t="s">
        <v>579</v>
      </c>
    </row>
    <row r="276">
      <c r="A276" s="5">
        <v>258.0</v>
      </c>
      <c r="B276" s="6" t="s">
        <v>632</v>
      </c>
      <c r="C276" s="6" t="s">
        <v>10</v>
      </c>
      <c r="D276" s="35" t="s">
        <v>633</v>
      </c>
      <c r="E276" s="12">
        <v>36606.0</v>
      </c>
      <c r="F276" s="8">
        <f t="shared" si="44"/>
        <v>26.31292761</v>
      </c>
      <c r="G276" s="9">
        <v>314.0</v>
      </c>
      <c r="H276" s="9">
        <f t="shared" si="45"/>
        <v>56</v>
      </c>
      <c r="I276" s="10" t="s">
        <v>634</v>
      </c>
    </row>
    <row r="277">
      <c r="A277" s="5">
        <v>259.0</v>
      </c>
      <c r="B277" s="36" t="s">
        <v>617</v>
      </c>
      <c r="C277" s="14" t="s">
        <v>21</v>
      </c>
      <c r="D277" s="14" t="s">
        <v>95</v>
      </c>
      <c r="E277" s="16">
        <v>38529.0</v>
      </c>
      <c r="F277" s="17">
        <f t="shared" si="44"/>
        <v>21.04931507</v>
      </c>
      <c r="G277" s="18">
        <v>204.0</v>
      </c>
      <c r="H277" s="9">
        <f t="shared" si="45"/>
        <v>-55</v>
      </c>
      <c r="I277" s="47" t="s">
        <v>618</v>
      </c>
    </row>
    <row r="278">
      <c r="A278" s="5">
        <v>260.0</v>
      </c>
      <c r="B278" s="6" t="s">
        <v>582</v>
      </c>
      <c r="C278" s="35" t="s">
        <v>36</v>
      </c>
      <c r="D278" s="6" t="s">
        <v>128</v>
      </c>
      <c r="E278" s="12">
        <v>36945.0</v>
      </c>
      <c r="F278" s="8">
        <f t="shared" si="44"/>
        <v>25.38630137</v>
      </c>
      <c r="G278" s="9">
        <v>294.0</v>
      </c>
      <c r="H278" s="9">
        <f t="shared" si="45"/>
        <v>34</v>
      </c>
      <c r="I278" s="10" t="s">
        <v>583</v>
      </c>
    </row>
    <row r="279">
      <c r="A279" s="5">
        <v>261.0</v>
      </c>
      <c r="B279" s="6" t="s">
        <v>597</v>
      </c>
      <c r="C279" s="6" t="s">
        <v>25</v>
      </c>
      <c r="D279" s="6" t="s">
        <v>213</v>
      </c>
      <c r="E279" s="12">
        <v>34904.0</v>
      </c>
      <c r="F279" s="8">
        <f t="shared" si="44"/>
        <v>30.97260274</v>
      </c>
      <c r="G279" s="9">
        <v>211.0</v>
      </c>
      <c r="H279" s="9">
        <f t="shared" si="45"/>
        <v>-50</v>
      </c>
      <c r="I279" s="10" t="s">
        <v>598</v>
      </c>
    </row>
    <row r="280">
      <c r="A280" s="5">
        <v>262.0</v>
      </c>
      <c r="B280" s="6" t="s">
        <v>624</v>
      </c>
      <c r="C280" s="6" t="s">
        <v>36</v>
      </c>
      <c r="D280" s="6" t="s">
        <v>32</v>
      </c>
      <c r="E280" s="12">
        <v>36825.0</v>
      </c>
      <c r="F280" s="8">
        <f t="shared" si="44"/>
        <v>25.71456696</v>
      </c>
      <c r="G280" s="9">
        <v>262.0</v>
      </c>
      <c r="H280" s="9">
        <f t="shared" si="45"/>
        <v>0</v>
      </c>
      <c r="I280" s="59" t="s">
        <v>625</v>
      </c>
    </row>
    <row r="281">
      <c r="A281" s="5">
        <v>263.0</v>
      </c>
      <c r="B281" s="6" t="s">
        <v>716</v>
      </c>
      <c r="C281" s="6" t="s">
        <v>36</v>
      </c>
      <c r="D281" s="6" t="s">
        <v>69</v>
      </c>
      <c r="E281" s="12">
        <v>35152.0</v>
      </c>
      <c r="F281" s="8">
        <f t="shared" si="44"/>
        <v>30.29380193</v>
      </c>
      <c r="G281" s="9">
        <v>282.0</v>
      </c>
      <c r="H281" s="9">
        <f t="shared" si="45"/>
        <v>19</v>
      </c>
      <c r="I281" s="10" t="s">
        <v>717</v>
      </c>
    </row>
    <row r="282">
      <c r="A282" s="5">
        <v>264.0</v>
      </c>
      <c r="B282" s="14" t="s">
        <v>608</v>
      </c>
      <c r="C282" s="35" t="s">
        <v>573</v>
      </c>
      <c r="D282" s="35" t="s">
        <v>609</v>
      </c>
      <c r="E282" s="12">
        <v>34148.0</v>
      </c>
      <c r="F282" s="8">
        <f t="shared" si="44"/>
        <v>33.04383562</v>
      </c>
      <c r="G282" s="9">
        <v>276.0</v>
      </c>
      <c r="H282" s="9">
        <f t="shared" si="45"/>
        <v>12</v>
      </c>
      <c r="I282" s="10" t="s">
        <v>610</v>
      </c>
    </row>
    <row r="283">
      <c r="A283" s="5">
        <v>265.0</v>
      </c>
      <c r="B283" s="15" t="s">
        <v>714</v>
      </c>
      <c r="C283" s="15" t="s">
        <v>36</v>
      </c>
      <c r="D283" s="15" t="s">
        <v>176</v>
      </c>
      <c r="E283" s="16">
        <v>37407.0</v>
      </c>
      <c r="F283" s="17">
        <f t="shared" si="44"/>
        <v>24.12054795</v>
      </c>
      <c r="G283" s="18">
        <v>258.0</v>
      </c>
      <c r="H283" s="9">
        <f t="shared" si="45"/>
        <v>-7</v>
      </c>
      <c r="I283" s="47" t="s">
        <v>715</v>
      </c>
    </row>
    <row r="284">
      <c r="A284" s="5">
        <v>266.0</v>
      </c>
      <c r="B284" s="11" t="s">
        <v>682</v>
      </c>
      <c r="C284" s="11" t="s">
        <v>10</v>
      </c>
      <c r="D284" s="11" t="s">
        <v>158</v>
      </c>
      <c r="E284" s="12">
        <v>38182.0</v>
      </c>
      <c r="F284" s="8">
        <f t="shared" si="44"/>
        <v>21.99871996</v>
      </c>
      <c r="G284" s="9">
        <v>213.0</v>
      </c>
      <c r="H284" s="9">
        <f t="shared" si="45"/>
        <v>-53</v>
      </c>
      <c r="I284" s="10" t="s">
        <v>683</v>
      </c>
    </row>
    <row r="285">
      <c r="A285" s="5">
        <v>267.0</v>
      </c>
      <c r="B285" s="36" t="s">
        <v>669</v>
      </c>
      <c r="C285" s="36" t="s">
        <v>573</v>
      </c>
      <c r="D285" s="14" t="s">
        <v>82</v>
      </c>
      <c r="E285" s="16">
        <v>38641.0</v>
      </c>
      <c r="F285" s="17">
        <f t="shared" si="44"/>
        <v>20.74246575</v>
      </c>
      <c r="G285" s="18">
        <v>210.0</v>
      </c>
      <c r="H285" s="9">
        <f t="shared" si="45"/>
        <v>-57</v>
      </c>
      <c r="I285" s="47" t="s">
        <v>670</v>
      </c>
    </row>
    <row r="286">
      <c r="A286" s="5">
        <v>268.0</v>
      </c>
      <c r="B286" s="6" t="s">
        <v>575</v>
      </c>
      <c r="C286" s="6" t="s">
        <v>14</v>
      </c>
      <c r="D286" s="35" t="s">
        <v>576</v>
      </c>
      <c r="E286" s="12">
        <v>36164.0</v>
      </c>
      <c r="F286" s="8">
        <f t="shared" si="44"/>
        <v>27.52328767</v>
      </c>
      <c r="G286" s="9">
        <v>223.0</v>
      </c>
      <c r="H286" s="9">
        <f t="shared" si="45"/>
        <v>-45</v>
      </c>
      <c r="I286" s="10" t="s">
        <v>577</v>
      </c>
    </row>
    <row r="287">
      <c r="A287" s="5">
        <v>269.0</v>
      </c>
      <c r="B287" s="6" t="s">
        <v>665</v>
      </c>
      <c r="C287" s="6" t="s">
        <v>36</v>
      </c>
      <c r="D287" s="35" t="s">
        <v>491</v>
      </c>
      <c r="E287" s="12">
        <v>34125.0</v>
      </c>
      <c r="F287" s="8">
        <f t="shared" si="44"/>
        <v>33.10684932</v>
      </c>
      <c r="G287" s="9">
        <v>271.0</v>
      </c>
      <c r="H287" s="9">
        <f t="shared" si="45"/>
        <v>2</v>
      </c>
      <c r="I287" s="10" t="s">
        <v>666</v>
      </c>
    </row>
    <row r="288">
      <c r="A288" s="27">
        <v>270.0</v>
      </c>
      <c r="B288" s="28" t="s">
        <v>1064</v>
      </c>
      <c r="C288" s="28" t="s">
        <v>25</v>
      </c>
      <c r="D288" s="28" t="s">
        <v>167</v>
      </c>
      <c r="E288" s="44">
        <v>37571.0</v>
      </c>
      <c r="F288" s="31">
        <f t="shared" si="44"/>
        <v>23.67123288</v>
      </c>
      <c r="G288" s="32" t="s">
        <v>371</v>
      </c>
      <c r="H288" s="32" t="s">
        <v>371</v>
      </c>
      <c r="I288" s="57" t="s">
        <v>612</v>
      </c>
    </row>
    <row r="289">
      <c r="A289" s="5">
        <v>271.0</v>
      </c>
      <c r="B289" s="11" t="s">
        <v>628</v>
      </c>
      <c r="C289" s="11" t="s">
        <v>21</v>
      </c>
      <c r="D289" s="11" t="s">
        <v>46</v>
      </c>
      <c r="E289" s="12">
        <v>35667.0</v>
      </c>
      <c r="F289" s="8">
        <f t="shared" si="44"/>
        <v>28.88493151</v>
      </c>
      <c r="G289" s="9">
        <v>235.0</v>
      </c>
      <c r="H289" s="9">
        <f t="shared" ref="H289:H291" si="46">MINUS(G289, A289)</f>
        <v>-36</v>
      </c>
      <c r="I289" s="10" t="s">
        <v>629</v>
      </c>
    </row>
    <row r="290">
      <c r="A290" s="5">
        <v>272.0</v>
      </c>
      <c r="B290" s="6" t="s">
        <v>540</v>
      </c>
      <c r="C290" s="6" t="s">
        <v>25</v>
      </c>
      <c r="D290" s="6" t="s">
        <v>66</v>
      </c>
      <c r="E290" s="12">
        <v>37071.0</v>
      </c>
      <c r="F290" s="8">
        <f t="shared" si="44"/>
        <v>25.04109589</v>
      </c>
      <c r="G290" s="9">
        <v>237.0</v>
      </c>
      <c r="H290" s="9">
        <f t="shared" si="46"/>
        <v>-35</v>
      </c>
      <c r="I290" s="10" t="s">
        <v>541</v>
      </c>
    </row>
    <row r="291">
      <c r="A291" s="5">
        <v>273.0</v>
      </c>
      <c r="B291" s="6" t="s">
        <v>647</v>
      </c>
      <c r="C291" s="6" t="s">
        <v>10</v>
      </c>
      <c r="D291" s="6" t="s">
        <v>87</v>
      </c>
      <c r="E291" s="12">
        <v>36601.0</v>
      </c>
      <c r="F291" s="8">
        <f t="shared" si="44"/>
        <v>26.32658882</v>
      </c>
      <c r="G291" s="9">
        <v>249.0</v>
      </c>
      <c r="H291" s="9">
        <f t="shared" si="46"/>
        <v>-24</v>
      </c>
      <c r="I291" s="10" t="s">
        <v>648</v>
      </c>
    </row>
    <row r="292">
      <c r="A292" s="27">
        <v>274.0</v>
      </c>
      <c r="B292" s="28" t="s">
        <v>1065</v>
      </c>
      <c r="C292" s="28" t="s">
        <v>573</v>
      </c>
      <c r="D292" s="28" t="s">
        <v>128</v>
      </c>
      <c r="E292" s="44">
        <v>38153.0</v>
      </c>
      <c r="F292" s="31">
        <f t="shared" si="44"/>
        <v>22.07795494</v>
      </c>
      <c r="G292" s="32" t="s">
        <v>371</v>
      </c>
      <c r="H292" s="32" t="s">
        <v>371</v>
      </c>
      <c r="I292" s="56" t="s">
        <v>662</v>
      </c>
    </row>
    <row r="293">
      <c r="A293" s="5">
        <v>275.0</v>
      </c>
      <c r="B293" s="11" t="s">
        <v>587</v>
      </c>
      <c r="C293" s="11" t="s">
        <v>10</v>
      </c>
      <c r="D293" s="11" t="s">
        <v>111</v>
      </c>
      <c r="E293" s="12">
        <v>37439.0</v>
      </c>
      <c r="F293" s="8">
        <f t="shared" si="44"/>
        <v>24.03287671</v>
      </c>
      <c r="G293" s="9">
        <v>304.0</v>
      </c>
      <c r="H293" s="9">
        <f>MINUS(G293, A293)</f>
        <v>29</v>
      </c>
      <c r="I293" s="10" t="s">
        <v>588</v>
      </c>
    </row>
    <row r="294">
      <c r="A294" s="27">
        <v>276.0</v>
      </c>
      <c r="B294" s="28" t="s">
        <v>1066</v>
      </c>
      <c r="C294" s="28" t="s">
        <v>21</v>
      </c>
      <c r="D294" s="28" t="s">
        <v>43</v>
      </c>
      <c r="E294" s="44">
        <v>38074.0</v>
      </c>
      <c r="F294" s="31">
        <f t="shared" si="44"/>
        <v>22.29380193</v>
      </c>
      <c r="G294" s="32" t="s">
        <v>371</v>
      </c>
      <c r="H294" s="32" t="s">
        <v>371</v>
      </c>
      <c r="I294" s="56" t="s">
        <v>646</v>
      </c>
    </row>
    <row r="295">
      <c r="A295" s="27">
        <v>277.0</v>
      </c>
      <c r="B295" s="28" t="s">
        <v>1067</v>
      </c>
      <c r="C295" s="28" t="s">
        <v>10</v>
      </c>
      <c r="D295" s="28" t="s">
        <v>98</v>
      </c>
      <c r="E295" s="44">
        <v>38024.0</v>
      </c>
      <c r="F295" s="31">
        <f t="shared" si="44"/>
        <v>22.43041395</v>
      </c>
      <c r="G295" s="32" t="s">
        <v>371</v>
      </c>
      <c r="H295" s="32" t="s">
        <v>371</v>
      </c>
      <c r="I295" s="56" t="s">
        <v>658</v>
      </c>
    </row>
    <row r="296">
      <c r="A296" s="5">
        <v>278.0</v>
      </c>
      <c r="B296" s="6" t="s">
        <v>739</v>
      </c>
      <c r="C296" s="6" t="s">
        <v>14</v>
      </c>
      <c r="D296" s="35" t="s">
        <v>69</v>
      </c>
      <c r="E296" s="12">
        <v>34227.0</v>
      </c>
      <c r="F296" s="8">
        <f t="shared" si="44"/>
        <v>32.82739726</v>
      </c>
      <c r="G296" s="9">
        <v>240.0</v>
      </c>
      <c r="H296" s="9">
        <f t="shared" ref="H296:H308" si="47">MINUS(G296, A296)</f>
        <v>-38</v>
      </c>
      <c r="I296" s="10" t="s">
        <v>740</v>
      </c>
    </row>
    <row r="297">
      <c r="A297" s="5">
        <v>279.0</v>
      </c>
      <c r="B297" s="36" t="s">
        <v>640</v>
      </c>
      <c r="C297" s="14" t="s">
        <v>10</v>
      </c>
      <c r="D297" s="14" t="s">
        <v>43</v>
      </c>
      <c r="E297" s="16">
        <v>38630.0</v>
      </c>
      <c r="F297" s="17">
        <f t="shared" si="44"/>
        <v>20.77260274</v>
      </c>
      <c r="G297" s="18">
        <v>286.0</v>
      </c>
      <c r="H297" s="9">
        <f t="shared" si="47"/>
        <v>7</v>
      </c>
      <c r="I297" s="47" t="s">
        <v>641</v>
      </c>
    </row>
    <row r="298">
      <c r="A298" s="5">
        <v>280.0</v>
      </c>
      <c r="B298" s="36" t="s">
        <v>454</v>
      </c>
      <c r="C298" s="14" t="s">
        <v>25</v>
      </c>
      <c r="D298" s="14" t="s">
        <v>82</v>
      </c>
      <c r="E298" s="16">
        <v>38359.0</v>
      </c>
      <c r="F298" s="17">
        <f t="shared" si="44"/>
        <v>21.51506849</v>
      </c>
      <c r="G298" s="18">
        <v>238.0</v>
      </c>
      <c r="H298" s="9">
        <f t="shared" si="47"/>
        <v>-42</v>
      </c>
      <c r="I298" s="47" t="s">
        <v>455</v>
      </c>
    </row>
    <row r="299">
      <c r="A299" s="5">
        <v>281.0</v>
      </c>
      <c r="B299" s="6" t="s">
        <v>737</v>
      </c>
      <c r="C299" s="6" t="s">
        <v>183</v>
      </c>
      <c r="D299" s="35" t="s">
        <v>106</v>
      </c>
      <c r="E299" s="12">
        <v>35897.0</v>
      </c>
      <c r="F299" s="8">
        <f t="shared" si="44"/>
        <v>28.25479452</v>
      </c>
      <c r="G299" s="9">
        <v>266.0</v>
      </c>
      <c r="H299" s="9">
        <f t="shared" si="47"/>
        <v>-15</v>
      </c>
      <c r="I299" s="10" t="s">
        <v>738</v>
      </c>
    </row>
    <row r="300">
      <c r="A300" s="5">
        <v>282.0</v>
      </c>
      <c r="B300" s="36" t="s">
        <v>615</v>
      </c>
      <c r="C300" s="14" t="s">
        <v>14</v>
      </c>
      <c r="D300" s="36" t="s">
        <v>49</v>
      </c>
      <c r="E300" s="48">
        <v>37609.0</v>
      </c>
      <c r="F300" s="17">
        <f t="shared" si="44"/>
        <v>23.56712329</v>
      </c>
      <c r="G300" s="18">
        <v>283.0</v>
      </c>
      <c r="H300" s="9">
        <f t="shared" si="47"/>
        <v>1</v>
      </c>
      <c r="I300" s="47" t="s">
        <v>616</v>
      </c>
    </row>
    <row r="301">
      <c r="A301" s="5">
        <v>283.0</v>
      </c>
      <c r="B301" s="11" t="s">
        <v>711</v>
      </c>
      <c r="C301" s="11" t="s">
        <v>36</v>
      </c>
      <c r="D301" s="35" t="s">
        <v>712</v>
      </c>
      <c r="E301" s="12">
        <v>35240.0</v>
      </c>
      <c r="F301" s="8">
        <f t="shared" si="44"/>
        <v>30.05336477</v>
      </c>
      <c r="G301" s="9">
        <v>302.0</v>
      </c>
      <c r="H301" s="9">
        <f t="shared" si="47"/>
        <v>19</v>
      </c>
      <c r="I301" s="10" t="s">
        <v>713</v>
      </c>
    </row>
    <row r="302">
      <c r="A302" s="5">
        <v>284.0</v>
      </c>
      <c r="B302" s="6" t="s">
        <v>763</v>
      </c>
      <c r="C302" s="6" t="s">
        <v>10</v>
      </c>
      <c r="D302" s="6" t="s">
        <v>40</v>
      </c>
      <c r="E302" s="12">
        <v>37708.0</v>
      </c>
      <c r="F302" s="8">
        <f t="shared" si="44"/>
        <v>23.29589041</v>
      </c>
      <c r="G302" s="9">
        <v>299.0</v>
      </c>
      <c r="H302" s="9">
        <f t="shared" si="47"/>
        <v>15</v>
      </c>
      <c r="I302" s="10" t="s">
        <v>764</v>
      </c>
    </row>
    <row r="303">
      <c r="A303" s="5">
        <v>285.0</v>
      </c>
      <c r="B303" s="6" t="s">
        <v>743</v>
      </c>
      <c r="C303" s="6" t="s">
        <v>267</v>
      </c>
      <c r="D303" s="6" t="s">
        <v>90</v>
      </c>
      <c r="E303" s="12">
        <v>38574.0</v>
      </c>
      <c r="F303" s="8">
        <f t="shared" si="44"/>
        <v>20.9260274</v>
      </c>
      <c r="G303" s="9">
        <v>287.0</v>
      </c>
      <c r="H303" s="9">
        <f t="shared" si="47"/>
        <v>2</v>
      </c>
      <c r="I303" s="10" t="s">
        <v>744</v>
      </c>
    </row>
    <row r="304">
      <c r="A304" s="5">
        <v>286.0</v>
      </c>
      <c r="B304" s="36" t="s">
        <v>649</v>
      </c>
      <c r="C304" s="36" t="s">
        <v>267</v>
      </c>
      <c r="D304" s="15" t="s">
        <v>213</v>
      </c>
      <c r="E304" s="48">
        <v>38545.0</v>
      </c>
      <c r="F304" s="36">
        <v>20.2</v>
      </c>
      <c r="G304" s="18">
        <v>405.0</v>
      </c>
      <c r="H304" s="9">
        <f t="shared" si="47"/>
        <v>119</v>
      </c>
      <c r="I304" s="47" t="s">
        <v>650</v>
      </c>
    </row>
    <row r="305">
      <c r="A305" s="5">
        <v>287.0</v>
      </c>
      <c r="B305" s="6" t="s">
        <v>653</v>
      </c>
      <c r="C305" s="6" t="s">
        <v>36</v>
      </c>
      <c r="D305" s="6" t="s">
        <v>52</v>
      </c>
      <c r="E305" s="12">
        <v>38234.0</v>
      </c>
      <c r="F305" s="8">
        <f t="shared" ref="F305:F331" si="48">YEARFRAC(E305, TODAY(),1)</f>
        <v>21.85664346</v>
      </c>
      <c r="G305" s="9">
        <v>327.0</v>
      </c>
      <c r="H305" s="9">
        <f t="shared" si="47"/>
        <v>40</v>
      </c>
      <c r="I305" s="10" t="s">
        <v>654</v>
      </c>
    </row>
    <row r="306">
      <c r="A306" s="5">
        <v>288.0</v>
      </c>
      <c r="B306" s="6" t="s">
        <v>595</v>
      </c>
      <c r="C306" s="6" t="s">
        <v>14</v>
      </c>
      <c r="D306" s="6" t="s">
        <v>98</v>
      </c>
      <c r="E306" s="12">
        <v>34411.0</v>
      </c>
      <c r="F306" s="8">
        <f t="shared" si="48"/>
        <v>32.32328767</v>
      </c>
      <c r="G306" s="9">
        <v>265.0</v>
      </c>
      <c r="H306" s="9">
        <f t="shared" si="47"/>
        <v>-23</v>
      </c>
      <c r="I306" s="10" t="s">
        <v>596</v>
      </c>
    </row>
    <row r="307">
      <c r="A307" s="5">
        <v>289.0</v>
      </c>
      <c r="B307" s="11" t="s">
        <v>651</v>
      </c>
      <c r="C307" s="11" t="s">
        <v>25</v>
      </c>
      <c r="D307" s="11" t="s">
        <v>32</v>
      </c>
      <c r="E307" s="12">
        <v>38049.0</v>
      </c>
      <c r="F307" s="8">
        <f t="shared" si="48"/>
        <v>22.36210794</v>
      </c>
      <c r="G307" s="9">
        <v>247.0</v>
      </c>
      <c r="H307" s="9">
        <f t="shared" si="47"/>
        <v>-42</v>
      </c>
      <c r="I307" s="10" t="s">
        <v>652</v>
      </c>
    </row>
    <row r="308">
      <c r="A308" s="5">
        <v>290.0</v>
      </c>
      <c r="B308" s="15" t="s">
        <v>638</v>
      </c>
      <c r="C308" s="35" t="s">
        <v>267</v>
      </c>
      <c r="D308" s="11" t="s">
        <v>46</v>
      </c>
      <c r="E308" s="12">
        <v>35858.0</v>
      </c>
      <c r="F308" s="17">
        <f t="shared" si="48"/>
        <v>28.36164384</v>
      </c>
      <c r="G308" s="9">
        <v>273.0</v>
      </c>
      <c r="H308" s="9">
        <f t="shared" si="47"/>
        <v>-17</v>
      </c>
      <c r="I308" s="10" t="s">
        <v>639</v>
      </c>
    </row>
    <row r="309">
      <c r="A309" s="27">
        <v>291.0</v>
      </c>
      <c r="B309" s="28" t="s">
        <v>696</v>
      </c>
      <c r="C309" s="28" t="s">
        <v>573</v>
      </c>
      <c r="D309" s="28" t="s">
        <v>167</v>
      </c>
      <c r="E309" s="44">
        <v>38053.0</v>
      </c>
      <c r="F309" s="31">
        <f t="shared" si="48"/>
        <v>22.35117898</v>
      </c>
      <c r="G309" s="32" t="s">
        <v>371</v>
      </c>
      <c r="H309" s="32" t="s">
        <v>371</v>
      </c>
      <c r="I309" s="56" t="s">
        <v>697</v>
      </c>
    </row>
    <row r="310">
      <c r="A310" s="5">
        <v>292.0</v>
      </c>
      <c r="B310" s="11" t="s">
        <v>798</v>
      </c>
      <c r="C310" s="11" t="s">
        <v>14</v>
      </c>
      <c r="D310" s="11" t="s">
        <v>66</v>
      </c>
      <c r="E310" s="12">
        <v>38554.0</v>
      </c>
      <c r="F310" s="8">
        <f t="shared" si="48"/>
        <v>20.98082192</v>
      </c>
      <c r="G310" s="9">
        <v>244.0</v>
      </c>
      <c r="H310" s="9">
        <f t="shared" ref="H310:H331" si="49">MINUS(G310, A310)</f>
        <v>-48</v>
      </c>
      <c r="I310" s="10" t="s">
        <v>799</v>
      </c>
    </row>
    <row r="311">
      <c r="A311" s="5">
        <v>293.0</v>
      </c>
      <c r="B311" s="11" t="s">
        <v>663</v>
      </c>
      <c r="C311" s="11" t="s">
        <v>14</v>
      </c>
      <c r="D311" s="11" t="s">
        <v>46</v>
      </c>
      <c r="E311" s="12">
        <v>33688.0</v>
      </c>
      <c r="F311" s="8">
        <f t="shared" si="48"/>
        <v>34.30199865</v>
      </c>
      <c r="G311" s="9">
        <v>264.0</v>
      </c>
      <c r="H311" s="9">
        <f t="shared" si="49"/>
        <v>-29</v>
      </c>
      <c r="I311" s="10" t="s">
        <v>664</v>
      </c>
    </row>
    <row r="312">
      <c r="A312" s="5">
        <v>294.0</v>
      </c>
      <c r="B312" s="11" t="s">
        <v>735</v>
      </c>
      <c r="C312" s="11" t="s">
        <v>25</v>
      </c>
      <c r="D312" s="11" t="s">
        <v>98</v>
      </c>
      <c r="E312" s="12">
        <v>35476.0</v>
      </c>
      <c r="F312" s="8">
        <f t="shared" si="48"/>
        <v>29.40821918</v>
      </c>
      <c r="G312" s="9">
        <v>288.0</v>
      </c>
      <c r="H312" s="9">
        <f t="shared" si="49"/>
        <v>-6</v>
      </c>
      <c r="I312" s="10" t="s">
        <v>736</v>
      </c>
    </row>
    <row r="313">
      <c r="A313" s="5">
        <v>295.0</v>
      </c>
      <c r="B313" s="11" t="s">
        <v>621</v>
      </c>
      <c r="C313" s="11" t="s">
        <v>25</v>
      </c>
      <c r="D313" s="35" t="s">
        <v>622</v>
      </c>
      <c r="E313" s="12">
        <v>35389.0</v>
      </c>
      <c r="F313" s="8">
        <f t="shared" si="48"/>
        <v>29.64626095</v>
      </c>
      <c r="G313" s="9">
        <v>371.0</v>
      </c>
      <c r="H313" s="9">
        <f t="shared" si="49"/>
        <v>76</v>
      </c>
      <c r="I313" s="55" t="s">
        <v>623</v>
      </c>
    </row>
    <row r="314">
      <c r="A314" s="5">
        <v>296.0</v>
      </c>
      <c r="B314" s="11" t="s">
        <v>700</v>
      </c>
      <c r="C314" s="11" t="s">
        <v>25</v>
      </c>
      <c r="D314" s="11" t="s">
        <v>128</v>
      </c>
      <c r="E314" s="12">
        <v>37781.0</v>
      </c>
      <c r="F314" s="8">
        <f t="shared" si="48"/>
        <v>23.09589041</v>
      </c>
      <c r="G314" s="9">
        <v>263.0</v>
      </c>
      <c r="H314" s="9">
        <f t="shared" si="49"/>
        <v>-33</v>
      </c>
      <c r="I314" s="13" t="s">
        <v>701</v>
      </c>
    </row>
    <row r="315">
      <c r="A315" s="5">
        <v>297.0</v>
      </c>
      <c r="B315" s="36" t="s">
        <v>619</v>
      </c>
      <c r="C315" s="36" t="s">
        <v>25</v>
      </c>
      <c r="D315" s="36" t="s">
        <v>18</v>
      </c>
      <c r="E315" s="48">
        <v>38115.0</v>
      </c>
      <c r="F315" s="17">
        <f t="shared" si="48"/>
        <v>22.18178007</v>
      </c>
      <c r="G315" s="18">
        <v>248.0</v>
      </c>
      <c r="H315" s="9">
        <f t="shared" si="49"/>
        <v>-49</v>
      </c>
      <c r="I315" s="47" t="s">
        <v>620</v>
      </c>
    </row>
    <row r="316">
      <c r="A316" s="5">
        <v>298.0</v>
      </c>
      <c r="B316" s="6" t="s">
        <v>613</v>
      </c>
      <c r="C316" s="6" t="s">
        <v>25</v>
      </c>
      <c r="D316" s="6" t="s">
        <v>98</v>
      </c>
      <c r="E316" s="12">
        <v>36548.0</v>
      </c>
      <c r="F316" s="8">
        <f t="shared" si="48"/>
        <v>26.47139756</v>
      </c>
      <c r="G316" s="9">
        <v>290.0</v>
      </c>
      <c r="H316" s="9">
        <f t="shared" si="49"/>
        <v>-8</v>
      </c>
      <c r="I316" s="10" t="s">
        <v>1068</v>
      </c>
    </row>
    <row r="317">
      <c r="A317" s="5">
        <v>299.0</v>
      </c>
      <c r="B317" s="6" t="s">
        <v>671</v>
      </c>
      <c r="C317" s="6" t="s">
        <v>36</v>
      </c>
      <c r="D317" s="6" t="s">
        <v>29</v>
      </c>
      <c r="E317" s="12">
        <v>34446.0</v>
      </c>
      <c r="F317" s="8">
        <f t="shared" si="48"/>
        <v>32.22739726</v>
      </c>
      <c r="G317" s="9">
        <v>245.0</v>
      </c>
      <c r="H317" s="9">
        <f t="shared" si="49"/>
        <v>-54</v>
      </c>
      <c r="I317" s="10" t="s">
        <v>672</v>
      </c>
    </row>
    <row r="318">
      <c r="A318" s="5">
        <v>300.0</v>
      </c>
      <c r="B318" s="35" t="s">
        <v>745</v>
      </c>
      <c r="C318" s="35" t="s">
        <v>36</v>
      </c>
      <c r="D318" s="35" t="s">
        <v>746</v>
      </c>
      <c r="E318" s="7">
        <v>33679.0</v>
      </c>
      <c r="F318" s="8">
        <f t="shared" si="48"/>
        <v>34.32658882</v>
      </c>
      <c r="G318" s="9">
        <v>310.0</v>
      </c>
      <c r="H318" s="9">
        <f t="shared" si="49"/>
        <v>10</v>
      </c>
      <c r="I318" s="10" t="s">
        <v>747</v>
      </c>
    </row>
    <row r="319">
      <c r="A319" s="5">
        <v>301.0</v>
      </c>
      <c r="B319" s="6" t="s">
        <v>589</v>
      </c>
      <c r="C319" s="6" t="s">
        <v>14</v>
      </c>
      <c r="D319" s="6" t="s">
        <v>15</v>
      </c>
      <c r="E319" s="12">
        <v>34393.0</v>
      </c>
      <c r="F319" s="8">
        <f t="shared" si="48"/>
        <v>32.37260274</v>
      </c>
      <c r="G319" s="9">
        <v>257.0</v>
      </c>
      <c r="H319" s="9">
        <f t="shared" si="49"/>
        <v>-44</v>
      </c>
      <c r="I319" s="10" t="s">
        <v>590</v>
      </c>
    </row>
    <row r="320">
      <c r="A320" s="5">
        <v>302.0</v>
      </c>
      <c r="B320" s="11" t="s">
        <v>635</v>
      </c>
      <c r="C320" s="11" t="s">
        <v>36</v>
      </c>
      <c r="D320" s="35" t="s">
        <v>636</v>
      </c>
      <c r="E320" s="12">
        <v>36343.0</v>
      </c>
      <c r="F320" s="8">
        <f t="shared" si="48"/>
        <v>27.03287671</v>
      </c>
      <c r="G320" s="9">
        <v>216.0</v>
      </c>
      <c r="H320" s="9">
        <f t="shared" si="49"/>
        <v>-86</v>
      </c>
      <c r="I320" s="10" t="s">
        <v>637</v>
      </c>
    </row>
    <row r="321">
      <c r="A321" s="5">
        <v>303.0</v>
      </c>
      <c r="B321" s="6" t="s">
        <v>692</v>
      </c>
      <c r="C321" s="6" t="s">
        <v>25</v>
      </c>
      <c r="D321" s="6" t="s">
        <v>18</v>
      </c>
      <c r="E321" s="12">
        <v>37198.0</v>
      </c>
      <c r="F321" s="8">
        <f t="shared" si="48"/>
        <v>24.69315068</v>
      </c>
      <c r="G321" s="9">
        <v>259.0</v>
      </c>
      <c r="H321" s="9">
        <f t="shared" si="49"/>
        <v>-44</v>
      </c>
      <c r="I321" s="10" t="s">
        <v>693</v>
      </c>
    </row>
    <row r="322">
      <c r="A322" s="5">
        <v>304.0</v>
      </c>
      <c r="B322" s="6" t="s">
        <v>840</v>
      </c>
      <c r="C322" s="6" t="s">
        <v>21</v>
      </c>
      <c r="D322" s="35" t="s">
        <v>841</v>
      </c>
      <c r="E322" s="12">
        <v>34191.0</v>
      </c>
      <c r="F322" s="8">
        <f t="shared" si="48"/>
        <v>32.9260274</v>
      </c>
      <c r="G322" s="9">
        <v>331.0</v>
      </c>
      <c r="H322" s="9">
        <f t="shared" si="49"/>
        <v>27</v>
      </c>
      <c r="I322" s="10" t="s">
        <v>842</v>
      </c>
    </row>
    <row r="323">
      <c r="A323" s="5">
        <v>305.0</v>
      </c>
      <c r="B323" s="61" t="s">
        <v>724</v>
      </c>
      <c r="C323" s="61" t="s">
        <v>21</v>
      </c>
      <c r="D323" s="62" t="s">
        <v>43</v>
      </c>
      <c r="E323" s="12">
        <v>34997.0</v>
      </c>
      <c r="F323" s="8">
        <f t="shared" si="48"/>
        <v>30.71780822</v>
      </c>
      <c r="G323" s="9">
        <v>346.0</v>
      </c>
      <c r="H323" s="9">
        <f t="shared" si="49"/>
        <v>41</v>
      </c>
      <c r="I323" s="10" t="s">
        <v>725</v>
      </c>
    </row>
    <row r="324">
      <c r="A324" s="5">
        <v>306.0</v>
      </c>
      <c r="B324" s="11" t="s">
        <v>686</v>
      </c>
      <c r="C324" s="11" t="s">
        <v>25</v>
      </c>
      <c r="D324" s="11" t="s">
        <v>46</v>
      </c>
      <c r="E324" s="12">
        <v>37868.0</v>
      </c>
      <c r="F324" s="8">
        <f t="shared" si="48"/>
        <v>22.85753425</v>
      </c>
      <c r="G324" s="9">
        <v>229.0</v>
      </c>
      <c r="H324" s="9">
        <f t="shared" si="49"/>
        <v>-77</v>
      </c>
      <c r="I324" s="10" t="s">
        <v>687</v>
      </c>
    </row>
    <row r="325">
      <c r="A325" s="5">
        <v>307.0</v>
      </c>
      <c r="B325" s="35" t="s">
        <v>707</v>
      </c>
      <c r="C325" s="35" t="s">
        <v>10</v>
      </c>
      <c r="D325" s="35" t="s">
        <v>40</v>
      </c>
      <c r="E325" s="7">
        <v>37767.0</v>
      </c>
      <c r="F325" s="8">
        <f t="shared" si="48"/>
        <v>23.13424658</v>
      </c>
      <c r="G325" s="9">
        <v>298.0</v>
      </c>
      <c r="H325" s="9">
        <f t="shared" si="49"/>
        <v>-9</v>
      </c>
      <c r="I325" s="10" t="s">
        <v>708</v>
      </c>
    </row>
    <row r="326">
      <c r="A326" s="5">
        <v>308.0</v>
      </c>
      <c r="B326" s="6" t="s">
        <v>698</v>
      </c>
      <c r="C326" s="6" t="s">
        <v>573</v>
      </c>
      <c r="D326" s="6" t="s">
        <v>213</v>
      </c>
      <c r="E326" s="12">
        <v>36430.0</v>
      </c>
      <c r="F326" s="8">
        <f t="shared" si="48"/>
        <v>26.79452055</v>
      </c>
      <c r="G326" s="9">
        <v>236.0</v>
      </c>
      <c r="H326" s="9">
        <f t="shared" si="49"/>
        <v>-72</v>
      </c>
      <c r="I326" s="10" t="s">
        <v>699</v>
      </c>
    </row>
    <row r="327">
      <c r="A327" s="5">
        <v>309.0</v>
      </c>
      <c r="B327" s="11" t="s">
        <v>777</v>
      </c>
      <c r="C327" s="11" t="s">
        <v>10</v>
      </c>
      <c r="D327" s="35" t="s">
        <v>176</v>
      </c>
      <c r="E327" s="12">
        <v>31566.0</v>
      </c>
      <c r="F327" s="8">
        <f t="shared" si="48"/>
        <v>40.11232877</v>
      </c>
      <c r="G327" s="9">
        <v>320.0</v>
      </c>
      <c r="H327" s="9">
        <f t="shared" si="49"/>
        <v>11</v>
      </c>
      <c r="I327" s="10" t="s">
        <v>778</v>
      </c>
    </row>
    <row r="328">
      <c r="A328" s="5">
        <v>310.0</v>
      </c>
      <c r="B328" s="6" t="s">
        <v>678</v>
      </c>
      <c r="C328" s="11" t="s">
        <v>10</v>
      </c>
      <c r="D328" s="11" t="s">
        <v>22</v>
      </c>
      <c r="E328" s="12">
        <v>37483.0</v>
      </c>
      <c r="F328" s="8">
        <f t="shared" si="48"/>
        <v>23.91232877</v>
      </c>
      <c r="G328" s="9">
        <v>252.0</v>
      </c>
      <c r="H328" s="9">
        <f t="shared" si="49"/>
        <v>-58</v>
      </c>
      <c r="I328" s="10" t="s">
        <v>679</v>
      </c>
    </row>
    <row r="329">
      <c r="A329" s="5">
        <v>311.0</v>
      </c>
      <c r="B329" s="6" t="s">
        <v>720</v>
      </c>
      <c r="C329" s="35" t="s">
        <v>36</v>
      </c>
      <c r="D329" s="6" t="s">
        <v>111</v>
      </c>
      <c r="E329" s="12">
        <v>37628.0</v>
      </c>
      <c r="F329" s="8">
        <f t="shared" si="48"/>
        <v>23.51506849</v>
      </c>
      <c r="G329" s="9">
        <v>253.0</v>
      </c>
      <c r="H329" s="9">
        <f t="shared" si="49"/>
        <v>-58</v>
      </c>
      <c r="I329" s="10" t="s">
        <v>721</v>
      </c>
    </row>
    <row r="330">
      <c r="A330" s="5">
        <v>312.0</v>
      </c>
      <c r="B330" s="6" t="s">
        <v>761</v>
      </c>
      <c r="C330" s="6" t="s">
        <v>21</v>
      </c>
      <c r="D330" s="6" t="s">
        <v>114</v>
      </c>
      <c r="E330" s="12">
        <v>38121.0</v>
      </c>
      <c r="F330" s="8">
        <f t="shared" si="48"/>
        <v>22.16538663</v>
      </c>
      <c r="G330" s="9">
        <v>270.0</v>
      </c>
      <c r="H330" s="9">
        <f t="shared" si="49"/>
        <v>-42</v>
      </c>
      <c r="I330" s="10" t="s">
        <v>762</v>
      </c>
    </row>
    <row r="331">
      <c r="A331" s="5">
        <v>313.0</v>
      </c>
      <c r="B331" s="14" t="s">
        <v>732</v>
      </c>
      <c r="C331" s="14" t="s">
        <v>14</v>
      </c>
      <c r="D331" s="36" t="s">
        <v>733</v>
      </c>
      <c r="E331" s="16">
        <v>37333.0</v>
      </c>
      <c r="F331" s="17">
        <f t="shared" si="48"/>
        <v>24.32328767</v>
      </c>
      <c r="G331" s="18">
        <v>243.0</v>
      </c>
      <c r="H331" s="9">
        <f t="shared" si="49"/>
        <v>-70</v>
      </c>
      <c r="I331" s="47" t="s">
        <v>734</v>
      </c>
    </row>
    <row r="332">
      <c r="A332" s="5">
        <v>314.0</v>
      </c>
      <c r="B332" s="36" t="s">
        <v>642</v>
      </c>
      <c r="C332" s="36" t="s">
        <v>14</v>
      </c>
      <c r="D332" s="36" t="s">
        <v>643</v>
      </c>
      <c r="E332" s="48">
        <v>34399.0</v>
      </c>
      <c r="F332" s="36">
        <v>23.6</v>
      </c>
      <c r="G332" s="18" t="s">
        <v>371</v>
      </c>
      <c r="H332" s="9" t="s">
        <v>371</v>
      </c>
      <c r="I332" s="47" t="s">
        <v>644</v>
      </c>
    </row>
    <row r="333">
      <c r="A333" s="5">
        <v>315.0</v>
      </c>
      <c r="B333" s="36" t="s">
        <v>676</v>
      </c>
      <c r="C333" s="36" t="s">
        <v>36</v>
      </c>
      <c r="D333" s="36" t="s">
        <v>66</v>
      </c>
      <c r="E333" s="48">
        <v>37078.0</v>
      </c>
      <c r="F333" s="17">
        <f t="shared" ref="F333:F342" si="50">YEARFRAC(E333, TODAY(),1)</f>
        <v>25.02191781</v>
      </c>
      <c r="G333" s="18">
        <v>284.0</v>
      </c>
      <c r="H333" s="9">
        <f>MINUS(G333, A333)</f>
        <v>-31</v>
      </c>
      <c r="I333" s="47" t="s">
        <v>677</v>
      </c>
    </row>
    <row r="334">
      <c r="A334" s="5">
        <v>316.0</v>
      </c>
      <c r="B334" s="35" t="s">
        <v>655</v>
      </c>
      <c r="C334" s="35" t="s">
        <v>25</v>
      </c>
      <c r="D334" s="35" t="s">
        <v>106</v>
      </c>
      <c r="E334" s="7">
        <v>38471.0</v>
      </c>
      <c r="F334" s="8">
        <f t="shared" si="50"/>
        <v>21.20821918</v>
      </c>
      <c r="G334" s="9" t="s">
        <v>371</v>
      </c>
      <c r="H334" s="9" t="s">
        <v>371</v>
      </c>
      <c r="I334" s="60" t="s">
        <v>656</v>
      </c>
    </row>
    <row r="335">
      <c r="A335" s="5">
        <v>317.0</v>
      </c>
      <c r="B335" s="15" t="s">
        <v>702</v>
      </c>
      <c r="C335" s="15" t="s">
        <v>10</v>
      </c>
      <c r="D335" s="36" t="s">
        <v>703</v>
      </c>
      <c r="E335" s="16">
        <v>36233.0</v>
      </c>
      <c r="F335" s="17">
        <f t="shared" si="50"/>
        <v>27.33424658</v>
      </c>
      <c r="G335" s="18">
        <v>318.0</v>
      </c>
      <c r="H335" s="9">
        <f t="shared" ref="H335:H354" si="51">MINUS(G335, A335)</f>
        <v>1</v>
      </c>
      <c r="I335" s="47" t="s">
        <v>704</v>
      </c>
    </row>
    <row r="336">
      <c r="A336" s="5">
        <v>318.0</v>
      </c>
      <c r="B336" s="6" t="s">
        <v>694</v>
      </c>
      <c r="C336" s="6" t="s">
        <v>10</v>
      </c>
      <c r="D336" s="6" t="s">
        <v>15</v>
      </c>
      <c r="E336" s="12">
        <v>37436.0</v>
      </c>
      <c r="F336" s="8">
        <f t="shared" si="50"/>
        <v>24.04109589</v>
      </c>
      <c r="G336" s="9">
        <v>280.0</v>
      </c>
      <c r="H336" s="9">
        <f t="shared" si="51"/>
        <v>-38</v>
      </c>
      <c r="I336" s="53" t="s">
        <v>695</v>
      </c>
    </row>
    <row r="337">
      <c r="A337" s="5">
        <v>319.0</v>
      </c>
      <c r="B337" s="6" t="s">
        <v>667</v>
      </c>
      <c r="C337" s="35" t="s">
        <v>36</v>
      </c>
      <c r="D337" s="6" t="s">
        <v>58</v>
      </c>
      <c r="E337" s="12">
        <v>38311.0</v>
      </c>
      <c r="F337" s="8">
        <f t="shared" si="50"/>
        <v>21.64626095</v>
      </c>
      <c r="G337" s="9">
        <v>256.0</v>
      </c>
      <c r="H337" s="9">
        <f t="shared" si="51"/>
        <v>-63</v>
      </c>
      <c r="I337" s="10" t="s">
        <v>668</v>
      </c>
    </row>
    <row r="338">
      <c r="A338" s="5">
        <v>320.0</v>
      </c>
      <c r="B338" s="11" t="s">
        <v>757</v>
      </c>
      <c r="C338" s="11" t="s">
        <v>21</v>
      </c>
      <c r="D338" s="11" t="s">
        <v>11</v>
      </c>
      <c r="E338" s="12">
        <v>34895.0</v>
      </c>
      <c r="F338" s="8">
        <f t="shared" si="50"/>
        <v>30.99726027</v>
      </c>
      <c r="G338" s="9">
        <v>250.0</v>
      </c>
      <c r="H338" s="9">
        <f t="shared" si="51"/>
        <v>-70</v>
      </c>
      <c r="I338" s="10" t="s">
        <v>758</v>
      </c>
    </row>
    <row r="339">
      <c r="A339" s="5">
        <v>321.0</v>
      </c>
      <c r="B339" s="35" t="s">
        <v>809</v>
      </c>
      <c r="C339" s="35" t="s">
        <v>573</v>
      </c>
      <c r="D339" s="35" t="s">
        <v>810</v>
      </c>
      <c r="E339" s="7">
        <v>37161.0</v>
      </c>
      <c r="F339" s="8">
        <f t="shared" si="50"/>
        <v>24.79452055</v>
      </c>
      <c r="G339" s="9">
        <v>337.0</v>
      </c>
      <c r="H339" s="9">
        <f t="shared" si="51"/>
        <v>16</v>
      </c>
      <c r="I339" s="10" t="s">
        <v>1069</v>
      </c>
    </row>
    <row r="340">
      <c r="A340" s="5">
        <v>322.0</v>
      </c>
      <c r="B340" s="6" t="s">
        <v>705</v>
      </c>
      <c r="C340" s="35" t="s">
        <v>25</v>
      </c>
      <c r="D340" s="35" t="s">
        <v>87</v>
      </c>
      <c r="E340" s="12">
        <v>37951.0</v>
      </c>
      <c r="F340" s="8">
        <f t="shared" si="50"/>
        <v>22.63013699</v>
      </c>
      <c r="G340" s="9">
        <v>254.0</v>
      </c>
      <c r="H340" s="9">
        <f t="shared" si="51"/>
        <v>-68</v>
      </c>
      <c r="I340" s="10" t="s">
        <v>706</v>
      </c>
    </row>
    <row r="341">
      <c r="A341" s="5">
        <v>323.0</v>
      </c>
      <c r="B341" s="11" t="s">
        <v>767</v>
      </c>
      <c r="C341" s="11" t="s">
        <v>10</v>
      </c>
      <c r="D341" s="35" t="s">
        <v>98</v>
      </c>
      <c r="E341" s="12">
        <v>37266.0</v>
      </c>
      <c r="F341" s="8">
        <f t="shared" si="50"/>
        <v>24.50684932</v>
      </c>
      <c r="G341" s="9">
        <v>301.0</v>
      </c>
      <c r="H341" s="9">
        <f t="shared" si="51"/>
        <v>-22</v>
      </c>
      <c r="I341" s="10" t="s">
        <v>768</v>
      </c>
    </row>
    <row r="342">
      <c r="A342" s="5">
        <v>324.0</v>
      </c>
      <c r="B342" s="6" t="s">
        <v>684</v>
      </c>
      <c r="C342" s="6" t="s">
        <v>74</v>
      </c>
      <c r="D342" s="35" t="s">
        <v>95</v>
      </c>
      <c r="E342" s="12">
        <v>36696.0</v>
      </c>
      <c r="F342" s="8">
        <f t="shared" si="50"/>
        <v>26.06702597</v>
      </c>
      <c r="G342" s="9">
        <v>309.0</v>
      </c>
      <c r="H342" s="9">
        <f t="shared" si="51"/>
        <v>-15</v>
      </c>
      <c r="I342" s="10" t="s">
        <v>685</v>
      </c>
    </row>
    <row r="343">
      <c r="A343" s="5">
        <v>325.0</v>
      </c>
      <c r="B343" s="36" t="s">
        <v>680</v>
      </c>
      <c r="C343" s="36" t="s">
        <v>36</v>
      </c>
      <c r="D343" s="15" t="s">
        <v>176</v>
      </c>
      <c r="E343" s="48">
        <v>37614.0</v>
      </c>
      <c r="F343" s="36">
        <v>22.8</v>
      </c>
      <c r="G343" s="18">
        <v>274.0</v>
      </c>
      <c r="H343" s="9">
        <f t="shared" si="51"/>
        <v>-51</v>
      </c>
      <c r="I343" s="47" t="s">
        <v>681</v>
      </c>
    </row>
    <row r="344">
      <c r="A344" s="5">
        <v>326.0</v>
      </c>
      <c r="B344" s="6" t="s">
        <v>779</v>
      </c>
      <c r="C344" s="6" t="s">
        <v>25</v>
      </c>
      <c r="D344" s="6" t="s">
        <v>90</v>
      </c>
      <c r="E344" s="12">
        <v>36129.0</v>
      </c>
      <c r="F344" s="8">
        <f t="shared" ref="F344:F410" si="52">YEARFRAC(E344, TODAY(),1)</f>
        <v>27.61917808</v>
      </c>
      <c r="G344" s="9">
        <v>352.0</v>
      </c>
      <c r="H344" s="9">
        <f t="shared" si="51"/>
        <v>26</v>
      </c>
      <c r="I344" s="53" t="s">
        <v>780</v>
      </c>
    </row>
    <row r="345">
      <c r="A345" s="5">
        <v>327.0</v>
      </c>
      <c r="B345" s="11" t="s">
        <v>726</v>
      </c>
      <c r="C345" s="11" t="s">
        <v>21</v>
      </c>
      <c r="D345" s="11" t="s">
        <v>82</v>
      </c>
      <c r="E345" s="12">
        <v>36361.0</v>
      </c>
      <c r="F345" s="8">
        <f t="shared" si="52"/>
        <v>26.98356164</v>
      </c>
      <c r="G345" s="9">
        <v>246.0</v>
      </c>
      <c r="H345" s="9">
        <f t="shared" si="51"/>
        <v>-81</v>
      </c>
      <c r="I345" s="10" t="s">
        <v>727</v>
      </c>
    </row>
    <row r="346">
      <c r="A346" s="5">
        <v>328.0</v>
      </c>
      <c r="B346" s="6" t="s">
        <v>831</v>
      </c>
      <c r="C346" s="6" t="s">
        <v>25</v>
      </c>
      <c r="D346" s="6" t="s">
        <v>87</v>
      </c>
      <c r="E346" s="12">
        <v>37129.0</v>
      </c>
      <c r="F346" s="8">
        <f t="shared" si="52"/>
        <v>24.88219178</v>
      </c>
      <c r="G346" s="9">
        <v>338.0</v>
      </c>
      <c r="H346" s="9">
        <f t="shared" si="51"/>
        <v>10</v>
      </c>
      <c r="I346" s="10" t="s">
        <v>832</v>
      </c>
    </row>
    <row r="347">
      <c r="A347" s="5">
        <v>329.0</v>
      </c>
      <c r="B347" s="35" t="s">
        <v>781</v>
      </c>
      <c r="C347" s="6" t="s">
        <v>14</v>
      </c>
      <c r="D347" s="35" t="s">
        <v>111</v>
      </c>
      <c r="E347" s="7">
        <v>36091.0</v>
      </c>
      <c r="F347" s="8">
        <f t="shared" si="52"/>
        <v>27.72328767</v>
      </c>
      <c r="G347" s="9">
        <v>347.0</v>
      </c>
      <c r="H347" s="9">
        <f t="shared" si="51"/>
        <v>18</v>
      </c>
      <c r="I347" s="10" t="s">
        <v>782</v>
      </c>
    </row>
    <row r="348">
      <c r="A348" s="5">
        <v>330.0</v>
      </c>
      <c r="B348" s="14" t="s">
        <v>786</v>
      </c>
      <c r="C348" s="14" t="s">
        <v>10</v>
      </c>
      <c r="D348" s="36" t="s">
        <v>787</v>
      </c>
      <c r="E348" s="16">
        <v>35546.0</v>
      </c>
      <c r="F348" s="17">
        <f t="shared" si="52"/>
        <v>29.21643836</v>
      </c>
      <c r="G348" s="18">
        <v>388.0</v>
      </c>
      <c r="H348" s="9">
        <f t="shared" si="51"/>
        <v>58</v>
      </c>
      <c r="I348" s="47" t="s">
        <v>788</v>
      </c>
    </row>
    <row r="349">
      <c r="A349" s="5">
        <v>331.0</v>
      </c>
      <c r="B349" s="36" t="s">
        <v>673</v>
      </c>
      <c r="C349" s="36" t="s">
        <v>21</v>
      </c>
      <c r="D349" s="36" t="s">
        <v>932</v>
      </c>
      <c r="E349" s="48">
        <v>37509.0</v>
      </c>
      <c r="F349" s="17">
        <f t="shared" si="52"/>
        <v>23.84109589</v>
      </c>
      <c r="G349" s="18">
        <v>308.0</v>
      </c>
      <c r="H349" s="9">
        <f t="shared" si="51"/>
        <v>-23</v>
      </c>
      <c r="I349" s="47" t="s">
        <v>675</v>
      </c>
    </row>
    <row r="350">
      <c r="A350" s="5">
        <v>332.0</v>
      </c>
      <c r="B350" s="36" t="s">
        <v>709</v>
      </c>
      <c r="C350" s="14" t="s">
        <v>36</v>
      </c>
      <c r="D350" s="14" t="s">
        <v>90</v>
      </c>
      <c r="E350" s="16">
        <v>38640.0</v>
      </c>
      <c r="F350" s="17">
        <f t="shared" si="52"/>
        <v>20.74520548</v>
      </c>
      <c r="G350" s="18">
        <v>272.0</v>
      </c>
      <c r="H350" s="9">
        <f t="shared" si="51"/>
        <v>-60</v>
      </c>
      <c r="I350" s="47" t="s">
        <v>710</v>
      </c>
    </row>
    <row r="351">
      <c r="A351" s="5">
        <v>333.0</v>
      </c>
      <c r="B351" s="6" t="s">
        <v>765</v>
      </c>
      <c r="C351" s="6" t="s">
        <v>36</v>
      </c>
      <c r="D351" s="35" t="s">
        <v>161</v>
      </c>
      <c r="E351" s="12">
        <v>37945.0</v>
      </c>
      <c r="F351" s="8">
        <f t="shared" si="52"/>
        <v>22.64657534</v>
      </c>
      <c r="G351" s="9">
        <v>323.0</v>
      </c>
      <c r="H351" s="9">
        <f t="shared" si="51"/>
        <v>-10</v>
      </c>
      <c r="I351" s="10" t="s">
        <v>766</v>
      </c>
    </row>
    <row r="352">
      <c r="A352" s="5">
        <v>334.0</v>
      </c>
      <c r="B352" s="11" t="s">
        <v>769</v>
      </c>
      <c r="C352" s="11" t="s">
        <v>36</v>
      </c>
      <c r="D352" s="35" t="s">
        <v>29</v>
      </c>
      <c r="E352" s="12">
        <v>36034.0</v>
      </c>
      <c r="F352" s="8">
        <f t="shared" si="52"/>
        <v>27.87945205</v>
      </c>
      <c r="G352" s="9">
        <v>268.0</v>
      </c>
      <c r="H352" s="9">
        <f t="shared" si="51"/>
        <v>-66</v>
      </c>
      <c r="I352" s="10" t="s">
        <v>770</v>
      </c>
    </row>
    <row r="353">
      <c r="A353" s="5">
        <v>335.0</v>
      </c>
      <c r="B353" s="36" t="s">
        <v>807</v>
      </c>
      <c r="C353" s="36" t="s">
        <v>14</v>
      </c>
      <c r="D353" s="36" t="s">
        <v>158</v>
      </c>
      <c r="E353" s="48">
        <v>38821.0</v>
      </c>
      <c r="F353" s="17">
        <f t="shared" si="52"/>
        <v>20.24931507</v>
      </c>
      <c r="G353" s="18">
        <v>296.0</v>
      </c>
      <c r="H353" s="9">
        <f t="shared" si="51"/>
        <v>-39</v>
      </c>
      <c r="I353" s="47" t="s">
        <v>808</v>
      </c>
    </row>
    <row r="354">
      <c r="A354" s="5">
        <v>336.0</v>
      </c>
      <c r="B354" s="6" t="s">
        <v>803</v>
      </c>
      <c r="C354" s="6" t="s">
        <v>14</v>
      </c>
      <c r="D354" s="35" t="s">
        <v>551</v>
      </c>
      <c r="E354" s="12">
        <v>32459.0</v>
      </c>
      <c r="F354" s="8">
        <f t="shared" si="52"/>
        <v>37.66811887</v>
      </c>
      <c r="G354" s="9">
        <v>225.0</v>
      </c>
      <c r="H354" s="9">
        <f t="shared" si="51"/>
        <v>-111</v>
      </c>
      <c r="I354" s="10" t="s">
        <v>804</v>
      </c>
    </row>
    <row r="355">
      <c r="A355" s="27">
        <v>337.0</v>
      </c>
      <c r="B355" s="28" t="s">
        <v>722</v>
      </c>
      <c r="C355" s="28" t="s">
        <v>21</v>
      </c>
      <c r="D355" s="28" t="s">
        <v>29</v>
      </c>
      <c r="E355" s="44">
        <v>38255.0</v>
      </c>
      <c r="F355" s="31">
        <f t="shared" si="52"/>
        <v>21.79926641</v>
      </c>
      <c r="G355" s="32" t="s">
        <v>371</v>
      </c>
      <c r="H355" s="32" t="s">
        <v>371</v>
      </c>
      <c r="I355" s="56" t="s">
        <v>723</v>
      </c>
    </row>
    <row r="356">
      <c r="A356" s="5">
        <v>338.0</v>
      </c>
      <c r="B356" s="6" t="s">
        <v>791</v>
      </c>
      <c r="C356" s="6" t="s">
        <v>10</v>
      </c>
      <c r="D356" s="6" t="s">
        <v>114</v>
      </c>
      <c r="E356" s="12">
        <v>36980.0</v>
      </c>
      <c r="F356" s="8">
        <f t="shared" si="52"/>
        <v>25.29041096</v>
      </c>
      <c r="G356" s="9">
        <v>313.0</v>
      </c>
      <c r="H356" s="9">
        <f t="shared" ref="H356:H359" si="53">MINUS(G356, A356)</f>
        <v>-25</v>
      </c>
      <c r="I356" s="10" t="s">
        <v>792</v>
      </c>
    </row>
    <row r="357" ht="30.0" customHeight="1">
      <c r="A357" s="5">
        <v>339.0</v>
      </c>
      <c r="B357" s="35" t="s">
        <v>741</v>
      </c>
      <c r="C357" s="35" t="s">
        <v>573</v>
      </c>
      <c r="D357" s="35" t="s">
        <v>32</v>
      </c>
      <c r="E357" s="7">
        <v>36628.0</v>
      </c>
      <c r="F357" s="8">
        <f t="shared" si="52"/>
        <v>26.25281832</v>
      </c>
      <c r="G357" s="9">
        <v>381.0</v>
      </c>
      <c r="H357" s="9">
        <f t="shared" si="53"/>
        <v>42</v>
      </c>
      <c r="I357" s="10" t="s">
        <v>742</v>
      </c>
    </row>
    <row r="358">
      <c r="A358" s="5">
        <v>340.0</v>
      </c>
      <c r="B358" s="6" t="s">
        <v>718</v>
      </c>
      <c r="C358" s="6" t="s">
        <v>21</v>
      </c>
      <c r="D358" s="6" t="s">
        <v>55</v>
      </c>
      <c r="E358" s="12">
        <v>34170.0</v>
      </c>
      <c r="F358" s="8">
        <f t="shared" si="52"/>
        <v>32.98356164</v>
      </c>
      <c r="G358" s="9">
        <v>366.0</v>
      </c>
      <c r="H358" s="9">
        <f t="shared" si="53"/>
        <v>26</v>
      </c>
      <c r="I358" s="10" t="s">
        <v>719</v>
      </c>
    </row>
    <row r="359">
      <c r="A359" s="5">
        <v>341.0</v>
      </c>
      <c r="B359" s="36" t="s">
        <v>751</v>
      </c>
      <c r="C359" s="36" t="s">
        <v>36</v>
      </c>
      <c r="D359" s="36" t="s">
        <v>158</v>
      </c>
      <c r="E359" s="48">
        <v>38603.0</v>
      </c>
      <c r="F359" s="17">
        <f t="shared" si="52"/>
        <v>20.84657534</v>
      </c>
      <c r="G359" s="18">
        <v>285.0</v>
      </c>
      <c r="H359" s="9">
        <f t="shared" si="53"/>
        <v>-56</v>
      </c>
      <c r="I359" s="47" t="s">
        <v>752</v>
      </c>
    </row>
    <row r="360">
      <c r="A360" s="27">
        <v>342.0</v>
      </c>
      <c r="B360" s="28" t="s">
        <v>775</v>
      </c>
      <c r="C360" s="28" t="s">
        <v>183</v>
      </c>
      <c r="D360" s="28" t="s">
        <v>46</v>
      </c>
      <c r="E360" s="44">
        <v>37827.0</v>
      </c>
      <c r="F360" s="31">
        <f t="shared" si="52"/>
        <v>22.96986301</v>
      </c>
      <c r="G360" s="32" t="s">
        <v>371</v>
      </c>
      <c r="H360" s="32" t="s">
        <v>371</v>
      </c>
      <c r="I360" s="56" t="s">
        <v>776</v>
      </c>
    </row>
    <row r="361">
      <c r="A361" s="5">
        <v>343.0</v>
      </c>
      <c r="B361" s="6" t="s">
        <v>783</v>
      </c>
      <c r="C361" s="6" t="s">
        <v>74</v>
      </c>
      <c r="D361" s="35" t="s">
        <v>784</v>
      </c>
      <c r="E361" s="12">
        <v>35292.0</v>
      </c>
      <c r="F361" s="8">
        <f t="shared" si="52"/>
        <v>29.91128827</v>
      </c>
      <c r="G361" s="9">
        <v>279.0</v>
      </c>
      <c r="H361" s="9">
        <f t="shared" ref="H361:H377" si="54">MINUS(G361, A361)</f>
        <v>-64</v>
      </c>
      <c r="I361" s="10" t="s">
        <v>785</v>
      </c>
    </row>
    <row r="362">
      <c r="A362" s="5">
        <v>344.0</v>
      </c>
      <c r="B362" s="6" t="s">
        <v>753</v>
      </c>
      <c r="C362" s="6" t="s">
        <v>14</v>
      </c>
      <c r="D362" s="35" t="s">
        <v>674</v>
      </c>
      <c r="E362" s="12">
        <v>36476.0</v>
      </c>
      <c r="F362" s="8">
        <f t="shared" si="52"/>
        <v>26.66849315</v>
      </c>
      <c r="G362" s="9">
        <v>227.0</v>
      </c>
      <c r="H362" s="9">
        <f t="shared" si="54"/>
        <v>-117</v>
      </c>
      <c r="I362" s="10" t="s">
        <v>754</v>
      </c>
    </row>
    <row r="363">
      <c r="A363" s="5">
        <v>345.0</v>
      </c>
      <c r="B363" s="11" t="s">
        <v>730</v>
      </c>
      <c r="C363" s="11" t="s">
        <v>21</v>
      </c>
      <c r="D363" s="11" t="s">
        <v>98</v>
      </c>
      <c r="E363" s="12">
        <v>32234.0</v>
      </c>
      <c r="F363" s="8">
        <f t="shared" si="52"/>
        <v>38.28287297</v>
      </c>
      <c r="G363" s="9">
        <v>363.0</v>
      </c>
      <c r="H363" s="9">
        <f t="shared" si="54"/>
        <v>18</v>
      </c>
      <c r="I363" s="10" t="s">
        <v>731</v>
      </c>
    </row>
    <row r="364">
      <c r="A364" s="5">
        <v>346.0</v>
      </c>
      <c r="B364" s="6" t="s">
        <v>603</v>
      </c>
      <c r="C364" s="6" t="s">
        <v>36</v>
      </c>
      <c r="D364" s="35" t="s">
        <v>604</v>
      </c>
      <c r="E364" s="12">
        <v>36533.0</v>
      </c>
      <c r="F364" s="8">
        <f t="shared" si="52"/>
        <v>26.51238117</v>
      </c>
      <c r="G364" s="9">
        <v>231.0</v>
      </c>
      <c r="H364" s="9">
        <f t="shared" si="54"/>
        <v>-115</v>
      </c>
      <c r="I364" s="10" t="s">
        <v>605</v>
      </c>
    </row>
    <row r="365">
      <c r="A365" s="5">
        <v>347.0</v>
      </c>
      <c r="B365" s="6" t="s">
        <v>800</v>
      </c>
      <c r="C365" s="6" t="s">
        <v>25</v>
      </c>
      <c r="D365" s="35" t="s">
        <v>801</v>
      </c>
      <c r="E365" s="12">
        <v>33462.0</v>
      </c>
      <c r="F365" s="8">
        <f t="shared" si="52"/>
        <v>34.92054795</v>
      </c>
      <c r="G365" s="9">
        <v>341.0</v>
      </c>
      <c r="H365" s="9">
        <f t="shared" si="54"/>
        <v>-6</v>
      </c>
      <c r="I365" s="10" t="s">
        <v>802</v>
      </c>
    </row>
    <row r="366">
      <c r="A366" s="5">
        <v>348.0</v>
      </c>
      <c r="B366" s="36" t="s">
        <v>755</v>
      </c>
      <c r="C366" s="36" t="s">
        <v>36</v>
      </c>
      <c r="D366" s="36" t="s">
        <v>49</v>
      </c>
      <c r="E366" s="48">
        <v>34018.0</v>
      </c>
      <c r="F366" s="8">
        <f t="shared" si="52"/>
        <v>33.4</v>
      </c>
      <c r="G366" s="18">
        <v>342.0</v>
      </c>
      <c r="H366" s="9">
        <f t="shared" si="54"/>
        <v>-6</v>
      </c>
      <c r="I366" s="47" t="s">
        <v>756</v>
      </c>
    </row>
    <row r="367">
      <c r="A367" s="5">
        <v>349.0</v>
      </c>
      <c r="B367" s="6" t="s">
        <v>793</v>
      </c>
      <c r="C367" s="6" t="s">
        <v>36</v>
      </c>
      <c r="D367" s="6" t="s">
        <v>40</v>
      </c>
      <c r="E367" s="12">
        <v>37971.0</v>
      </c>
      <c r="F367" s="8">
        <f t="shared" si="52"/>
        <v>22.57534247</v>
      </c>
      <c r="G367" s="9">
        <v>291.0</v>
      </c>
      <c r="H367" s="9">
        <f t="shared" si="54"/>
        <v>-58</v>
      </c>
      <c r="I367" s="10" t="s">
        <v>794</v>
      </c>
    </row>
    <row r="368">
      <c r="A368" s="5">
        <v>350.0</v>
      </c>
      <c r="B368" s="6" t="s">
        <v>814</v>
      </c>
      <c r="C368" s="6" t="s">
        <v>36</v>
      </c>
      <c r="D368" s="6" t="s">
        <v>22</v>
      </c>
      <c r="E368" s="12">
        <v>37364.0</v>
      </c>
      <c r="F368" s="8">
        <f t="shared" si="52"/>
        <v>24.23835616</v>
      </c>
      <c r="G368" s="9">
        <v>344.0</v>
      </c>
      <c r="H368" s="9">
        <f t="shared" si="54"/>
        <v>-6</v>
      </c>
      <c r="I368" s="10" t="s">
        <v>815</v>
      </c>
    </row>
    <row r="369">
      <c r="A369" s="5">
        <v>351.0</v>
      </c>
      <c r="B369" s="6" t="s">
        <v>795</v>
      </c>
      <c r="C369" s="6" t="s">
        <v>25</v>
      </c>
      <c r="D369" s="35" t="s">
        <v>796</v>
      </c>
      <c r="E369" s="12">
        <v>34093.0</v>
      </c>
      <c r="F369" s="8">
        <f t="shared" si="52"/>
        <v>33.19452055</v>
      </c>
      <c r="G369" s="9">
        <v>382.0</v>
      </c>
      <c r="H369" s="9">
        <f t="shared" si="54"/>
        <v>31</v>
      </c>
      <c r="I369" s="10" t="s">
        <v>797</v>
      </c>
    </row>
    <row r="370">
      <c r="A370" s="5">
        <v>352.0</v>
      </c>
      <c r="B370" s="35" t="s">
        <v>850</v>
      </c>
      <c r="C370" s="35" t="s">
        <v>36</v>
      </c>
      <c r="D370" s="35" t="s">
        <v>114</v>
      </c>
      <c r="E370" s="7">
        <v>37375.0</v>
      </c>
      <c r="F370" s="8">
        <f t="shared" si="52"/>
        <v>24.20821918</v>
      </c>
      <c r="G370" s="9">
        <v>360.0</v>
      </c>
      <c r="H370" s="9">
        <f t="shared" si="54"/>
        <v>8</v>
      </c>
      <c r="I370" s="10" t="s">
        <v>851</v>
      </c>
    </row>
    <row r="371">
      <c r="A371" s="5">
        <v>353.0</v>
      </c>
      <c r="B371" s="6" t="s">
        <v>836</v>
      </c>
      <c r="C371" s="6" t="s">
        <v>36</v>
      </c>
      <c r="D371" s="6" t="s">
        <v>87</v>
      </c>
      <c r="E371" s="12">
        <v>36917.0</v>
      </c>
      <c r="F371" s="8">
        <f t="shared" si="52"/>
        <v>25.4630137</v>
      </c>
      <c r="G371" s="9">
        <v>336.0</v>
      </c>
      <c r="H371" s="9">
        <f t="shared" si="54"/>
        <v>-17</v>
      </c>
      <c r="I371" s="10" t="s">
        <v>837</v>
      </c>
    </row>
    <row r="372">
      <c r="A372" s="5">
        <v>354.0</v>
      </c>
      <c r="B372" s="6" t="s">
        <v>748</v>
      </c>
      <c r="C372" s="6" t="s">
        <v>36</v>
      </c>
      <c r="D372" s="35" t="s">
        <v>749</v>
      </c>
      <c r="E372" s="12">
        <v>33834.0</v>
      </c>
      <c r="F372" s="8">
        <f t="shared" si="52"/>
        <v>33.90309155</v>
      </c>
      <c r="G372" s="9">
        <v>334.0</v>
      </c>
      <c r="H372" s="9">
        <f t="shared" si="54"/>
        <v>-20</v>
      </c>
      <c r="I372" s="10" t="s">
        <v>750</v>
      </c>
    </row>
    <row r="373">
      <c r="A373" s="5">
        <v>355.0</v>
      </c>
      <c r="B373" s="6" t="s">
        <v>771</v>
      </c>
      <c r="C373" s="6" t="s">
        <v>25</v>
      </c>
      <c r="D373" s="6" t="s">
        <v>11</v>
      </c>
      <c r="E373" s="12">
        <v>33754.0</v>
      </c>
      <c r="F373" s="8">
        <f t="shared" si="52"/>
        <v>34.12167078</v>
      </c>
      <c r="G373" s="9">
        <v>311.0</v>
      </c>
      <c r="H373" s="9">
        <f t="shared" si="54"/>
        <v>-44</v>
      </c>
      <c r="I373" s="10" t="s">
        <v>772</v>
      </c>
    </row>
    <row r="374">
      <c r="A374" s="5">
        <v>356.0</v>
      </c>
      <c r="B374" s="6" t="s">
        <v>789</v>
      </c>
      <c r="C374" s="6" t="s">
        <v>10</v>
      </c>
      <c r="D374" s="35" t="s">
        <v>32</v>
      </c>
      <c r="E374" s="12">
        <v>36156.0</v>
      </c>
      <c r="F374" s="8">
        <f t="shared" si="52"/>
        <v>27.54520548</v>
      </c>
      <c r="G374" s="9">
        <v>297.0</v>
      </c>
      <c r="H374" s="9">
        <f t="shared" si="54"/>
        <v>-59</v>
      </c>
      <c r="I374" s="10" t="s">
        <v>790</v>
      </c>
    </row>
    <row r="375">
      <c r="A375" s="5">
        <v>357.0</v>
      </c>
      <c r="B375" s="11" t="s">
        <v>852</v>
      </c>
      <c r="C375" s="11" t="s">
        <v>10</v>
      </c>
      <c r="D375" s="35" t="s">
        <v>853</v>
      </c>
      <c r="E375" s="12">
        <v>35101.0</v>
      </c>
      <c r="F375" s="8">
        <f t="shared" si="52"/>
        <v>30.43314619</v>
      </c>
      <c r="G375" s="9">
        <v>403.0</v>
      </c>
      <c r="H375" s="9">
        <f t="shared" si="54"/>
        <v>46</v>
      </c>
      <c r="I375" s="10" t="s">
        <v>854</v>
      </c>
    </row>
    <row r="376">
      <c r="A376" s="5">
        <v>358.0</v>
      </c>
      <c r="B376" s="6" t="s">
        <v>812</v>
      </c>
      <c r="C376" s="6" t="s">
        <v>36</v>
      </c>
      <c r="D376" s="6" t="s">
        <v>46</v>
      </c>
      <c r="E376" s="12">
        <v>38329.0</v>
      </c>
      <c r="F376" s="8">
        <f t="shared" si="52"/>
        <v>21.59708062</v>
      </c>
      <c r="G376" s="9">
        <v>315.0</v>
      </c>
      <c r="H376" s="9">
        <f t="shared" si="54"/>
        <v>-43</v>
      </c>
      <c r="I376" s="10" t="s">
        <v>813</v>
      </c>
    </row>
    <row r="377">
      <c r="A377" s="5">
        <v>359.0</v>
      </c>
      <c r="B377" s="35" t="s">
        <v>827</v>
      </c>
      <c r="C377" s="35" t="s">
        <v>14</v>
      </c>
      <c r="D377" s="35" t="s">
        <v>37</v>
      </c>
      <c r="E377" s="12">
        <v>36783.0</v>
      </c>
      <c r="F377" s="8">
        <f t="shared" si="52"/>
        <v>25.82932106</v>
      </c>
      <c r="G377" s="9">
        <v>269.0</v>
      </c>
      <c r="H377" s="9">
        <f t="shared" si="54"/>
        <v>-90</v>
      </c>
      <c r="I377" s="10" t="s">
        <v>828</v>
      </c>
    </row>
    <row r="378">
      <c r="A378" s="5">
        <v>360.0</v>
      </c>
      <c r="B378" s="35" t="s">
        <v>773</v>
      </c>
      <c r="C378" s="35" t="s">
        <v>36</v>
      </c>
      <c r="D378" s="35" t="s">
        <v>344</v>
      </c>
      <c r="E378" s="7">
        <v>36919.0</v>
      </c>
      <c r="F378" s="8">
        <f t="shared" si="52"/>
        <v>25.45753425</v>
      </c>
      <c r="G378" s="9" t="s">
        <v>371</v>
      </c>
      <c r="H378" s="9" t="s">
        <v>371</v>
      </c>
      <c r="I378" s="10" t="s">
        <v>774</v>
      </c>
    </row>
    <row r="379">
      <c r="A379" s="5">
        <v>361.0</v>
      </c>
      <c r="B379" s="6" t="s">
        <v>892</v>
      </c>
      <c r="C379" s="6" t="s">
        <v>10</v>
      </c>
      <c r="D379" s="6" t="s">
        <v>66</v>
      </c>
      <c r="E379" s="12">
        <v>37691.0</v>
      </c>
      <c r="F379" s="8">
        <f t="shared" si="52"/>
        <v>23.34246575</v>
      </c>
      <c r="G379" s="9">
        <v>295.0</v>
      </c>
      <c r="H379" s="9">
        <f t="shared" ref="H379:H386" si="55">MINUS(G379, A379)</f>
        <v>-66</v>
      </c>
      <c r="I379" s="10" t="s">
        <v>893</v>
      </c>
    </row>
    <row r="380">
      <c r="A380" s="5">
        <v>362.0</v>
      </c>
      <c r="B380" s="6" t="s">
        <v>863</v>
      </c>
      <c r="C380" s="6" t="s">
        <v>25</v>
      </c>
      <c r="D380" s="35" t="s">
        <v>106</v>
      </c>
      <c r="E380" s="12">
        <v>37761.0</v>
      </c>
      <c r="F380" s="8">
        <f t="shared" si="52"/>
        <v>23.15068493</v>
      </c>
      <c r="G380" s="9">
        <v>275.0</v>
      </c>
      <c r="H380" s="9">
        <f t="shared" si="55"/>
        <v>-87</v>
      </c>
      <c r="I380" s="10" t="s">
        <v>865</v>
      </c>
    </row>
    <row r="381">
      <c r="A381" s="5">
        <v>363.0</v>
      </c>
      <c r="B381" s="6" t="s">
        <v>866</v>
      </c>
      <c r="C381" s="6" t="s">
        <v>14</v>
      </c>
      <c r="D381" s="6" t="s">
        <v>106</v>
      </c>
      <c r="E381" s="12">
        <v>36977.0</v>
      </c>
      <c r="F381" s="8">
        <f t="shared" si="52"/>
        <v>25.29863014</v>
      </c>
      <c r="G381" s="9">
        <v>340.0</v>
      </c>
      <c r="H381" s="9">
        <f t="shared" si="55"/>
        <v>-23</v>
      </c>
      <c r="I381" s="10" t="s">
        <v>867</v>
      </c>
    </row>
    <row r="382">
      <c r="A382" s="5">
        <v>364.0</v>
      </c>
      <c r="B382" s="6" t="s">
        <v>759</v>
      </c>
      <c r="C382" s="6" t="s">
        <v>36</v>
      </c>
      <c r="D382" s="6" t="s">
        <v>37</v>
      </c>
      <c r="E382" s="12">
        <v>37177.0</v>
      </c>
      <c r="F382" s="8">
        <f t="shared" si="52"/>
        <v>24.75068493</v>
      </c>
      <c r="G382" s="9">
        <v>351.0</v>
      </c>
      <c r="H382" s="9">
        <f t="shared" si="55"/>
        <v>-13</v>
      </c>
      <c r="I382" s="10" t="s">
        <v>760</v>
      </c>
    </row>
    <row r="383">
      <c r="A383" s="5">
        <v>365.0</v>
      </c>
      <c r="B383" s="36" t="s">
        <v>728</v>
      </c>
      <c r="C383" s="36" t="s">
        <v>21</v>
      </c>
      <c r="D383" s="36" t="s">
        <v>32</v>
      </c>
      <c r="E383" s="48">
        <v>37284.0</v>
      </c>
      <c r="F383" s="17">
        <f t="shared" si="52"/>
        <v>24.45753425</v>
      </c>
      <c r="G383" s="18">
        <v>321.0</v>
      </c>
      <c r="H383" s="9">
        <f t="shared" si="55"/>
        <v>-44</v>
      </c>
      <c r="I383" s="47" t="s">
        <v>729</v>
      </c>
    </row>
    <row r="384">
      <c r="A384" s="5">
        <v>366.0</v>
      </c>
      <c r="B384" s="11" t="s">
        <v>805</v>
      </c>
      <c r="C384" s="11" t="s">
        <v>14</v>
      </c>
      <c r="D384" s="11" t="s">
        <v>69</v>
      </c>
      <c r="E384" s="12">
        <v>36582.0</v>
      </c>
      <c r="F384" s="8">
        <f t="shared" si="52"/>
        <v>26.37850138</v>
      </c>
      <c r="G384" s="9">
        <v>312.0</v>
      </c>
      <c r="H384" s="9">
        <f t="shared" si="55"/>
        <v>-54</v>
      </c>
      <c r="I384" s="55" t="s">
        <v>806</v>
      </c>
    </row>
    <row r="385">
      <c r="A385" s="5">
        <v>367.0</v>
      </c>
      <c r="B385" s="6" t="s">
        <v>820</v>
      </c>
      <c r="C385" s="6" t="s">
        <v>36</v>
      </c>
      <c r="D385" s="35" t="s">
        <v>821</v>
      </c>
      <c r="E385" s="12">
        <v>34571.0</v>
      </c>
      <c r="F385" s="8">
        <f t="shared" si="52"/>
        <v>31.88493151</v>
      </c>
      <c r="G385" s="9">
        <v>328.0</v>
      </c>
      <c r="H385" s="9">
        <f t="shared" si="55"/>
        <v>-39</v>
      </c>
      <c r="I385" s="10" t="s">
        <v>822</v>
      </c>
    </row>
    <row r="386">
      <c r="A386" s="5">
        <v>368.0</v>
      </c>
      <c r="B386" s="36" t="s">
        <v>818</v>
      </c>
      <c r="C386" s="15" t="s">
        <v>14</v>
      </c>
      <c r="D386" s="36" t="s">
        <v>69</v>
      </c>
      <c r="E386" s="48">
        <v>38078.0</v>
      </c>
      <c r="F386" s="17">
        <f t="shared" si="52"/>
        <v>22.28287297</v>
      </c>
      <c r="G386" s="18">
        <v>326.0</v>
      </c>
      <c r="H386" s="9">
        <f t="shared" si="55"/>
        <v>-42</v>
      </c>
      <c r="I386" s="47" t="s">
        <v>819</v>
      </c>
    </row>
    <row r="387">
      <c r="A387" s="5">
        <v>369.0</v>
      </c>
      <c r="B387" s="63" t="s">
        <v>829</v>
      </c>
      <c r="C387" s="63" t="s">
        <v>573</v>
      </c>
      <c r="D387" s="63" t="s">
        <v>106</v>
      </c>
      <c r="E387" s="64">
        <v>35502.0</v>
      </c>
      <c r="F387" s="8">
        <f t="shared" si="52"/>
        <v>29.3369863</v>
      </c>
      <c r="G387" s="65" t="s">
        <v>371</v>
      </c>
      <c r="H387" s="9" t="s">
        <v>371</v>
      </c>
      <c r="I387" s="66" t="s">
        <v>830</v>
      </c>
    </row>
    <row r="388">
      <c r="A388" s="5">
        <v>370.0</v>
      </c>
      <c r="B388" s="15" t="s">
        <v>833</v>
      </c>
      <c r="C388" s="15" t="s">
        <v>14</v>
      </c>
      <c r="D388" s="36" t="s">
        <v>834</v>
      </c>
      <c r="E388" s="16">
        <v>36790.0</v>
      </c>
      <c r="F388" s="17">
        <f t="shared" si="52"/>
        <v>25.81019537</v>
      </c>
      <c r="G388" s="18">
        <v>431.0</v>
      </c>
      <c r="H388" s="9">
        <f t="shared" ref="H388:H395" si="56">MINUS(G388, A388)</f>
        <v>61</v>
      </c>
      <c r="I388" s="47" t="s">
        <v>835</v>
      </c>
    </row>
    <row r="389">
      <c r="A389" s="5">
        <v>371.0</v>
      </c>
      <c r="B389" s="6" t="s">
        <v>816</v>
      </c>
      <c r="C389" s="6" t="s">
        <v>10</v>
      </c>
      <c r="D389" s="35" t="s">
        <v>167</v>
      </c>
      <c r="E389" s="12">
        <v>36422.0</v>
      </c>
      <c r="F389" s="8">
        <f t="shared" si="52"/>
        <v>26.81643836</v>
      </c>
      <c r="G389" s="9">
        <v>367.0</v>
      </c>
      <c r="H389" s="9">
        <f t="shared" si="56"/>
        <v>-4</v>
      </c>
      <c r="I389" s="10" t="s">
        <v>1070</v>
      </c>
    </row>
    <row r="390">
      <c r="A390" s="5">
        <v>372.0</v>
      </c>
      <c r="B390" s="11" t="s">
        <v>931</v>
      </c>
      <c r="C390" s="11" t="s">
        <v>573</v>
      </c>
      <c r="D390" s="35" t="s">
        <v>932</v>
      </c>
      <c r="E390" s="12">
        <v>37177.0</v>
      </c>
      <c r="F390" s="8">
        <f t="shared" si="52"/>
        <v>24.75068493</v>
      </c>
      <c r="G390" s="9">
        <v>293.0</v>
      </c>
      <c r="H390" s="9">
        <f t="shared" si="56"/>
        <v>-79</v>
      </c>
      <c r="I390" s="13" t="s">
        <v>933</v>
      </c>
    </row>
    <row r="391">
      <c r="A391" s="5">
        <v>373.0</v>
      </c>
      <c r="B391" s="6" t="s">
        <v>823</v>
      </c>
      <c r="C391" s="6" t="s">
        <v>25</v>
      </c>
      <c r="D391" s="6" t="s">
        <v>128</v>
      </c>
      <c r="E391" s="12">
        <v>35042.0</v>
      </c>
      <c r="F391" s="8">
        <f t="shared" si="52"/>
        <v>30.59452055</v>
      </c>
      <c r="G391" s="9">
        <v>335.0</v>
      </c>
      <c r="H391" s="9">
        <f t="shared" si="56"/>
        <v>-38</v>
      </c>
      <c r="I391" s="10" t="s">
        <v>824</v>
      </c>
    </row>
    <row r="392">
      <c r="A392" s="5">
        <v>374.0</v>
      </c>
      <c r="B392" s="67" t="s">
        <v>876</v>
      </c>
      <c r="C392" s="62" t="s">
        <v>21</v>
      </c>
      <c r="D392" s="62" t="s">
        <v>877</v>
      </c>
      <c r="E392" s="12">
        <v>36669.0</v>
      </c>
      <c r="F392" s="8">
        <f t="shared" si="52"/>
        <v>26.14079647</v>
      </c>
      <c r="G392" s="9">
        <v>368.0</v>
      </c>
      <c r="H392" s="9">
        <f t="shared" si="56"/>
        <v>-6</v>
      </c>
      <c r="I392" s="10" t="s">
        <v>878</v>
      </c>
    </row>
    <row r="393">
      <c r="A393" s="5">
        <v>375.0</v>
      </c>
      <c r="B393" s="36" t="s">
        <v>857</v>
      </c>
      <c r="C393" s="36" t="s">
        <v>25</v>
      </c>
      <c r="D393" s="36" t="s">
        <v>128</v>
      </c>
      <c r="E393" s="48">
        <v>37032.0</v>
      </c>
      <c r="F393" s="17">
        <f t="shared" si="52"/>
        <v>25.14794521</v>
      </c>
      <c r="G393" s="18">
        <v>430.0</v>
      </c>
      <c r="H393" s="9">
        <f t="shared" si="56"/>
        <v>55</v>
      </c>
      <c r="I393" s="47" t="s">
        <v>858</v>
      </c>
    </row>
    <row r="394">
      <c r="A394" s="5">
        <v>376.0</v>
      </c>
      <c r="B394" s="6" t="s">
        <v>959</v>
      </c>
      <c r="C394" s="6" t="s">
        <v>36</v>
      </c>
      <c r="D394" s="35" t="s">
        <v>43</v>
      </c>
      <c r="E394" s="12">
        <v>36222.0</v>
      </c>
      <c r="F394" s="8">
        <f t="shared" si="52"/>
        <v>27.36438356</v>
      </c>
      <c r="G394" s="9">
        <v>319.0</v>
      </c>
      <c r="H394" s="9">
        <f t="shared" si="56"/>
        <v>-57</v>
      </c>
      <c r="I394" s="10" t="s">
        <v>960</v>
      </c>
    </row>
    <row r="395">
      <c r="A395" s="5">
        <v>377.0</v>
      </c>
      <c r="B395" s="6" t="s">
        <v>881</v>
      </c>
      <c r="C395" s="6" t="s">
        <v>36</v>
      </c>
      <c r="D395" s="35" t="s">
        <v>882</v>
      </c>
      <c r="E395" s="12">
        <v>36178.0</v>
      </c>
      <c r="F395" s="8">
        <f t="shared" si="52"/>
        <v>27.48493151</v>
      </c>
      <c r="G395" s="9">
        <v>350.0</v>
      </c>
      <c r="H395" s="9">
        <f t="shared" si="56"/>
        <v>-27</v>
      </c>
      <c r="I395" s="10" t="s">
        <v>883</v>
      </c>
    </row>
    <row r="396">
      <c r="A396" s="5">
        <v>378.0</v>
      </c>
      <c r="B396" s="35" t="s">
        <v>871</v>
      </c>
      <c r="C396" s="35" t="s">
        <v>36</v>
      </c>
      <c r="D396" s="35" t="s">
        <v>167</v>
      </c>
      <c r="E396" s="7">
        <v>36036.0</v>
      </c>
      <c r="F396" s="17">
        <f t="shared" si="52"/>
        <v>27.8739726</v>
      </c>
      <c r="G396" s="9" t="s">
        <v>371</v>
      </c>
      <c r="H396" s="9" t="s">
        <v>371</v>
      </c>
      <c r="I396" s="10" t="s">
        <v>872</v>
      </c>
    </row>
    <row r="397">
      <c r="A397" s="5">
        <v>379.0</v>
      </c>
      <c r="B397" s="6" t="s">
        <v>861</v>
      </c>
      <c r="C397" s="6" t="s">
        <v>36</v>
      </c>
      <c r="D397" s="35" t="s">
        <v>103</v>
      </c>
      <c r="E397" s="12">
        <v>36846.0</v>
      </c>
      <c r="F397" s="8">
        <f t="shared" si="52"/>
        <v>25.65718991</v>
      </c>
      <c r="G397" s="9">
        <v>389.0</v>
      </c>
      <c r="H397" s="9">
        <f t="shared" ref="H397:H412" si="57">MINUS(G397, A397)</f>
        <v>10</v>
      </c>
      <c r="I397" s="10" t="s">
        <v>862</v>
      </c>
    </row>
    <row r="398">
      <c r="A398" s="5">
        <v>380.0</v>
      </c>
      <c r="B398" s="6" t="s">
        <v>848</v>
      </c>
      <c r="C398" s="6" t="s">
        <v>21</v>
      </c>
      <c r="D398" s="35" t="s">
        <v>784</v>
      </c>
      <c r="E398" s="12">
        <v>33730.0</v>
      </c>
      <c r="F398" s="8">
        <f t="shared" si="52"/>
        <v>34.18724455</v>
      </c>
      <c r="G398" s="9">
        <v>339.0</v>
      </c>
      <c r="H398" s="9">
        <f t="shared" si="57"/>
        <v>-41</v>
      </c>
      <c r="I398" s="10" t="s">
        <v>849</v>
      </c>
    </row>
    <row r="399">
      <c r="A399" s="5">
        <v>381.0</v>
      </c>
      <c r="B399" s="6" t="s">
        <v>825</v>
      </c>
      <c r="C399" s="6" t="s">
        <v>25</v>
      </c>
      <c r="D399" s="6" t="s">
        <v>22</v>
      </c>
      <c r="E399" s="12">
        <v>37056.0</v>
      </c>
      <c r="F399" s="8">
        <f t="shared" si="52"/>
        <v>25.08219178</v>
      </c>
      <c r="G399" s="9">
        <v>317.0</v>
      </c>
      <c r="H399" s="9">
        <f t="shared" si="57"/>
        <v>-64</v>
      </c>
      <c r="I399" s="10" t="s">
        <v>826</v>
      </c>
    </row>
    <row r="400">
      <c r="A400" s="5">
        <v>382.0</v>
      </c>
      <c r="B400" s="6" t="s">
        <v>868</v>
      </c>
      <c r="C400" s="6" t="s">
        <v>869</v>
      </c>
      <c r="D400" s="6" t="s">
        <v>18</v>
      </c>
      <c r="E400" s="12">
        <v>36253.0</v>
      </c>
      <c r="F400" s="8">
        <f t="shared" si="52"/>
        <v>27.27945205</v>
      </c>
      <c r="G400" s="9">
        <v>392.0</v>
      </c>
      <c r="H400" s="9">
        <f t="shared" si="57"/>
        <v>10</v>
      </c>
      <c r="I400" s="10" t="s">
        <v>870</v>
      </c>
    </row>
    <row r="401">
      <c r="A401" s="5">
        <v>383.0</v>
      </c>
      <c r="B401" s="6" t="s">
        <v>859</v>
      </c>
      <c r="C401" s="6" t="s">
        <v>10</v>
      </c>
      <c r="D401" s="6" t="s">
        <v>43</v>
      </c>
      <c r="E401" s="12">
        <v>37569.0</v>
      </c>
      <c r="F401" s="8">
        <f t="shared" si="52"/>
        <v>23.67671233</v>
      </c>
      <c r="G401" s="9">
        <v>306.0</v>
      </c>
      <c r="H401" s="9">
        <f t="shared" si="57"/>
        <v>-77</v>
      </c>
      <c r="I401" s="10" t="s">
        <v>860</v>
      </c>
    </row>
    <row r="402">
      <c r="A402" s="5">
        <v>384.0</v>
      </c>
      <c r="B402" s="36" t="s">
        <v>838</v>
      </c>
      <c r="C402" s="14" t="s">
        <v>36</v>
      </c>
      <c r="D402" s="36" t="s">
        <v>90</v>
      </c>
      <c r="E402" s="48">
        <v>37594.0</v>
      </c>
      <c r="F402" s="17">
        <f t="shared" si="52"/>
        <v>23.60821918</v>
      </c>
      <c r="G402" s="18">
        <v>332.0</v>
      </c>
      <c r="H402" s="9">
        <f t="shared" si="57"/>
        <v>-52</v>
      </c>
      <c r="I402" s="47" t="s">
        <v>839</v>
      </c>
    </row>
    <row r="403">
      <c r="A403" s="5">
        <v>385.0</v>
      </c>
      <c r="B403" s="35" t="s">
        <v>846</v>
      </c>
      <c r="C403" s="35" t="s">
        <v>36</v>
      </c>
      <c r="D403" s="35" t="s">
        <v>82</v>
      </c>
      <c r="E403" s="7">
        <v>36239.0</v>
      </c>
      <c r="F403" s="8">
        <f t="shared" si="52"/>
        <v>27.31780822</v>
      </c>
      <c r="G403" s="9">
        <v>447.0</v>
      </c>
      <c r="H403" s="9">
        <f t="shared" si="57"/>
        <v>62</v>
      </c>
      <c r="I403" s="10" t="s">
        <v>847</v>
      </c>
    </row>
    <row r="404">
      <c r="A404" s="5">
        <v>386.0</v>
      </c>
      <c r="B404" s="36" t="s">
        <v>879</v>
      </c>
      <c r="C404" s="36" t="s">
        <v>10</v>
      </c>
      <c r="D404" s="36" t="s">
        <v>40</v>
      </c>
      <c r="E404" s="48">
        <v>37456.0</v>
      </c>
      <c r="F404" s="17">
        <f t="shared" si="52"/>
        <v>23.98630137</v>
      </c>
      <c r="G404" s="18">
        <v>324.0</v>
      </c>
      <c r="H404" s="9">
        <f t="shared" si="57"/>
        <v>-62</v>
      </c>
      <c r="I404" s="47" t="s">
        <v>880</v>
      </c>
    </row>
    <row r="405">
      <c r="A405" s="5">
        <v>387.0</v>
      </c>
      <c r="B405" s="6" t="s">
        <v>894</v>
      </c>
      <c r="C405" s="6" t="s">
        <v>36</v>
      </c>
      <c r="D405" s="6" t="s">
        <v>158</v>
      </c>
      <c r="E405" s="12">
        <v>35356.0</v>
      </c>
      <c r="F405" s="8">
        <f t="shared" si="52"/>
        <v>29.73642488</v>
      </c>
      <c r="G405" s="9">
        <v>333.0</v>
      </c>
      <c r="H405" s="9">
        <f t="shared" si="57"/>
        <v>-54</v>
      </c>
      <c r="I405" s="10" t="s">
        <v>895</v>
      </c>
    </row>
    <row r="406">
      <c r="A406" s="5">
        <v>388.0</v>
      </c>
      <c r="B406" s="6" t="s">
        <v>939</v>
      </c>
      <c r="C406" s="6" t="s">
        <v>10</v>
      </c>
      <c r="D406" s="35" t="s">
        <v>87</v>
      </c>
      <c r="E406" s="12">
        <v>35753.0</v>
      </c>
      <c r="F406" s="8">
        <f t="shared" si="52"/>
        <v>28.64931507</v>
      </c>
      <c r="G406" s="9">
        <v>407.0</v>
      </c>
      <c r="H406" s="9">
        <f t="shared" si="57"/>
        <v>19</v>
      </c>
      <c r="I406" s="10" t="s">
        <v>940</v>
      </c>
    </row>
    <row r="407">
      <c r="A407" s="5">
        <v>389.0</v>
      </c>
      <c r="B407" s="6" t="s">
        <v>949</v>
      </c>
      <c r="C407" s="6" t="s">
        <v>14</v>
      </c>
      <c r="D407" s="6" t="s">
        <v>106</v>
      </c>
      <c r="E407" s="12">
        <v>33762.0</v>
      </c>
      <c r="F407" s="8">
        <f t="shared" si="52"/>
        <v>34.09981286</v>
      </c>
      <c r="G407" s="9">
        <v>384.0</v>
      </c>
      <c r="H407" s="9">
        <f t="shared" si="57"/>
        <v>-5</v>
      </c>
      <c r="I407" s="10" t="s">
        <v>950</v>
      </c>
    </row>
    <row r="408">
      <c r="A408" s="5">
        <v>390.0</v>
      </c>
      <c r="B408" s="6" t="s">
        <v>909</v>
      </c>
      <c r="C408" s="6" t="s">
        <v>36</v>
      </c>
      <c r="D408" s="6" t="s">
        <v>26</v>
      </c>
      <c r="E408" s="12">
        <v>32912.0</v>
      </c>
      <c r="F408" s="17">
        <f t="shared" si="52"/>
        <v>36.42739726</v>
      </c>
      <c r="G408" s="9">
        <v>349.0</v>
      </c>
      <c r="H408" s="9">
        <f t="shared" si="57"/>
        <v>-41</v>
      </c>
      <c r="I408" s="10" t="s">
        <v>910</v>
      </c>
    </row>
    <row r="409">
      <c r="A409" s="5">
        <v>391.0</v>
      </c>
      <c r="B409" s="35" t="s">
        <v>941</v>
      </c>
      <c r="C409" s="35" t="s">
        <v>14</v>
      </c>
      <c r="D409" s="35" t="s">
        <v>942</v>
      </c>
      <c r="E409" s="7">
        <v>35250.0</v>
      </c>
      <c r="F409" s="8">
        <f t="shared" si="52"/>
        <v>30.02604237</v>
      </c>
      <c r="G409" s="9">
        <v>348.0</v>
      </c>
      <c r="H409" s="9">
        <f t="shared" si="57"/>
        <v>-43</v>
      </c>
      <c r="I409" s="10" t="s">
        <v>943</v>
      </c>
    </row>
    <row r="410">
      <c r="A410" s="5">
        <v>392.0</v>
      </c>
      <c r="B410" s="36" t="s">
        <v>985</v>
      </c>
      <c r="C410" s="36" t="s">
        <v>36</v>
      </c>
      <c r="D410" s="36" t="s">
        <v>111</v>
      </c>
      <c r="E410" s="48">
        <v>37566.0</v>
      </c>
      <c r="F410" s="17">
        <f t="shared" si="52"/>
        <v>23.68493151</v>
      </c>
      <c r="G410" s="18">
        <v>396.0</v>
      </c>
      <c r="H410" s="9">
        <f t="shared" si="57"/>
        <v>4</v>
      </c>
      <c r="I410" s="47" t="s">
        <v>986</v>
      </c>
    </row>
    <row r="411">
      <c r="A411" s="5">
        <v>393.0</v>
      </c>
      <c r="B411" s="36" t="s">
        <v>926</v>
      </c>
      <c r="C411" s="36" t="s">
        <v>21</v>
      </c>
      <c r="D411" s="15" t="s">
        <v>37</v>
      </c>
      <c r="E411" s="48">
        <v>38909.0</v>
      </c>
      <c r="F411" s="36">
        <v>19.2</v>
      </c>
      <c r="G411" s="18">
        <v>345.0</v>
      </c>
      <c r="H411" s="9">
        <f t="shared" si="57"/>
        <v>-48</v>
      </c>
      <c r="I411" s="47" t="s">
        <v>927</v>
      </c>
    </row>
    <row r="412">
      <c r="A412" s="5">
        <v>394.0</v>
      </c>
      <c r="B412" s="6" t="s">
        <v>921</v>
      </c>
      <c r="C412" s="6" t="s">
        <v>21</v>
      </c>
      <c r="D412" s="6" t="s">
        <v>213</v>
      </c>
      <c r="E412" s="12">
        <v>36088.0</v>
      </c>
      <c r="F412" s="8">
        <f t="shared" ref="F412:F425" si="58">YEARFRAC(E412, TODAY(),1)</f>
        <v>27.73150685</v>
      </c>
      <c r="G412" s="9">
        <v>402.0</v>
      </c>
      <c r="H412" s="9">
        <f t="shared" si="57"/>
        <v>8</v>
      </c>
      <c r="I412" s="10" t="s">
        <v>922</v>
      </c>
    </row>
    <row r="413">
      <c r="A413" s="5">
        <v>395.0</v>
      </c>
      <c r="B413" s="35" t="s">
        <v>901</v>
      </c>
      <c r="C413" s="35" t="s">
        <v>21</v>
      </c>
      <c r="D413" s="35" t="s">
        <v>176</v>
      </c>
      <c r="E413" s="7">
        <v>36827.0</v>
      </c>
      <c r="F413" s="8">
        <f t="shared" si="58"/>
        <v>25.70910248</v>
      </c>
      <c r="G413" s="9" t="s">
        <v>371</v>
      </c>
      <c r="H413" s="9" t="s">
        <v>371</v>
      </c>
      <c r="I413" s="10" t="s">
        <v>902</v>
      </c>
    </row>
    <row r="414">
      <c r="A414" s="5">
        <v>396.0</v>
      </c>
      <c r="B414" s="11" t="s">
        <v>934</v>
      </c>
      <c r="C414" s="11" t="s">
        <v>21</v>
      </c>
      <c r="D414" s="35" t="s">
        <v>935</v>
      </c>
      <c r="E414" s="12">
        <v>37357.0</v>
      </c>
      <c r="F414" s="8">
        <f t="shared" si="58"/>
        <v>24.25753425</v>
      </c>
      <c r="G414" s="9">
        <v>419.0</v>
      </c>
      <c r="H414" s="9">
        <f t="shared" ref="H414:H438" si="59">MINUS(G414, A414)</f>
        <v>23</v>
      </c>
      <c r="I414" s="10" t="s">
        <v>936</v>
      </c>
    </row>
    <row r="415">
      <c r="A415" s="5">
        <v>397.0</v>
      </c>
      <c r="B415" s="6" t="s">
        <v>928</v>
      </c>
      <c r="C415" s="6" t="s">
        <v>14</v>
      </c>
      <c r="D415" s="35" t="s">
        <v>929</v>
      </c>
      <c r="E415" s="12">
        <v>35118.0</v>
      </c>
      <c r="F415" s="8">
        <f t="shared" si="58"/>
        <v>30.38669811</v>
      </c>
      <c r="G415" s="9">
        <v>353.0</v>
      </c>
      <c r="H415" s="9">
        <f t="shared" si="59"/>
        <v>-44</v>
      </c>
      <c r="I415" s="10" t="s">
        <v>930</v>
      </c>
    </row>
    <row r="416">
      <c r="A416" s="5">
        <v>398.0</v>
      </c>
      <c r="B416" s="15" t="s">
        <v>937</v>
      </c>
      <c r="C416" s="11" t="s">
        <v>25</v>
      </c>
      <c r="D416" s="35" t="s">
        <v>915</v>
      </c>
      <c r="E416" s="12">
        <v>37146.0</v>
      </c>
      <c r="F416" s="8">
        <f t="shared" si="58"/>
        <v>24.83561644</v>
      </c>
      <c r="G416" s="9">
        <v>316.0</v>
      </c>
      <c r="H416" s="9">
        <f t="shared" si="59"/>
        <v>-82</v>
      </c>
      <c r="I416" s="10" t="s">
        <v>938</v>
      </c>
    </row>
    <row r="417">
      <c r="A417" s="5">
        <v>399.0</v>
      </c>
      <c r="B417" s="35" t="s">
        <v>855</v>
      </c>
      <c r="C417" s="6" t="s">
        <v>14</v>
      </c>
      <c r="D417" s="35" t="s">
        <v>111</v>
      </c>
      <c r="E417" s="7">
        <v>36338.0</v>
      </c>
      <c r="F417" s="8">
        <f t="shared" si="58"/>
        <v>27.04657534</v>
      </c>
      <c r="G417" s="9">
        <v>322.0</v>
      </c>
      <c r="H417" s="9">
        <f t="shared" si="59"/>
        <v>-77</v>
      </c>
      <c r="I417" s="10" t="s">
        <v>856</v>
      </c>
    </row>
    <row r="418">
      <c r="A418" s="5">
        <v>400.0</v>
      </c>
      <c r="B418" s="11" t="s">
        <v>843</v>
      </c>
      <c r="C418" s="11" t="s">
        <v>14</v>
      </c>
      <c r="D418" s="35" t="s">
        <v>844</v>
      </c>
      <c r="E418" s="12">
        <v>33939.0</v>
      </c>
      <c r="F418" s="8">
        <f t="shared" si="58"/>
        <v>33.6162063</v>
      </c>
      <c r="G418" s="9">
        <v>391.0</v>
      </c>
      <c r="H418" s="9">
        <f t="shared" si="59"/>
        <v>-9</v>
      </c>
      <c r="I418" s="55" t="s">
        <v>845</v>
      </c>
    </row>
    <row r="419">
      <c r="A419" s="5">
        <v>401.0</v>
      </c>
      <c r="B419" s="6" t="s">
        <v>953</v>
      </c>
      <c r="C419" s="6" t="s">
        <v>14</v>
      </c>
      <c r="D419" s="35" t="s">
        <v>932</v>
      </c>
      <c r="E419" s="12">
        <v>37300.0</v>
      </c>
      <c r="F419" s="8">
        <f t="shared" si="58"/>
        <v>24.41369863</v>
      </c>
      <c r="G419" s="9">
        <v>292.0</v>
      </c>
      <c r="H419" s="9">
        <f t="shared" si="59"/>
        <v>-109</v>
      </c>
      <c r="I419" s="13" t="s">
        <v>954</v>
      </c>
    </row>
    <row r="420">
      <c r="A420" s="5">
        <v>402.0</v>
      </c>
      <c r="B420" s="6" t="s">
        <v>965</v>
      </c>
      <c r="C420" s="6" t="s">
        <v>36</v>
      </c>
      <c r="D420" s="6" t="s">
        <v>18</v>
      </c>
      <c r="E420" s="12">
        <v>37000.0</v>
      </c>
      <c r="F420" s="8">
        <f t="shared" si="58"/>
        <v>25.23561644</v>
      </c>
      <c r="G420" s="9">
        <v>373.0</v>
      </c>
      <c r="H420" s="9">
        <f t="shared" si="59"/>
        <v>-29</v>
      </c>
      <c r="I420" s="10" t="s">
        <v>966</v>
      </c>
    </row>
    <row r="421">
      <c r="A421" s="5">
        <v>403.0</v>
      </c>
      <c r="B421" s="11" t="s">
        <v>884</v>
      </c>
      <c r="C421" s="11" t="s">
        <v>25</v>
      </c>
      <c r="D421" s="35" t="s">
        <v>885</v>
      </c>
      <c r="E421" s="12">
        <v>34415.0</v>
      </c>
      <c r="F421" s="8">
        <f t="shared" si="58"/>
        <v>32.31232877</v>
      </c>
      <c r="G421" s="9">
        <v>404.0</v>
      </c>
      <c r="H421" s="9">
        <f t="shared" si="59"/>
        <v>1</v>
      </c>
      <c r="I421" s="10" t="s">
        <v>886</v>
      </c>
    </row>
    <row r="422">
      <c r="A422" s="5">
        <v>404.0</v>
      </c>
      <c r="B422" s="15" t="s">
        <v>957</v>
      </c>
      <c r="C422" s="36" t="s">
        <v>267</v>
      </c>
      <c r="D422" s="36" t="s">
        <v>15</v>
      </c>
      <c r="E422" s="16">
        <v>34670.0</v>
      </c>
      <c r="F422" s="17">
        <f t="shared" si="58"/>
        <v>31.61369863</v>
      </c>
      <c r="G422" s="9">
        <v>439.0</v>
      </c>
      <c r="H422" s="9">
        <f t="shared" si="59"/>
        <v>35</v>
      </c>
      <c r="I422" s="47" t="s">
        <v>958</v>
      </c>
    </row>
    <row r="423" ht="30.0" customHeight="1">
      <c r="A423" s="5">
        <v>405.0</v>
      </c>
      <c r="B423" s="6" t="s">
        <v>972</v>
      </c>
      <c r="C423" s="6" t="s">
        <v>77</v>
      </c>
      <c r="D423" s="35" t="s">
        <v>932</v>
      </c>
      <c r="E423" s="12">
        <v>36768.0</v>
      </c>
      <c r="F423" s="8">
        <f t="shared" si="58"/>
        <v>25.87030466</v>
      </c>
      <c r="G423" s="9">
        <v>343.0</v>
      </c>
      <c r="H423" s="9">
        <f t="shared" si="59"/>
        <v>-62</v>
      </c>
      <c r="I423" s="10" t="s">
        <v>973</v>
      </c>
    </row>
    <row r="424">
      <c r="A424" s="5">
        <v>406.0</v>
      </c>
      <c r="B424" s="6" t="s">
        <v>889</v>
      </c>
      <c r="C424" s="6" t="s">
        <v>36</v>
      </c>
      <c r="D424" s="35" t="s">
        <v>890</v>
      </c>
      <c r="E424" s="12">
        <v>38138.0</v>
      </c>
      <c r="F424" s="8">
        <f t="shared" si="58"/>
        <v>22.11893854</v>
      </c>
      <c r="G424" s="9">
        <v>376.0</v>
      </c>
      <c r="H424" s="9">
        <f t="shared" si="59"/>
        <v>-30</v>
      </c>
      <c r="I424" s="10" t="s">
        <v>891</v>
      </c>
    </row>
    <row r="425">
      <c r="A425" s="5">
        <v>407.0</v>
      </c>
      <c r="B425" s="6" t="s">
        <v>903</v>
      </c>
      <c r="C425" s="6" t="s">
        <v>267</v>
      </c>
      <c r="D425" s="6" t="s">
        <v>69</v>
      </c>
      <c r="E425" s="12">
        <v>36870.0</v>
      </c>
      <c r="F425" s="17">
        <f t="shared" si="58"/>
        <v>25.59161614</v>
      </c>
      <c r="G425" s="9">
        <v>386.0</v>
      </c>
      <c r="H425" s="9">
        <f t="shared" si="59"/>
        <v>-21</v>
      </c>
      <c r="I425" s="10" t="s">
        <v>904</v>
      </c>
    </row>
    <row r="426">
      <c r="A426" s="5">
        <v>408.0</v>
      </c>
      <c r="B426" s="36" t="s">
        <v>905</v>
      </c>
      <c r="C426" s="36" t="s">
        <v>36</v>
      </c>
      <c r="D426" s="36" t="s">
        <v>114</v>
      </c>
      <c r="E426" s="48">
        <v>37088.0</v>
      </c>
      <c r="F426" s="36">
        <v>24.8</v>
      </c>
      <c r="G426" s="18">
        <v>378.0</v>
      </c>
      <c r="H426" s="9">
        <f t="shared" si="59"/>
        <v>-30</v>
      </c>
      <c r="I426" s="47" t="s">
        <v>906</v>
      </c>
    </row>
    <row r="427">
      <c r="A427" s="5">
        <v>409.0</v>
      </c>
      <c r="B427" s="35" t="s">
        <v>907</v>
      </c>
      <c r="C427" s="35" t="s">
        <v>573</v>
      </c>
      <c r="D427" s="35" t="s">
        <v>128</v>
      </c>
      <c r="E427" s="7">
        <v>35794.0</v>
      </c>
      <c r="F427" s="8">
        <f t="shared" ref="F427:F428" si="60">YEARFRAC(E427, TODAY(),1)</f>
        <v>28.5369863</v>
      </c>
      <c r="G427" s="9">
        <v>435.0</v>
      </c>
      <c r="H427" s="9">
        <f t="shared" si="59"/>
        <v>26</v>
      </c>
      <c r="I427" s="10" t="s">
        <v>908</v>
      </c>
    </row>
    <row r="428">
      <c r="A428" s="5">
        <v>410.0</v>
      </c>
      <c r="B428" s="36" t="s">
        <v>896</v>
      </c>
      <c r="C428" s="36" t="s">
        <v>14</v>
      </c>
      <c r="D428" s="36" t="s">
        <v>897</v>
      </c>
      <c r="E428" s="48">
        <v>37312.0</v>
      </c>
      <c r="F428" s="17">
        <f t="shared" si="60"/>
        <v>24.38082192</v>
      </c>
      <c r="G428" s="18">
        <v>307.0</v>
      </c>
      <c r="H428" s="9">
        <f t="shared" si="59"/>
        <v>-103</v>
      </c>
      <c r="I428" s="47" t="s">
        <v>898</v>
      </c>
    </row>
    <row r="429">
      <c r="A429" s="5">
        <v>411.0</v>
      </c>
      <c r="B429" s="36" t="s">
        <v>899</v>
      </c>
      <c r="C429" s="36" t="s">
        <v>573</v>
      </c>
      <c r="D429" s="15" t="s">
        <v>52</v>
      </c>
      <c r="E429" s="48">
        <v>37251.0</v>
      </c>
      <c r="F429" s="36">
        <v>23.8</v>
      </c>
      <c r="G429" s="18">
        <v>400.0</v>
      </c>
      <c r="H429" s="9">
        <f t="shared" si="59"/>
        <v>-11</v>
      </c>
      <c r="I429" s="47" t="s">
        <v>900</v>
      </c>
    </row>
    <row r="430">
      <c r="A430" s="5">
        <v>412.0</v>
      </c>
      <c r="B430" s="6" t="s">
        <v>1010</v>
      </c>
      <c r="C430" s="6" t="s">
        <v>36</v>
      </c>
      <c r="D430" s="35" t="s">
        <v>1011</v>
      </c>
      <c r="E430" s="12">
        <v>37878.0</v>
      </c>
      <c r="F430" s="8">
        <f t="shared" ref="F430:F432" si="61">YEARFRAC(E430, TODAY(),1)</f>
        <v>22.83013699</v>
      </c>
      <c r="G430" s="9">
        <v>369.0</v>
      </c>
      <c r="H430" s="9">
        <f t="shared" si="59"/>
        <v>-43</v>
      </c>
      <c r="I430" s="10" t="s">
        <v>1012</v>
      </c>
    </row>
    <row r="431">
      <c r="A431" s="5">
        <v>413.0</v>
      </c>
      <c r="B431" s="11" t="s">
        <v>1013</v>
      </c>
      <c r="C431" s="11" t="s">
        <v>36</v>
      </c>
      <c r="D431" s="11" t="s">
        <v>26</v>
      </c>
      <c r="E431" s="12">
        <v>34970.0</v>
      </c>
      <c r="F431" s="8">
        <f t="shared" si="61"/>
        <v>30.79178082</v>
      </c>
      <c r="G431" s="9">
        <v>420.0</v>
      </c>
      <c r="H431" s="9">
        <f t="shared" si="59"/>
        <v>7</v>
      </c>
      <c r="I431" s="10" t="s">
        <v>1014</v>
      </c>
    </row>
    <row r="432">
      <c r="A432" s="5">
        <v>414.0</v>
      </c>
      <c r="B432" s="6" t="s">
        <v>923</v>
      </c>
      <c r="C432" s="6" t="s">
        <v>14</v>
      </c>
      <c r="D432" s="35" t="s">
        <v>924</v>
      </c>
      <c r="E432" s="12">
        <v>32061.0</v>
      </c>
      <c r="F432" s="8">
        <f t="shared" si="61"/>
        <v>38.75616438</v>
      </c>
      <c r="G432" s="9">
        <v>395.0</v>
      </c>
      <c r="H432" s="9">
        <f t="shared" si="59"/>
        <v>-19</v>
      </c>
      <c r="I432" s="10" t="s">
        <v>925</v>
      </c>
    </row>
    <row r="433">
      <c r="A433" s="5">
        <v>415.0</v>
      </c>
      <c r="B433" s="36" t="s">
        <v>911</v>
      </c>
      <c r="C433" s="36" t="s">
        <v>36</v>
      </c>
      <c r="D433" s="36" t="s">
        <v>912</v>
      </c>
      <c r="E433" s="48">
        <v>36039.0</v>
      </c>
      <c r="F433" s="36">
        <v>24.8</v>
      </c>
      <c r="G433" s="18">
        <v>434.0</v>
      </c>
      <c r="H433" s="9">
        <f t="shared" si="59"/>
        <v>19</v>
      </c>
      <c r="I433" s="47" t="s">
        <v>913</v>
      </c>
    </row>
    <row r="434">
      <c r="A434" s="5">
        <v>416.0</v>
      </c>
      <c r="B434" s="6" t="s">
        <v>917</v>
      </c>
      <c r="C434" s="6" t="s">
        <v>36</v>
      </c>
      <c r="D434" s="35" t="s">
        <v>43</v>
      </c>
      <c r="E434" s="12">
        <v>33955.0</v>
      </c>
      <c r="F434" s="17">
        <f t="shared" ref="F434:F437" si="62">YEARFRAC(E434, TODAY(),1)</f>
        <v>33.57249046</v>
      </c>
      <c r="G434" s="9">
        <v>375.0</v>
      </c>
      <c r="H434" s="9">
        <f t="shared" si="59"/>
        <v>-41</v>
      </c>
      <c r="I434" s="10" t="s">
        <v>918</v>
      </c>
    </row>
    <row r="435">
      <c r="A435" s="5">
        <v>417.0</v>
      </c>
      <c r="B435" s="6" t="s">
        <v>873</v>
      </c>
      <c r="C435" s="6" t="s">
        <v>36</v>
      </c>
      <c r="D435" s="35" t="s">
        <v>874</v>
      </c>
      <c r="E435" s="12">
        <v>35493.0</v>
      </c>
      <c r="F435" s="8">
        <f t="shared" si="62"/>
        <v>29.36164384</v>
      </c>
      <c r="G435" s="9">
        <v>372.0</v>
      </c>
      <c r="H435" s="9">
        <f t="shared" si="59"/>
        <v>-45</v>
      </c>
      <c r="I435" s="10" t="s">
        <v>875</v>
      </c>
    </row>
    <row r="436">
      <c r="A436" s="5">
        <v>418.0</v>
      </c>
      <c r="B436" s="36" t="s">
        <v>951</v>
      </c>
      <c r="C436" s="36" t="s">
        <v>10</v>
      </c>
      <c r="D436" s="36" t="s">
        <v>66</v>
      </c>
      <c r="E436" s="48">
        <v>37802.0</v>
      </c>
      <c r="F436" s="17">
        <f t="shared" si="62"/>
        <v>23.03835616</v>
      </c>
      <c r="G436" s="18">
        <v>355.0</v>
      </c>
      <c r="H436" s="9">
        <f t="shared" si="59"/>
        <v>-63</v>
      </c>
      <c r="I436" s="47" t="s">
        <v>952</v>
      </c>
    </row>
    <row r="437">
      <c r="A437" s="5">
        <v>419.0</v>
      </c>
      <c r="B437" s="11" t="s">
        <v>887</v>
      </c>
      <c r="C437" s="11" t="s">
        <v>10</v>
      </c>
      <c r="D437" s="35" t="s">
        <v>841</v>
      </c>
      <c r="E437" s="12">
        <v>36839.0</v>
      </c>
      <c r="F437" s="8">
        <f t="shared" si="62"/>
        <v>25.67631559</v>
      </c>
      <c r="G437" s="9">
        <v>359.0</v>
      </c>
      <c r="H437" s="9">
        <f t="shared" si="59"/>
        <v>-60</v>
      </c>
      <c r="I437" s="10" t="s">
        <v>888</v>
      </c>
    </row>
    <row r="438">
      <c r="A438" s="5">
        <v>420.0</v>
      </c>
      <c r="B438" s="36" t="s">
        <v>970</v>
      </c>
      <c r="C438" s="36" t="s">
        <v>36</v>
      </c>
      <c r="D438" s="15" t="s">
        <v>29</v>
      </c>
      <c r="E438" s="48">
        <v>37244.0</v>
      </c>
      <c r="F438" s="36">
        <v>23.8</v>
      </c>
      <c r="G438" s="18">
        <v>424.0</v>
      </c>
      <c r="H438" s="9">
        <f t="shared" si="59"/>
        <v>4</v>
      </c>
      <c r="I438" s="47" t="s">
        <v>971</v>
      </c>
    </row>
    <row r="439">
      <c r="A439" s="5">
        <v>421.0</v>
      </c>
      <c r="B439" s="6" t="s">
        <v>919</v>
      </c>
      <c r="C439" s="6" t="s">
        <v>14</v>
      </c>
      <c r="D439" s="6" t="s">
        <v>55</v>
      </c>
      <c r="E439" s="12">
        <v>35338.0</v>
      </c>
      <c r="F439" s="8">
        <f t="shared" ref="F439:F440" si="63">YEARFRAC(E439, TODAY(),1)</f>
        <v>29.78560521</v>
      </c>
      <c r="G439" s="9" t="s">
        <v>371</v>
      </c>
      <c r="H439" s="9" t="s">
        <v>371</v>
      </c>
      <c r="I439" s="10" t="s">
        <v>920</v>
      </c>
    </row>
    <row r="440">
      <c r="A440" s="5">
        <v>422.0</v>
      </c>
      <c r="B440" s="6" t="s">
        <v>955</v>
      </c>
      <c r="C440" s="6" t="s">
        <v>573</v>
      </c>
      <c r="D440" s="6" t="s">
        <v>18</v>
      </c>
      <c r="E440" s="12">
        <v>38266.0</v>
      </c>
      <c r="F440" s="8">
        <f t="shared" si="63"/>
        <v>21.76921177</v>
      </c>
      <c r="G440" s="9">
        <v>399.0</v>
      </c>
      <c r="H440" s="9">
        <f t="shared" ref="H440:H468" si="64">MINUS(G440, A440)</f>
        <v>-23</v>
      </c>
      <c r="I440" s="10" t="s">
        <v>956</v>
      </c>
    </row>
    <row r="441">
      <c r="A441" s="5">
        <v>423.0</v>
      </c>
      <c r="B441" s="36" t="s">
        <v>947</v>
      </c>
      <c r="C441" s="36" t="s">
        <v>36</v>
      </c>
      <c r="D441" s="15" t="s">
        <v>15</v>
      </c>
      <c r="E441" s="48">
        <v>37317.0</v>
      </c>
      <c r="F441" s="36">
        <v>23.6</v>
      </c>
      <c r="G441" s="18">
        <v>370.0</v>
      </c>
      <c r="H441" s="9">
        <f t="shared" si="64"/>
        <v>-53</v>
      </c>
      <c r="I441" s="47" t="s">
        <v>948</v>
      </c>
    </row>
    <row r="442">
      <c r="A442" s="5">
        <v>424.0</v>
      </c>
      <c r="B442" s="36" t="s">
        <v>983</v>
      </c>
      <c r="C442" s="36" t="s">
        <v>36</v>
      </c>
      <c r="D442" s="36" t="s">
        <v>49</v>
      </c>
      <c r="E442" s="48">
        <v>37570.0</v>
      </c>
      <c r="F442" s="17">
        <f t="shared" ref="F442:F459" si="65">YEARFRAC(E442, TODAY(),1)</f>
        <v>23.6739726</v>
      </c>
      <c r="G442" s="18">
        <v>408.0</v>
      </c>
      <c r="H442" s="9">
        <f t="shared" si="64"/>
        <v>-16</v>
      </c>
      <c r="I442" s="47" t="s">
        <v>984</v>
      </c>
    </row>
    <row r="443">
      <c r="A443" s="5">
        <v>425.0</v>
      </c>
      <c r="B443" s="6" t="s">
        <v>967</v>
      </c>
      <c r="C443" s="6" t="s">
        <v>21</v>
      </c>
      <c r="D443" s="35" t="s">
        <v>968</v>
      </c>
      <c r="E443" s="12">
        <v>35763.0</v>
      </c>
      <c r="F443" s="8">
        <f t="shared" si="65"/>
        <v>28.62191781</v>
      </c>
      <c r="G443" s="9">
        <v>362.0</v>
      </c>
      <c r="H443" s="9">
        <f t="shared" si="64"/>
        <v>-63</v>
      </c>
      <c r="I443" s="10" t="s">
        <v>969</v>
      </c>
    </row>
    <row r="444">
      <c r="A444" s="5">
        <v>426.0</v>
      </c>
      <c r="B444" s="6" t="s">
        <v>1002</v>
      </c>
      <c r="C444" s="6" t="s">
        <v>36</v>
      </c>
      <c r="D444" s="35" t="s">
        <v>1003</v>
      </c>
      <c r="E444" s="12">
        <v>37442.0</v>
      </c>
      <c r="F444" s="8">
        <f t="shared" si="65"/>
        <v>24.02465753</v>
      </c>
      <c r="G444" s="9">
        <v>354.0</v>
      </c>
      <c r="H444" s="9">
        <f t="shared" si="64"/>
        <v>-72</v>
      </c>
      <c r="I444" s="10" t="s">
        <v>1004</v>
      </c>
    </row>
    <row r="445">
      <c r="A445" s="5">
        <v>427.0</v>
      </c>
      <c r="B445" s="35" t="s">
        <v>978</v>
      </c>
      <c r="C445" s="35" t="s">
        <v>573</v>
      </c>
      <c r="D445" s="35" t="s">
        <v>979</v>
      </c>
      <c r="E445" s="7">
        <v>36559.0</v>
      </c>
      <c r="F445" s="8">
        <f t="shared" si="65"/>
        <v>26.44134291</v>
      </c>
      <c r="G445" s="9">
        <v>379.0</v>
      </c>
      <c r="H445" s="9">
        <f t="shared" si="64"/>
        <v>-48</v>
      </c>
      <c r="I445" s="10" t="s">
        <v>980</v>
      </c>
    </row>
    <row r="446">
      <c r="A446" s="5">
        <v>428.0</v>
      </c>
      <c r="B446" s="6" t="s">
        <v>1019</v>
      </c>
      <c r="C446" s="6" t="s">
        <v>14</v>
      </c>
      <c r="D446" s="6" t="s">
        <v>90</v>
      </c>
      <c r="E446" s="12">
        <v>36925.0</v>
      </c>
      <c r="F446" s="8">
        <f t="shared" si="65"/>
        <v>25.44109589</v>
      </c>
      <c r="G446" s="9">
        <v>358.0</v>
      </c>
      <c r="H446" s="9">
        <f t="shared" si="64"/>
        <v>-70</v>
      </c>
      <c r="I446" s="10" t="s">
        <v>1020</v>
      </c>
    </row>
    <row r="447">
      <c r="A447" s="5">
        <v>429.0</v>
      </c>
      <c r="B447" s="11" t="s">
        <v>944</v>
      </c>
      <c r="C447" s="11" t="s">
        <v>25</v>
      </c>
      <c r="D447" s="35" t="s">
        <v>945</v>
      </c>
      <c r="E447" s="12">
        <v>34232.0</v>
      </c>
      <c r="F447" s="8">
        <f t="shared" si="65"/>
        <v>32.81369863</v>
      </c>
      <c r="G447" s="9">
        <v>409.0</v>
      </c>
      <c r="H447" s="9">
        <f t="shared" si="64"/>
        <v>-20</v>
      </c>
      <c r="I447" s="10" t="s">
        <v>946</v>
      </c>
    </row>
    <row r="448">
      <c r="A448" s="5">
        <v>430.0</v>
      </c>
      <c r="B448" s="6" t="s">
        <v>1005</v>
      </c>
      <c r="C448" s="6" t="s">
        <v>14</v>
      </c>
      <c r="D448" s="35" t="s">
        <v>1006</v>
      </c>
      <c r="E448" s="12">
        <v>38322.0</v>
      </c>
      <c r="F448" s="8">
        <f t="shared" si="65"/>
        <v>21.6162063</v>
      </c>
      <c r="G448" s="9">
        <v>387.0</v>
      </c>
      <c r="H448" s="9">
        <f t="shared" si="64"/>
        <v>-43</v>
      </c>
      <c r="I448" s="10" t="s">
        <v>1007</v>
      </c>
    </row>
    <row r="449">
      <c r="A449" s="5">
        <v>431.0</v>
      </c>
      <c r="B449" s="35" t="s">
        <v>963</v>
      </c>
      <c r="C449" s="35" t="s">
        <v>36</v>
      </c>
      <c r="D449" s="35" t="s">
        <v>29</v>
      </c>
      <c r="E449" s="7">
        <v>34173.0</v>
      </c>
      <c r="F449" s="8">
        <f t="shared" si="65"/>
        <v>32.97534247</v>
      </c>
      <c r="G449" s="9">
        <v>412.0</v>
      </c>
      <c r="H449" s="9">
        <f t="shared" si="64"/>
        <v>-19</v>
      </c>
      <c r="I449" s="10" t="s">
        <v>964</v>
      </c>
    </row>
    <row r="450">
      <c r="A450" s="5">
        <v>432.0</v>
      </c>
      <c r="B450" s="6" t="s">
        <v>961</v>
      </c>
      <c r="C450" s="6" t="s">
        <v>36</v>
      </c>
      <c r="D450" s="6" t="s">
        <v>46</v>
      </c>
      <c r="E450" s="12">
        <v>37088.0</v>
      </c>
      <c r="F450" s="8">
        <f t="shared" si="65"/>
        <v>24.99452055</v>
      </c>
      <c r="G450" s="9">
        <v>357.0</v>
      </c>
      <c r="H450" s="9">
        <f t="shared" si="64"/>
        <v>-75</v>
      </c>
      <c r="I450" s="10" t="s">
        <v>962</v>
      </c>
    </row>
    <row r="451">
      <c r="A451" s="5">
        <v>433.0</v>
      </c>
      <c r="B451" s="15" t="s">
        <v>999</v>
      </c>
      <c r="C451" s="36" t="s">
        <v>1000</v>
      </c>
      <c r="D451" s="36" t="s">
        <v>66</v>
      </c>
      <c r="E451" s="16">
        <v>38176.0</v>
      </c>
      <c r="F451" s="17">
        <f t="shared" si="65"/>
        <v>22.01511341</v>
      </c>
      <c r="G451" s="18">
        <v>329.0</v>
      </c>
      <c r="H451" s="9">
        <f t="shared" si="64"/>
        <v>-104</v>
      </c>
      <c r="I451" s="47" t="s">
        <v>1001</v>
      </c>
    </row>
    <row r="452">
      <c r="A452" s="5">
        <v>434.0</v>
      </c>
      <c r="B452" s="6" t="s">
        <v>996</v>
      </c>
      <c r="C452" s="35" t="s">
        <v>10</v>
      </c>
      <c r="D452" s="35" t="s">
        <v>997</v>
      </c>
      <c r="E452" s="12">
        <v>37193.0</v>
      </c>
      <c r="F452" s="8">
        <f t="shared" si="65"/>
        <v>24.70684932</v>
      </c>
      <c r="G452" s="9">
        <v>380.0</v>
      </c>
      <c r="H452" s="9">
        <f t="shared" si="64"/>
        <v>-54</v>
      </c>
      <c r="I452" s="10" t="s">
        <v>1071</v>
      </c>
    </row>
    <row r="453">
      <c r="A453" s="5">
        <v>435.0</v>
      </c>
      <c r="B453" s="14" t="s">
        <v>914</v>
      </c>
      <c r="C453" s="14" t="s">
        <v>36</v>
      </c>
      <c r="D453" s="36" t="s">
        <v>915</v>
      </c>
      <c r="E453" s="16">
        <v>36636.0</v>
      </c>
      <c r="F453" s="8">
        <f t="shared" si="65"/>
        <v>26.2309604</v>
      </c>
      <c r="G453" s="18">
        <v>374.0</v>
      </c>
      <c r="H453" s="9">
        <f t="shared" si="64"/>
        <v>-61</v>
      </c>
      <c r="I453" s="47" t="s">
        <v>916</v>
      </c>
    </row>
    <row r="454">
      <c r="A454" s="5">
        <v>436.0</v>
      </c>
      <c r="B454" s="36" t="s">
        <v>976</v>
      </c>
      <c r="C454" s="36" t="s">
        <v>14</v>
      </c>
      <c r="D454" s="36" t="s">
        <v>46</v>
      </c>
      <c r="E454" s="48">
        <v>36053.0</v>
      </c>
      <c r="F454" s="17">
        <f t="shared" si="65"/>
        <v>27.82739726</v>
      </c>
      <c r="G454" s="18">
        <v>401.0</v>
      </c>
      <c r="H454" s="9">
        <f t="shared" si="64"/>
        <v>-35</v>
      </c>
      <c r="I454" s="47" t="s">
        <v>977</v>
      </c>
    </row>
    <row r="455">
      <c r="A455" s="5">
        <v>437.0</v>
      </c>
      <c r="B455" s="35" t="s">
        <v>987</v>
      </c>
      <c r="C455" s="35" t="s">
        <v>21</v>
      </c>
      <c r="D455" s="35" t="s">
        <v>69</v>
      </c>
      <c r="E455" s="7">
        <v>35642.0</v>
      </c>
      <c r="F455" s="8">
        <f t="shared" si="65"/>
        <v>28.95342466</v>
      </c>
      <c r="G455" s="9">
        <v>415.0</v>
      </c>
      <c r="H455" s="9">
        <f t="shared" si="64"/>
        <v>-22</v>
      </c>
      <c r="I455" s="10" t="s">
        <v>988</v>
      </c>
    </row>
    <row r="456">
      <c r="A456" s="5">
        <v>438.0</v>
      </c>
      <c r="B456" s="14" t="s">
        <v>992</v>
      </c>
      <c r="C456" s="14" t="s">
        <v>25</v>
      </c>
      <c r="D456" s="14" t="s">
        <v>106</v>
      </c>
      <c r="E456" s="16">
        <v>38560.0</v>
      </c>
      <c r="F456" s="17">
        <f t="shared" si="65"/>
        <v>20.96438356</v>
      </c>
      <c r="G456" s="18">
        <v>377.0</v>
      </c>
      <c r="H456" s="9">
        <f t="shared" si="64"/>
        <v>-61</v>
      </c>
      <c r="I456" s="47" t="s">
        <v>993</v>
      </c>
    </row>
    <row r="457">
      <c r="A457" s="5">
        <v>439.0</v>
      </c>
      <c r="B457" s="11" t="s">
        <v>989</v>
      </c>
      <c r="C457" s="11" t="s">
        <v>10</v>
      </c>
      <c r="D457" s="35" t="s">
        <v>990</v>
      </c>
      <c r="E457" s="12">
        <v>33970.0</v>
      </c>
      <c r="F457" s="8">
        <f t="shared" si="65"/>
        <v>33.53150685</v>
      </c>
      <c r="G457" s="9">
        <v>446.0</v>
      </c>
      <c r="H457" s="9">
        <f t="shared" si="64"/>
        <v>7</v>
      </c>
      <c r="I457" s="10" t="s">
        <v>991</v>
      </c>
    </row>
    <row r="458">
      <c r="A458" s="5">
        <v>440.0</v>
      </c>
      <c r="B458" s="35" t="s">
        <v>1015</v>
      </c>
      <c r="C458" s="35" t="s">
        <v>25</v>
      </c>
      <c r="D458" s="35" t="s">
        <v>58</v>
      </c>
      <c r="E458" s="7">
        <v>35591.0</v>
      </c>
      <c r="F458" s="8">
        <f t="shared" si="65"/>
        <v>29.09315068</v>
      </c>
      <c r="G458" s="9">
        <v>365.0</v>
      </c>
      <c r="H458" s="9">
        <f t="shared" si="64"/>
        <v>-75</v>
      </c>
      <c r="I458" s="10" t="s">
        <v>1016</v>
      </c>
    </row>
    <row r="459">
      <c r="A459" s="5">
        <v>441.0</v>
      </c>
      <c r="B459" s="6" t="s">
        <v>974</v>
      </c>
      <c r="C459" s="6" t="s">
        <v>25</v>
      </c>
      <c r="D459" s="6" t="s">
        <v>82</v>
      </c>
      <c r="E459" s="12">
        <v>35706.0</v>
      </c>
      <c r="F459" s="8">
        <f t="shared" si="65"/>
        <v>28.77808219</v>
      </c>
      <c r="G459" s="9">
        <v>406.0</v>
      </c>
      <c r="H459" s="9">
        <f t="shared" si="64"/>
        <v>-35</v>
      </c>
      <c r="I459" s="10" t="s">
        <v>975</v>
      </c>
    </row>
    <row r="460">
      <c r="A460" s="5">
        <v>442.0</v>
      </c>
      <c r="B460" s="36" t="s">
        <v>981</v>
      </c>
      <c r="C460" s="36" t="s">
        <v>25</v>
      </c>
      <c r="D460" s="36" t="s">
        <v>176</v>
      </c>
      <c r="E460" s="48">
        <v>38112.0</v>
      </c>
      <c r="F460" s="36">
        <v>21.4</v>
      </c>
      <c r="G460" s="18">
        <v>410.0</v>
      </c>
      <c r="H460" s="9">
        <f t="shared" si="64"/>
        <v>-32</v>
      </c>
      <c r="I460" s="47" t="s">
        <v>982</v>
      </c>
    </row>
    <row r="461">
      <c r="A461" s="5">
        <v>443.0</v>
      </c>
      <c r="B461" s="11" t="s">
        <v>1027</v>
      </c>
      <c r="C461" s="11" t="s">
        <v>25</v>
      </c>
      <c r="D461" s="35" t="s">
        <v>49</v>
      </c>
      <c r="E461" s="12">
        <v>37440.0</v>
      </c>
      <c r="F461" s="8">
        <f t="shared" ref="F461:F465" si="66">YEARFRAC(E461, TODAY(),1)</f>
        <v>24.03013699</v>
      </c>
      <c r="G461" s="9">
        <v>432.0</v>
      </c>
      <c r="H461" s="9">
        <f t="shared" si="64"/>
        <v>-11</v>
      </c>
      <c r="I461" s="10" t="s">
        <v>1028</v>
      </c>
    </row>
    <row r="462">
      <c r="A462" s="5">
        <v>444.0</v>
      </c>
      <c r="B462" s="11" t="s">
        <v>1008</v>
      </c>
      <c r="C462" s="11" t="s">
        <v>25</v>
      </c>
      <c r="D462" s="35" t="s">
        <v>527</v>
      </c>
      <c r="E462" s="12">
        <v>36757.0</v>
      </c>
      <c r="F462" s="8">
        <f t="shared" si="66"/>
        <v>25.90035931</v>
      </c>
      <c r="G462" s="9">
        <v>397.0</v>
      </c>
      <c r="H462" s="9">
        <f t="shared" si="64"/>
        <v>-47</v>
      </c>
      <c r="I462" s="10" t="s">
        <v>1009</v>
      </c>
    </row>
    <row r="463">
      <c r="A463" s="5">
        <v>445.0</v>
      </c>
      <c r="B463" s="6" t="s">
        <v>1029</v>
      </c>
      <c r="C463" s="6" t="s">
        <v>25</v>
      </c>
      <c r="D463" s="35" t="s">
        <v>915</v>
      </c>
      <c r="E463" s="12">
        <v>36834.0</v>
      </c>
      <c r="F463" s="8">
        <f t="shared" si="66"/>
        <v>25.68997679</v>
      </c>
      <c r="G463" s="9">
        <v>416.0</v>
      </c>
      <c r="H463" s="9">
        <f t="shared" si="64"/>
        <v>-29</v>
      </c>
      <c r="I463" s="10" t="s">
        <v>1030</v>
      </c>
    </row>
    <row r="464">
      <c r="A464" s="5">
        <v>446.0</v>
      </c>
      <c r="B464" s="11" t="s">
        <v>1025</v>
      </c>
      <c r="C464" s="11" t="s">
        <v>14</v>
      </c>
      <c r="D464" s="35" t="s">
        <v>932</v>
      </c>
      <c r="E464" s="12">
        <v>35730.0</v>
      </c>
      <c r="F464" s="8">
        <f t="shared" si="66"/>
        <v>28.71232877</v>
      </c>
      <c r="G464" s="9">
        <v>356.0</v>
      </c>
      <c r="H464" s="9">
        <f t="shared" si="64"/>
        <v>-90</v>
      </c>
      <c r="I464" s="10" t="s">
        <v>1026</v>
      </c>
    </row>
    <row r="465">
      <c r="A465" s="5">
        <v>447.0</v>
      </c>
      <c r="B465" s="15" t="s">
        <v>994</v>
      </c>
      <c r="C465" s="11" t="s">
        <v>10</v>
      </c>
      <c r="D465" s="35" t="s">
        <v>52</v>
      </c>
      <c r="E465" s="12">
        <v>36578.0</v>
      </c>
      <c r="F465" s="8">
        <f t="shared" si="66"/>
        <v>26.38943035</v>
      </c>
      <c r="G465" s="9">
        <v>414.0</v>
      </c>
      <c r="H465" s="9">
        <f t="shared" si="64"/>
        <v>-33</v>
      </c>
      <c r="I465" s="10" t="s">
        <v>995</v>
      </c>
    </row>
    <row r="466">
      <c r="A466" s="5">
        <v>448.0</v>
      </c>
      <c r="B466" s="36" t="s">
        <v>1021</v>
      </c>
      <c r="C466" s="36" t="s">
        <v>573</v>
      </c>
      <c r="D466" s="36" t="s">
        <v>46</v>
      </c>
      <c r="E466" s="48">
        <v>37314.0</v>
      </c>
      <c r="F466" s="36">
        <v>23.6</v>
      </c>
      <c r="G466" s="18">
        <v>440.0</v>
      </c>
      <c r="H466" s="9">
        <f t="shared" si="64"/>
        <v>-8</v>
      </c>
      <c r="I466" s="47" t="s">
        <v>1022</v>
      </c>
    </row>
    <row r="467">
      <c r="A467" s="5">
        <v>449.0</v>
      </c>
      <c r="B467" s="6" t="s">
        <v>1017</v>
      </c>
      <c r="C467" s="6" t="s">
        <v>183</v>
      </c>
      <c r="D467" s="6" t="s">
        <v>11</v>
      </c>
      <c r="E467" s="12">
        <v>38142.0</v>
      </c>
      <c r="F467" s="8">
        <f t="shared" ref="F467:F468" si="67">YEARFRAC(E467, TODAY(),1)</f>
        <v>22.10800958</v>
      </c>
      <c r="G467" s="9">
        <v>444.0</v>
      </c>
      <c r="H467" s="9">
        <f t="shared" si="64"/>
        <v>-5</v>
      </c>
      <c r="I467" s="10" t="s">
        <v>1018</v>
      </c>
    </row>
    <row r="468">
      <c r="A468" s="5">
        <v>450.0</v>
      </c>
      <c r="B468" s="11" t="s">
        <v>1023</v>
      </c>
      <c r="C468" s="11" t="s">
        <v>21</v>
      </c>
      <c r="D468" s="11" t="s">
        <v>55</v>
      </c>
      <c r="E468" s="12">
        <v>34472.0</v>
      </c>
      <c r="F468" s="8">
        <f t="shared" si="67"/>
        <v>32.15616438</v>
      </c>
      <c r="G468" s="9">
        <v>394.0</v>
      </c>
      <c r="H468" s="9">
        <f t="shared" si="64"/>
        <v>-56</v>
      </c>
      <c r="I468" s="10" t="s">
        <v>1024</v>
      </c>
    </row>
  </sheetData>
  <mergeCells count="1">
    <mergeCell ref="A1:I1"/>
  </mergeCells>
  <conditionalFormatting sqref="H3:H468">
    <cfRule type="colorScale" priority="1">
      <colorScale>
        <cfvo type="min"/>
        <cfvo type="formula" val="0"/>
        <cfvo type="max"/>
        <color rgb="FFE67C73"/>
        <color rgb="FFFFFFFF"/>
        <color rgb="FF57BB8A"/>
      </colorScale>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68"/>
    </row>
    <row r="2" ht="22.5" customHeight="1">
      <c r="A2" s="2" t="s">
        <v>0</v>
      </c>
      <c r="B2" s="2" t="s">
        <v>1072</v>
      </c>
      <c r="C2" s="2" t="s">
        <v>1073</v>
      </c>
      <c r="D2" s="2" t="s">
        <v>1</v>
      </c>
      <c r="E2" s="2" t="s">
        <v>1074</v>
      </c>
      <c r="F2" s="2" t="s">
        <v>1075</v>
      </c>
      <c r="G2" s="3" t="s">
        <v>1076</v>
      </c>
      <c r="H2" s="69" t="s">
        <v>1077</v>
      </c>
      <c r="I2" s="69" t="s">
        <v>1078</v>
      </c>
      <c r="J2" s="2" t="s">
        <v>4</v>
      </c>
      <c r="K2" s="4" t="s">
        <v>1079</v>
      </c>
      <c r="L2" s="4" t="s">
        <v>5</v>
      </c>
      <c r="M2" s="2" t="s">
        <v>1080</v>
      </c>
      <c r="N2" s="2" t="s">
        <v>7</v>
      </c>
      <c r="O2" s="2" t="s">
        <v>1081</v>
      </c>
      <c r="P2" s="2" t="s">
        <v>1082</v>
      </c>
      <c r="Q2" s="2" t="s">
        <v>1083</v>
      </c>
      <c r="R2" s="2" t="s">
        <v>1084</v>
      </c>
      <c r="S2" s="2" t="s">
        <v>1085</v>
      </c>
      <c r="T2" s="2" t="s">
        <v>1086</v>
      </c>
      <c r="U2" s="2" t="s">
        <v>1087</v>
      </c>
      <c r="V2" s="2" t="s">
        <v>1088</v>
      </c>
      <c r="W2" s="2" t="s">
        <v>1089</v>
      </c>
      <c r="X2" s="2" t="s">
        <v>1090</v>
      </c>
      <c r="Y2" s="2" t="s">
        <v>1091</v>
      </c>
      <c r="Z2" s="2" t="s">
        <v>1092</v>
      </c>
      <c r="AA2" s="2" t="s">
        <v>1093</v>
      </c>
    </row>
    <row r="3">
      <c r="A3" s="70">
        <v>1.0</v>
      </c>
      <c r="B3" s="71" t="s">
        <v>1094</v>
      </c>
      <c r="C3" s="72">
        <v>1.0</v>
      </c>
      <c r="D3" s="73" t="s">
        <v>1095</v>
      </c>
      <c r="E3" s="74" t="s">
        <v>267</v>
      </c>
      <c r="F3" s="74" t="s">
        <v>1096</v>
      </c>
      <c r="G3" s="74" t="s">
        <v>49</v>
      </c>
      <c r="H3" s="74">
        <v>1.03</v>
      </c>
      <c r="I3" s="74" t="s">
        <v>1097</v>
      </c>
      <c r="J3" s="75">
        <v>39281.0</v>
      </c>
      <c r="K3" s="76" t="s">
        <v>1098</v>
      </c>
      <c r="L3" s="77">
        <f t="shared" ref="L3:L72" si="1">YEARFRAC(J3, TODAY(),1)</f>
        <v>18.9890411</v>
      </c>
      <c r="M3" s="78"/>
      <c r="N3" s="78">
        <v>7.0</v>
      </c>
      <c r="O3" s="79" t="s">
        <v>1099</v>
      </c>
      <c r="P3" s="74">
        <v>38.0</v>
      </c>
      <c r="Q3" s="74">
        <v>33.4</v>
      </c>
      <c r="R3" s="74">
        <v>55.6</v>
      </c>
      <c r="S3" s="74">
        <v>22.5</v>
      </c>
      <c r="T3" s="74">
        <v>3.6</v>
      </c>
      <c r="U3" s="74">
        <v>1.4</v>
      </c>
      <c r="V3" s="74">
        <v>10.2</v>
      </c>
      <c r="W3" s="74">
        <v>4.1</v>
      </c>
      <c r="X3" s="74">
        <v>1.4</v>
      </c>
      <c r="Y3" s="74">
        <v>0.6</v>
      </c>
      <c r="Z3" s="74">
        <v>2.5</v>
      </c>
      <c r="AA3" s="80">
        <v>78.9</v>
      </c>
    </row>
    <row r="4">
      <c r="A4" s="81">
        <v>2.0</v>
      </c>
      <c r="B4" s="82" t="s">
        <v>1094</v>
      </c>
      <c r="C4" s="83">
        <v>1.5</v>
      </c>
      <c r="D4" s="84" t="s">
        <v>1100</v>
      </c>
      <c r="E4" s="85" t="s">
        <v>1101</v>
      </c>
      <c r="F4" s="85" t="s">
        <v>1102</v>
      </c>
      <c r="G4" s="85" t="s">
        <v>58</v>
      </c>
      <c r="H4" s="85">
        <v>1.02</v>
      </c>
      <c r="I4" s="85" t="s">
        <v>1097</v>
      </c>
      <c r="J4" s="86">
        <v>39099.0</v>
      </c>
      <c r="K4" s="87" t="s">
        <v>1098</v>
      </c>
      <c r="L4" s="88">
        <f t="shared" si="1"/>
        <v>19.48767123</v>
      </c>
      <c r="M4" s="89">
        <v>18.0</v>
      </c>
      <c r="N4" s="90">
        <v>-1.0</v>
      </c>
      <c r="O4" s="91" t="s">
        <v>1103</v>
      </c>
      <c r="P4" s="85">
        <v>24.0</v>
      </c>
      <c r="Q4" s="85">
        <v>29.0</v>
      </c>
      <c r="R4" s="85">
        <v>43.8</v>
      </c>
      <c r="S4" s="85">
        <v>20.2</v>
      </c>
      <c r="T4" s="85">
        <v>6.9</v>
      </c>
      <c r="U4" s="85">
        <v>2.6</v>
      </c>
      <c r="V4" s="85">
        <v>4.2</v>
      </c>
      <c r="W4" s="85">
        <v>1.6</v>
      </c>
      <c r="X4" s="85">
        <v>1.4</v>
      </c>
      <c r="Y4" s="85">
        <v>0.6</v>
      </c>
      <c r="Z4" s="85">
        <v>1.6</v>
      </c>
      <c r="AA4" s="92">
        <v>82.6</v>
      </c>
    </row>
    <row r="5">
      <c r="A5" s="81">
        <v>3.0</v>
      </c>
      <c r="B5" s="82" t="s">
        <v>1094</v>
      </c>
      <c r="C5" s="83">
        <v>1.5</v>
      </c>
      <c r="D5" s="84" t="s">
        <v>1104</v>
      </c>
      <c r="E5" s="85" t="s">
        <v>77</v>
      </c>
      <c r="F5" s="85" t="s">
        <v>1105</v>
      </c>
      <c r="G5" s="85" t="s">
        <v>66</v>
      </c>
      <c r="H5" s="85">
        <v>1.01</v>
      </c>
      <c r="I5" s="85" t="s">
        <v>1097</v>
      </c>
      <c r="J5" s="86">
        <v>39111.0</v>
      </c>
      <c r="K5" s="87" t="s">
        <v>1098</v>
      </c>
      <c r="L5" s="88">
        <f t="shared" si="1"/>
        <v>19.45479452</v>
      </c>
      <c r="M5" s="89">
        <v>30.0</v>
      </c>
      <c r="N5" s="89">
        <v>0.0</v>
      </c>
      <c r="O5" s="91" t="s">
        <v>1106</v>
      </c>
      <c r="P5" s="93">
        <v>35.0</v>
      </c>
      <c r="Q5" s="93">
        <v>34.8</v>
      </c>
      <c r="R5" s="93">
        <v>51.0</v>
      </c>
      <c r="S5" s="93">
        <v>25.5</v>
      </c>
      <c r="T5" s="93">
        <v>4.2</v>
      </c>
      <c r="U5" s="93">
        <v>1.4</v>
      </c>
      <c r="V5" s="93">
        <v>6.8</v>
      </c>
      <c r="W5" s="93">
        <v>3.7</v>
      </c>
      <c r="X5" s="93">
        <v>1.1</v>
      </c>
      <c r="Y5" s="93">
        <v>0.3</v>
      </c>
      <c r="Z5" s="93">
        <v>3.1</v>
      </c>
      <c r="AA5" s="94">
        <v>77.4</v>
      </c>
    </row>
    <row r="6">
      <c r="A6" s="95">
        <v>4.0</v>
      </c>
      <c r="B6" s="96" t="s">
        <v>1094</v>
      </c>
      <c r="C6" s="97">
        <v>1.5</v>
      </c>
      <c r="D6" s="98" t="s">
        <v>1107</v>
      </c>
      <c r="E6" s="99" t="s">
        <v>10</v>
      </c>
      <c r="F6" s="99" t="s">
        <v>1108</v>
      </c>
      <c r="G6" s="99" t="s">
        <v>87</v>
      </c>
      <c r="H6" s="99">
        <v>1.04</v>
      </c>
      <c r="I6" s="99" t="s">
        <v>1097</v>
      </c>
      <c r="J6" s="100">
        <v>38916.0</v>
      </c>
      <c r="K6" s="101" t="s">
        <v>1098</v>
      </c>
      <c r="L6" s="102">
        <f t="shared" si="1"/>
        <v>19.9890411</v>
      </c>
      <c r="M6" s="103">
        <v>53.0</v>
      </c>
      <c r="N6" s="103">
        <v>0.0</v>
      </c>
      <c r="O6" s="104" t="s">
        <v>1109</v>
      </c>
      <c r="P6" s="99">
        <v>24.0</v>
      </c>
      <c r="Q6" s="99">
        <v>31.3</v>
      </c>
      <c r="R6" s="99">
        <v>57.8</v>
      </c>
      <c r="S6" s="99">
        <v>19.8</v>
      </c>
      <c r="T6" s="99">
        <v>1.1</v>
      </c>
      <c r="U6" s="99">
        <v>0.3</v>
      </c>
      <c r="V6" s="99">
        <v>9.4</v>
      </c>
      <c r="W6" s="99">
        <v>2.7</v>
      </c>
      <c r="X6" s="99">
        <v>1.5</v>
      </c>
      <c r="Y6" s="99">
        <v>1.4</v>
      </c>
      <c r="Z6" s="99">
        <v>2.0</v>
      </c>
      <c r="AA6" s="105">
        <v>71.3</v>
      </c>
    </row>
    <row r="7">
      <c r="A7" s="106">
        <v>5.0</v>
      </c>
      <c r="B7" s="107" t="s">
        <v>1094</v>
      </c>
      <c r="C7" s="108">
        <v>2.0</v>
      </c>
      <c r="D7" s="109" t="s">
        <v>1110</v>
      </c>
      <c r="E7" s="110" t="s">
        <v>1101</v>
      </c>
      <c r="F7" s="110" t="s">
        <v>1111</v>
      </c>
      <c r="G7" s="110" t="s">
        <v>98</v>
      </c>
      <c r="H7" s="110">
        <v>1.05</v>
      </c>
      <c r="I7" s="110" t="s">
        <v>1097</v>
      </c>
      <c r="J7" s="111">
        <v>39116.0</v>
      </c>
      <c r="K7" s="112" t="s">
        <v>1098</v>
      </c>
      <c r="L7" s="113">
        <f t="shared" si="1"/>
        <v>19.44109589</v>
      </c>
      <c r="M7" s="114"/>
      <c r="N7" s="114"/>
      <c r="O7" s="115" t="s">
        <v>1112</v>
      </c>
      <c r="P7" s="110">
        <v>37.0</v>
      </c>
      <c r="Q7" s="110">
        <v>33.9</v>
      </c>
      <c r="R7" s="110">
        <v>44.5</v>
      </c>
      <c r="S7" s="110">
        <v>17.9</v>
      </c>
      <c r="T7" s="110">
        <v>5.9</v>
      </c>
      <c r="U7" s="110">
        <v>2.4</v>
      </c>
      <c r="V7" s="110">
        <v>5.1</v>
      </c>
      <c r="W7" s="110">
        <v>4.2</v>
      </c>
      <c r="X7" s="110">
        <v>0.9</v>
      </c>
      <c r="Y7" s="110">
        <v>0.4</v>
      </c>
      <c r="Z7" s="110">
        <v>1.8</v>
      </c>
      <c r="AA7" s="116">
        <v>79.6</v>
      </c>
    </row>
    <row r="8">
      <c r="A8" s="106">
        <v>6.0</v>
      </c>
      <c r="B8" s="107" t="s">
        <v>1094</v>
      </c>
      <c r="C8" s="108">
        <v>2.5</v>
      </c>
      <c r="D8" s="109" t="s">
        <v>1113</v>
      </c>
      <c r="E8" s="117" t="s">
        <v>14</v>
      </c>
      <c r="F8" s="110" t="s">
        <v>1114</v>
      </c>
      <c r="G8" s="110" t="s">
        <v>158</v>
      </c>
      <c r="H8" s="110">
        <v>1.06</v>
      </c>
      <c r="I8" s="110" t="s">
        <v>1097</v>
      </c>
      <c r="J8" s="118">
        <v>38810.0</v>
      </c>
      <c r="K8" s="112" t="s">
        <v>1098</v>
      </c>
      <c r="L8" s="113">
        <f t="shared" si="1"/>
        <v>20.27945205</v>
      </c>
      <c r="M8" s="119">
        <v>58.0</v>
      </c>
      <c r="N8" s="119">
        <v>0.0</v>
      </c>
      <c r="O8" s="115" t="s">
        <v>1115</v>
      </c>
      <c r="P8" s="110">
        <v>21.0</v>
      </c>
      <c r="Q8" s="110">
        <v>29.2</v>
      </c>
      <c r="R8" s="110">
        <v>41.0</v>
      </c>
      <c r="S8" s="110">
        <v>18.2</v>
      </c>
      <c r="T8" s="110">
        <v>7.6</v>
      </c>
      <c r="U8" s="110">
        <v>2.6</v>
      </c>
      <c r="V8" s="110">
        <v>3.3</v>
      </c>
      <c r="W8" s="110">
        <v>4.7</v>
      </c>
      <c r="X8" s="110">
        <v>1.2</v>
      </c>
      <c r="Y8" s="110">
        <v>0.1</v>
      </c>
      <c r="Z8" s="110">
        <v>3.1</v>
      </c>
      <c r="AA8" s="116">
        <v>84.4</v>
      </c>
    </row>
    <row r="9">
      <c r="A9" s="106">
        <v>7.0</v>
      </c>
      <c r="B9" s="107" t="s">
        <v>1094</v>
      </c>
      <c r="C9" s="108">
        <v>2.5</v>
      </c>
      <c r="D9" s="109" t="s">
        <v>1116</v>
      </c>
      <c r="E9" s="110" t="s">
        <v>14</v>
      </c>
      <c r="F9" s="110" t="s">
        <v>1117</v>
      </c>
      <c r="G9" s="110" t="s">
        <v>167</v>
      </c>
      <c r="H9" s="110">
        <v>1.07</v>
      </c>
      <c r="I9" s="110" t="s">
        <v>1097</v>
      </c>
      <c r="J9" s="111">
        <v>39037.0</v>
      </c>
      <c r="K9" s="112" t="s">
        <v>1098</v>
      </c>
      <c r="L9" s="113">
        <f t="shared" si="1"/>
        <v>19.65753425</v>
      </c>
      <c r="M9" s="119"/>
      <c r="N9" s="119"/>
      <c r="O9" s="115" t="s">
        <v>1118</v>
      </c>
      <c r="P9" s="110">
        <v>36.0</v>
      </c>
      <c r="Q9" s="110">
        <v>35.1</v>
      </c>
      <c r="R9" s="110">
        <v>48.4</v>
      </c>
      <c r="S9" s="110">
        <v>23.5</v>
      </c>
      <c r="T9" s="110">
        <v>5.8</v>
      </c>
      <c r="U9" s="110">
        <v>2.5</v>
      </c>
      <c r="V9" s="110">
        <v>3.1</v>
      </c>
      <c r="W9" s="110">
        <v>6.4</v>
      </c>
      <c r="X9" s="110">
        <v>0.8</v>
      </c>
      <c r="Y9" s="110">
        <v>0.3</v>
      </c>
      <c r="Z9" s="110">
        <v>2.2</v>
      </c>
      <c r="AA9" s="116">
        <v>80.9</v>
      </c>
    </row>
    <row r="10">
      <c r="A10" s="106">
        <v>8.0</v>
      </c>
      <c r="B10" s="107" t="s">
        <v>1094</v>
      </c>
      <c r="C10" s="108">
        <v>2.5</v>
      </c>
      <c r="D10" s="109" t="s">
        <v>1119</v>
      </c>
      <c r="E10" s="110" t="s">
        <v>14</v>
      </c>
      <c r="F10" s="110" t="s">
        <v>1120</v>
      </c>
      <c r="G10" s="110" t="s">
        <v>43</v>
      </c>
      <c r="H10" s="110">
        <v>1.08</v>
      </c>
      <c r="I10" s="110" t="s">
        <v>1097</v>
      </c>
      <c r="J10" s="111">
        <v>39112.0</v>
      </c>
      <c r="K10" s="112" t="s">
        <v>1098</v>
      </c>
      <c r="L10" s="113">
        <f t="shared" si="1"/>
        <v>19.45205479</v>
      </c>
      <c r="M10" s="114"/>
      <c r="N10" s="114"/>
      <c r="O10" s="115" t="s">
        <v>1121</v>
      </c>
      <c r="P10" s="110">
        <v>37.0</v>
      </c>
      <c r="Q10" s="110">
        <v>31.7</v>
      </c>
      <c r="R10" s="110">
        <v>47.6</v>
      </c>
      <c r="S10" s="110">
        <v>16.1</v>
      </c>
      <c r="T10" s="110">
        <v>2.9</v>
      </c>
      <c r="U10" s="110">
        <v>1.1</v>
      </c>
      <c r="V10" s="110">
        <v>4.1</v>
      </c>
      <c r="W10" s="110">
        <v>5.2</v>
      </c>
      <c r="X10" s="110">
        <v>1.5</v>
      </c>
      <c r="Y10" s="110">
        <v>0.3</v>
      </c>
      <c r="Z10" s="110">
        <v>1.8</v>
      </c>
      <c r="AA10" s="116">
        <v>84.5</v>
      </c>
    </row>
    <row r="11">
      <c r="A11" s="120">
        <v>9.0</v>
      </c>
      <c r="B11" s="121"/>
      <c r="C11" s="122">
        <v>3.0</v>
      </c>
      <c r="D11" s="123" t="s">
        <v>1122</v>
      </c>
      <c r="E11" s="124" t="s">
        <v>10</v>
      </c>
      <c r="F11" s="124" t="s">
        <v>1123</v>
      </c>
      <c r="G11" s="124" t="s">
        <v>26</v>
      </c>
      <c r="H11" s="124">
        <v>1.09</v>
      </c>
      <c r="I11" s="124" t="s">
        <v>1097</v>
      </c>
      <c r="J11" s="125">
        <v>38742.0</v>
      </c>
      <c r="K11" s="126" t="s">
        <v>1124</v>
      </c>
      <c r="L11" s="127">
        <f t="shared" si="1"/>
        <v>20.46575342</v>
      </c>
      <c r="M11" s="128"/>
      <c r="N11" s="128"/>
      <c r="O11" s="129" t="s">
        <v>1125</v>
      </c>
      <c r="P11" s="124">
        <v>40.0</v>
      </c>
      <c r="Q11" s="124">
        <v>25.1</v>
      </c>
      <c r="R11" s="124">
        <v>62.3</v>
      </c>
      <c r="S11" s="124">
        <v>13.1</v>
      </c>
      <c r="T11" s="124">
        <v>0.9</v>
      </c>
      <c r="U11" s="124">
        <v>0.3</v>
      </c>
      <c r="V11" s="124">
        <v>7.3</v>
      </c>
      <c r="W11" s="124">
        <v>1.2</v>
      </c>
      <c r="X11" s="124">
        <v>0.7</v>
      </c>
      <c r="Y11" s="124">
        <v>1.1</v>
      </c>
      <c r="Z11" s="124">
        <v>1.3</v>
      </c>
      <c r="AA11" s="130">
        <v>78.2</v>
      </c>
    </row>
    <row r="12">
      <c r="A12" s="120">
        <v>10.0</v>
      </c>
      <c r="B12" s="121"/>
      <c r="C12" s="122">
        <v>2.0</v>
      </c>
      <c r="D12" s="123" t="s">
        <v>1126</v>
      </c>
      <c r="E12" s="131" t="s">
        <v>21</v>
      </c>
      <c r="F12" s="124" t="s">
        <v>1127</v>
      </c>
      <c r="G12" s="124" t="s">
        <v>15</v>
      </c>
      <c r="H12" s="124">
        <v>1.12</v>
      </c>
      <c r="I12" s="124" t="s">
        <v>1097</v>
      </c>
      <c r="J12" s="132">
        <v>38449.0</v>
      </c>
      <c r="K12" s="127" t="s">
        <v>1128</v>
      </c>
      <c r="L12" s="127">
        <f t="shared" si="1"/>
        <v>21.26849315</v>
      </c>
      <c r="M12" s="128"/>
      <c r="N12" s="128"/>
      <c r="O12" s="129" t="s">
        <v>1129</v>
      </c>
      <c r="P12" s="124">
        <v>40.0</v>
      </c>
      <c r="Q12" s="124">
        <v>23.4</v>
      </c>
      <c r="R12" s="124">
        <v>66.8</v>
      </c>
      <c r="S12" s="124">
        <v>12.1</v>
      </c>
      <c r="T12" s="124">
        <v>0.3</v>
      </c>
      <c r="U12" s="131">
        <v>0.1</v>
      </c>
      <c r="V12" s="124">
        <v>6.8</v>
      </c>
      <c r="W12" s="124">
        <v>2.4</v>
      </c>
      <c r="X12" s="124">
        <v>0.4</v>
      </c>
      <c r="Y12" s="131">
        <v>2.6</v>
      </c>
      <c r="Z12" s="131">
        <v>2.0</v>
      </c>
      <c r="AA12" s="130">
        <v>56.4</v>
      </c>
    </row>
    <row r="13">
      <c r="A13" s="120">
        <v>11.0</v>
      </c>
      <c r="B13" s="121"/>
      <c r="C13" s="122">
        <v>3.0</v>
      </c>
      <c r="D13" s="123" t="s">
        <v>1130</v>
      </c>
      <c r="E13" s="124" t="s">
        <v>1101</v>
      </c>
      <c r="F13" s="124" t="s">
        <v>1131</v>
      </c>
      <c r="G13" s="124" t="s">
        <v>213</v>
      </c>
      <c r="H13" s="124">
        <v>1.1</v>
      </c>
      <c r="I13" s="124" t="s">
        <v>1097</v>
      </c>
      <c r="J13" s="125">
        <v>38613.0</v>
      </c>
      <c r="K13" s="126" t="s">
        <v>1098</v>
      </c>
      <c r="L13" s="127">
        <f t="shared" si="1"/>
        <v>20.81917808</v>
      </c>
      <c r="M13" s="133"/>
      <c r="N13" s="133"/>
      <c r="O13" s="129" t="s">
        <v>1132</v>
      </c>
      <c r="P13" s="124">
        <v>39.0</v>
      </c>
      <c r="Q13" s="124">
        <v>29.8</v>
      </c>
      <c r="R13" s="124">
        <v>49.1</v>
      </c>
      <c r="S13" s="124">
        <v>16.1</v>
      </c>
      <c r="T13" s="124">
        <v>4.6</v>
      </c>
      <c r="U13" s="124">
        <v>1.8</v>
      </c>
      <c r="V13" s="124">
        <v>4.9</v>
      </c>
      <c r="W13" s="124">
        <v>2.4</v>
      </c>
      <c r="X13" s="124">
        <v>1.5</v>
      </c>
      <c r="Y13" s="124">
        <v>0.2</v>
      </c>
      <c r="Z13" s="124">
        <v>1.5</v>
      </c>
      <c r="AA13" s="130">
        <v>80.5</v>
      </c>
    </row>
    <row r="14">
      <c r="A14" s="134">
        <v>12.0</v>
      </c>
      <c r="B14" s="135">
        <v>-2.0</v>
      </c>
      <c r="C14" s="136">
        <v>3.0</v>
      </c>
      <c r="D14" s="137" t="s">
        <v>1133</v>
      </c>
      <c r="E14" s="138" t="s">
        <v>267</v>
      </c>
      <c r="F14" s="138" t="s">
        <v>1134</v>
      </c>
      <c r="G14" s="138" t="s">
        <v>176</v>
      </c>
      <c r="H14" s="138">
        <v>1.11</v>
      </c>
      <c r="I14" s="138" t="s">
        <v>1097</v>
      </c>
      <c r="J14" s="139">
        <v>37529.0</v>
      </c>
      <c r="K14" s="140" t="s">
        <v>1135</v>
      </c>
      <c r="L14" s="141">
        <f t="shared" si="1"/>
        <v>23.78630137</v>
      </c>
      <c r="M14" s="142"/>
      <c r="N14" s="142"/>
      <c r="O14" s="143" t="s">
        <v>1136</v>
      </c>
      <c r="P14" s="138">
        <v>40.0</v>
      </c>
      <c r="Q14" s="138">
        <v>30.2</v>
      </c>
      <c r="R14" s="138">
        <v>51.5</v>
      </c>
      <c r="S14" s="138">
        <v>15.1</v>
      </c>
      <c r="T14" s="138">
        <v>4.5</v>
      </c>
      <c r="U14" s="138">
        <v>1.7</v>
      </c>
      <c r="V14" s="138">
        <v>6.8</v>
      </c>
      <c r="W14" s="138">
        <v>3.2</v>
      </c>
      <c r="X14" s="138">
        <v>1.1</v>
      </c>
      <c r="Y14" s="138">
        <v>1.2</v>
      </c>
      <c r="Z14" s="138">
        <v>1.1</v>
      </c>
      <c r="AA14" s="144">
        <v>82.4</v>
      </c>
    </row>
    <row r="15">
      <c r="A15" s="134">
        <v>13.0</v>
      </c>
      <c r="B15" s="135">
        <v>1.0</v>
      </c>
      <c r="C15" s="136">
        <v>3.0</v>
      </c>
      <c r="D15" s="137" t="s">
        <v>1137</v>
      </c>
      <c r="E15" s="138" t="s">
        <v>14</v>
      </c>
      <c r="F15" s="138" t="s">
        <v>1138</v>
      </c>
      <c r="G15" s="138" t="s">
        <v>29</v>
      </c>
      <c r="H15" s="138">
        <v>1.17</v>
      </c>
      <c r="I15" s="138" t="s">
        <v>1097</v>
      </c>
      <c r="J15" s="139">
        <v>39182.0</v>
      </c>
      <c r="K15" s="140" t="s">
        <v>1098</v>
      </c>
      <c r="L15" s="141">
        <f t="shared" si="1"/>
        <v>19.26027397</v>
      </c>
      <c r="M15" s="145"/>
      <c r="N15" s="145"/>
      <c r="O15" s="143" t="s">
        <v>1139</v>
      </c>
      <c r="P15" s="138">
        <v>31.0</v>
      </c>
      <c r="Q15" s="138">
        <v>35.1</v>
      </c>
      <c r="R15" s="138">
        <v>46.5</v>
      </c>
      <c r="S15" s="138">
        <v>23.2</v>
      </c>
      <c r="T15" s="138">
        <v>5.7</v>
      </c>
      <c r="U15" s="138">
        <v>2.0</v>
      </c>
      <c r="V15" s="138">
        <v>3.6</v>
      </c>
      <c r="W15" s="138">
        <v>3.6</v>
      </c>
      <c r="X15" s="138">
        <v>1.6</v>
      </c>
      <c r="Y15" s="138">
        <v>0.3</v>
      </c>
      <c r="Z15" s="138">
        <v>1.9</v>
      </c>
      <c r="AA15" s="144">
        <v>83.2</v>
      </c>
    </row>
    <row r="16">
      <c r="A16" s="134">
        <v>14.0</v>
      </c>
      <c r="B16" s="135">
        <v>-1.0</v>
      </c>
      <c r="C16" s="136">
        <v>3.0</v>
      </c>
      <c r="D16" s="137" t="s">
        <v>1140</v>
      </c>
      <c r="E16" s="138" t="s">
        <v>36</v>
      </c>
      <c r="F16" s="138" t="s">
        <v>1141</v>
      </c>
      <c r="G16" s="138" t="s">
        <v>87</v>
      </c>
      <c r="H16" s="138">
        <v>1.15</v>
      </c>
      <c r="I16" s="138" t="s">
        <v>1097</v>
      </c>
      <c r="J16" s="139">
        <v>38548.0</v>
      </c>
      <c r="K16" s="140" t="s">
        <v>1128</v>
      </c>
      <c r="L16" s="141">
        <f t="shared" si="1"/>
        <v>20.99726027</v>
      </c>
      <c r="M16" s="142"/>
      <c r="N16" s="142"/>
      <c r="O16" s="143" t="s">
        <v>1142</v>
      </c>
      <c r="P16" s="138">
        <v>36.0</v>
      </c>
      <c r="Q16" s="138">
        <v>32.8</v>
      </c>
      <c r="R16" s="138">
        <v>54.2</v>
      </c>
      <c r="S16" s="138">
        <v>17.3</v>
      </c>
      <c r="T16" s="138">
        <v>2.6</v>
      </c>
      <c r="U16" s="138">
        <v>0.9</v>
      </c>
      <c r="V16" s="138">
        <v>7.5</v>
      </c>
      <c r="W16" s="138">
        <v>3.6</v>
      </c>
      <c r="X16" s="138">
        <v>1.6</v>
      </c>
      <c r="Y16" s="138">
        <v>0.3</v>
      </c>
      <c r="Z16" s="138">
        <v>2.7</v>
      </c>
      <c r="AA16" s="144">
        <v>81.5</v>
      </c>
    </row>
    <row r="17">
      <c r="A17" s="134">
        <v>15.0</v>
      </c>
      <c r="B17" s="135">
        <v>2.0</v>
      </c>
      <c r="C17" s="136">
        <v>3.0</v>
      </c>
      <c r="D17" s="137" t="s">
        <v>1143</v>
      </c>
      <c r="E17" s="138" t="s">
        <v>21</v>
      </c>
      <c r="F17" s="138" t="s">
        <v>1144</v>
      </c>
      <c r="G17" s="138" t="s">
        <v>90</v>
      </c>
      <c r="H17" s="138">
        <v>1.14</v>
      </c>
      <c r="I17" s="138" t="s">
        <v>1097</v>
      </c>
      <c r="J17" s="139">
        <v>38838.0</v>
      </c>
      <c r="K17" s="140" t="s">
        <v>1098</v>
      </c>
      <c r="L17" s="141">
        <f t="shared" si="1"/>
        <v>20.20273973</v>
      </c>
      <c r="M17" s="142"/>
      <c r="N17" s="142"/>
      <c r="O17" s="143" t="s">
        <v>1145</v>
      </c>
      <c r="P17" s="138">
        <v>30.0</v>
      </c>
      <c r="Q17" s="138">
        <v>34.6</v>
      </c>
      <c r="R17" s="138">
        <v>57.7</v>
      </c>
      <c r="S17" s="138">
        <v>18.5</v>
      </c>
      <c r="T17" s="138">
        <v>1.8</v>
      </c>
      <c r="U17" s="138">
        <v>0.6</v>
      </c>
      <c r="V17" s="138">
        <v>11.8</v>
      </c>
      <c r="W17" s="138">
        <v>1.6</v>
      </c>
      <c r="X17" s="138">
        <v>1.1</v>
      </c>
      <c r="Y17" s="138">
        <v>1.2</v>
      </c>
      <c r="Z17" s="138">
        <v>2.0</v>
      </c>
      <c r="AA17" s="144">
        <v>75.9</v>
      </c>
    </row>
    <row r="18">
      <c r="A18" s="134">
        <v>16.0</v>
      </c>
      <c r="B18" s="135">
        <v>-1.0</v>
      </c>
      <c r="C18" s="146">
        <v>3.0</v>
      </c>
      <c r="D18" s="137" t="s">
        <v>1146</v>
      </c>
      <c r="E18" s="147" t="s">
        <v>14</v>
      </c>
      <c r="F18" s="147" t="s">
        <v>1147</v>
      </c>
      <c r="G18" s="147" t="s">
        <v>15</v>
      </c>
      <c r="H18" s="147">
        <v>1.16</v>
      </c>
      <c r="I18" s="138" t="s">
        <v>1097</v>
      </c>
      <c r="J18" s="148">
        <v>37897.0</v>
      </c>
      <c r="K18" s="149" t="s">
        <v>1135</v>
      </c>
      <c r="L18" s="141">
        <f t="shared" si="1"/>
        <v>22.77808219</v>
      </c>
      <c r="M18" s="150"/>
      <c r="N18" s="150"/>
      <c r="O18" s="151" t="s">
        <v>1148</v>
      </c>
      <c r="P18" s="147">
        <v>37.0</v>
      </c>
      <c r="Q18" s="147">
        <v>37.7</v>
      </c>
      <c r="R18" s="147">
        <v>47.7</v>
      </c>
      <c r="S18" s="147">
        <v>19.8</v>
      </c>
      <c r="T18" s="147">
        <v>6.9</v>
      </c>
      <c r="U18" s="147">
        <v>2.5</v>
      </c>
      <c r="V18" s="147">
        <v>2.6</v>
      </c>
      <c r="W18" s="147">
        <v>4.4</v>
      </c>
      <c r="X18" s="147">
        <v>1.4</v>
      </c>
      <c r="Y18" s="147">
        <v>0.2</v>
      </c>
      <c r="Z18" s="147">
        <v>1.8</v>
      </c>
      <c r="AA18" s="152">
        <v>84.8</v>
      </c>
    </row>
    <row r="19">
      <c r="A19" s="134">
        <v>17.0</v>
      </c>
      <c r="B19" s="153"/>
      <c r="C19" s="154"/>
      <c r="D19" s="137" t="s">
        <v>1149</v>
      </c>
      <c r="E19" s="155" t="s">
        <v>14</v>
      </c>
      <c r="F19" s="156"/>
      <c r="G19" s="147" t="s">
        <v>90</v>
      </c>
      <c r="H19" s="147">
        <v>1.18</v>
      </c>
      <c r="I19" s="138" t="s">
        <v>1097</v>
      </c>
      <c r="J19" s="157">
        <v>38809.0</v>
      </c>
      <c r="K19" s="158" t="s">
        <v>1124</v>
      </c>
      <c r="L19" s="141">
        <f t="shared" si="1"/>
        <v>20.28219178</v>
      </c>
      <c r="M19" s="156"/>
      <c r="N19" s="156"/>
      <c r="O19" s="159" t="s">
        <v>1150</v>
      </c>
      <c r="P19" s="155">
        <v>33.0</v>
      </c>
      <c r="Q19" s="155">
        <v>38.4</v>
      </c>
      <c r="R19" s="155">
        <v>47.2</v>
      </c>
      <c r="S19" s="155">
        <v>18.5</v>
      </c>
      <c r="T19" s="155">
        <v>7.9</v>
      </c>
      <c r="U19" s="155">
        <v>3.3</v>
      </c>
      <c r="V19" s="155">
        <v>3.6</v>
      </c>
      <c r="W19" s="155">
        <v>7.4</v>
      </c>
      <c r="X19" s="155">
        <v>1.5</v>
      </c>
      <c r="Y19" s="155">
        <v>0.2</v>
      </c>
      <c r="Z19" s="155">
        <v>3.3</v>
      </c>
      <c r="AA19" s="160">
        <v>80.5</v>
      </c>
    </row>
    <row r="20">
      <c r="A20" s="134">
        <v>18.0</v>
      </c>
      <c r="B20" s="135"/>
      <c r="C20" s="146">
        <v>4.0</v>
      </c>
      <c r="D20" s="137" t="s">
        <v>1151</v>
      </c>
      <c r="E20" s="138" t="s">
        <v>36</v>
      </c>
      <c r="F20" s="138" t="s">
        <v>1152</v>
      </c>
      <c r="G20" s="138" t="s">
        <v>18</v>
      </c>
      <c r="H20" s="138">
        <v>1.24</v>
      </c>
      <c r="I20" s="138" t="s">
        <v>1097</v>
      </c>
      <c r="J20" s="139">
        <v>38312.0</v>
      </c>
      <c r="K20" s="140" t="s">
        <v>1128</v>
      </c>
      <c r="L20" s="141">
        <f t="shared" si="1"/>
        <v>21.64352871</v>
      </c>
      <c r="M20" s="142"/>
      <c r="N20" s="142"/>
      <c r="O20" s="143" t="s">
        <v>1153</v>
      </c>
      <c r="P20" s="138">
        <v>34.0</v>
      </c>
      <c r="Q20" s="138">
        <v>33.7</v>
      </c>
      <c r="R20" s="138">
        <v>49.4</v>
      </c>
      <c r="S20" s="138">
        <v>18.9</v>
      </c>
      <c r="T20" s="138">
        <v>6.1</v>
      </c>
      <c r="U20" s="138">
        <v>2.3</v>
      </c>
      <c r="V20" s="138">
        <v>5.8</v>
      </c>
      <c r="W20" s="138">
        <v>2.6</v>
      </c>
      <c r="X20" s="138">
        <v>0.9</v>
      </c>
      <c r="Y20" s="138">
        <v>1.3</v>
      </c>
      <c r="Z20" s="138">
        <v>2.4</v>
      </c>
      <c r="AA20" s="144">
        <v>80.1</v>
      </c>
    </row>
    <row r="21">
      <c r="A21" s="134">
        <v>19.0</v>
      </c>
      <c r="B21" s="153">
        <v>1.0</v>
      </c>
      <c r="C21" s="146">
        <v>4.0</v>
      </c>
      <c r="D21" s="137" t="s">
        <v>1154</v>
      </c>
      <c r="E21" s="147" t="s">
        <v>267</v>
      </c>
      <c r="F21" s="147" t="s">
        <v>1155</v>
      </c>
      <c r="G21" s="147" t="s">
        <v>52</v>
      </c>
      <c r="H21" s="147">
        <v>1.19</v>
      </c>
      <c r="I21" s="138" t="s">
        <v>1097</v>
      </c>
      <c r="J21" s="148">
        <v>38926.0</v>
      </c>
      <c r="K21" s="149" t="s">
        <v>1098</v>
      </c>
      <c r="L21" s="141">
        <f t="shared" si="1"/>
        <v>19.96164384</v>
      </c>
      <c r="M21" s="161"/>
      <c r="N21" s="161"/>
      <c r="O21" s="151" t="s">
        <v>1156</v>
      </c>
      <c r="P21" s="147">
        <v>35.0</v>
      </c>
      <c r="Q21" s="147">
        <v>22.6</v>
      </c>
      <c r="R21" s="147">
        <v>51.2</v>
      </c>
      <c r="S21" s="147">
        <v>11.8</v>
      </c>
      <c r="T21" s="147">
        <v>2.6</v>
      </c>
      <c r="U21" s="147">
        <v>1.1</v>
      </c>
      <c r="V21" s="147">
        <v>6.5</v>
      </c>
      <c r="W21" s="147">
        <v>1.8</v>
      </c>
      <c r="X21" s="147">
        <v>1.9</v>
      </c>
      <c r="Y21" s="147">
        <v>0.9</v>
      </c>
      <c r="Z21" s="147">
        <v>0.7</v>
      </c>
      <c r="AA21" s="152">
        <v>75.0</v>
      </c>
    </row>
    <row r="22">
      <c r="A22" s="162">
        <v>20.0</v>
      </c>
      <c r="B22" s="163">
        <v>-1.0</v>
      </c>
      <c r="C22" s="164">
        <v>3.0</v>
      </c>
      <c r="D22" s="165" t="s">
        <v>1157</v>
      </c>
      <c r="E22" s="166" t="s">
        <v>14</v>
      </c>
      <c r="F22" s="166" t="s">
        <v>1158</v>
      </c>
      <c r="G22" s="166" t="s">
        <v>40</v>
      </c>
      <c r="H22" s="166">
        <v>1.22</v>
      </c>
      <c r="I22" s="166" t="s">
        <v>1097</v>
      </c>
      <c r="J22" s="167">
        <v>38680.0</v>
      </c>
      <c r="K22" s="168" t="s">
        <v>1124</v>
      </c>
      <c r="L22" s="169">
        <f t="shared" si="1"/>
        <v>20.63561644</v>
      </c>
      <c r="M22" s="170"/>
      <c r="N22" s="170"/>
      <c r="O22" s="171" t="s">
        <v>1159</v>
      </c>
      <c r="P22" s="166">
        <v>33.0</v>
      </c>
      <c r="Q22" s="166">
        <v>30.9</v>
      </c>
      <c r="R22" s="166">
        <v>50.1</v>
      </c>
      <c r="S22" s="166">
        <v>22.0</v>
      </c>
      <c r="T22" s="166">
        <v>6.2</v>
      </c>
      <c r="U22" s="166">
        <v>2.5</v>
      </c>
      <c r="V22" s="166">
        <v>3.5</v>
      </c>
      <c r="W22" s="166">
        <v>5.0</v>
      </c>
      <c r="X22" s="166">
        <v>1.2</v>
      </c>
      <c r="Y22" s="166">
        <v>0.2</v>
      </c>
      <c r="Z22" s="166">
        <v>2.5</v>
      </c>
      <c r="AA22" s="172">
        <v>79.8</v>
      </c>
    </row>
    <row r="23">
      <c r="A23" s="173">
        <v>21.0</v>
      </c>
      <c r="B23" s="174">
        <v>-1.0</v>
      </c>
      <c r="C23" s="164">
        <v>4.0</v>
      </c>
      <c r="D23" s="165" t="s">
        <v>1160</v>
      </c>
      <c r="E23" s="166" t="s">
        <v>25</v>
      </c>
      <c r="F23" s="166" t="s">
        <v>1161</v>
      </c>
      <c r="G23" s="166" t="s">
        <v>213</v>
      </c>
      <c r="H23" s="166">
        <v>1.13</v>
      </c>
      <c r="I23" s="166" t="s">
        <v>1097</v>
      </c>
      <c r="J23" s="167">
        <v>39061.0</v>
      </c>
      <c r="K23" s="168" t="s">
        <v>1098</v>
      </c>
      <c r="L23" s="169">
        <f t="shared" si="1"/>
        <v>19.59178082</v>
      </c>
      <c r="M23" s="170"/>
      <c r="N23" s="170"/>
      <c r="O23" s="171" t="s">
        <v>1162</v>
      </c>
      <c r="P23" s="166">
        <v>35.0</v>
      </c>
      <c r="Q23" s="166">
        <v>29.7</v>
      </c>
      <c r="R23" s="166">
        <v>39.9</v>
      </c>
      <c r="S23" s="166">
        <v>16.7</v>
      </c>
      <c r="T23" s="166">
        <v>3.9</v>
      </c>
      <c r="U23" s="166">
        <v>1.3</v>
      </c>
      <c r="V23" s="166">
        <v>6.3</v>
      </c>
      <c r="W23" s="166">
        <v>2.3</v>
      </c>
      <c r="X23" s="166">
        <v>1.0</v>
      </c>
      <c r="Y23" s="166">
        <v>0.6</v>
      </c>
      <c r="Z23" s="166">
        <v>2.3</v>
      </c>
      <c r="AA23" s="172">
        <v>79.0</v>
      </c>
    </row>
    <row r="24">
      <c r="A24" s="173">
        <v>22.0</v>
      </c>
      <c r="B24" s="163">
        <v>-4.0</v>
      </c>
      <c r="C24" s="164">
        <v>4.0</v>
      </c>
      <c r="D24" s="165" t="s">
        <v>1163</v>
      </c>
      <c r="E24" s="166" t="s">
        <v>25</v>
      </c>
      <c r="F24" s="166" t="s">
        <v>1164</v>
      </c>
      <c r="G24" s="166" t="s">
        <v>49</v>
      </c>
      <c r="H24" s="175">
        <v>1.21</v>
      </c>
      <c r="I24" s="166" t="s">
        <v>1097</v>
      </c>
      <c r="J24" s="176">
        <v>39184.0</v>
      </c>
      <c r="K24" s="168" t="s">
        <v>1165</v>
      </c>
      <c r="L24" s="169">
        <f t="shared" si="1"/>
        <v>19.25479452</v>
      </c>
      <c r="M24" s="177"/>
      <c r="N24" s="177"/>
      <c r="O24" s="178" t="s">
        <v>1166</v>
      </c>
      <c r="P24" s="166">
        <v>30.0</v>
      </c>
      <c r="Q24" s="166">
        <v>25.6</v>
      </c>
      <c r="R24" s="166">
        <v>49.4</v>
      </c>
      <c r="S24" s="166">
        <v>11.9</v>
      </c>
      <c r="T24" s="166">
        <v>3.0</v>
      </c>
      <c r="U24" s="166">
        <v>1.0</v>
      </c>
      <c r="V24" s="166">
        <v>6.1</v>
      </c>
      <c r="W24" s="166">
        <v>1.9</v>
      </c>
      <c r="X24" s="166">
        <v>1.2</v>
      </c>
      <c r="Y24" s="166">
        <v>1.0</v>
      </c>
      <c r="Z24" s="166">
        <v>1.5</v>
      </c>
      <c r="AA24" s="172">
        <v>73.9</v>
      </c>
    </row>
    <row r="25">
      <c r="A25" s="173">
        <v>23.0</v>
      </c>
      <c r="B25" s="174">
        <v>7.0</v>
      </c>
      <c r="C25" s="164">
        <v>4.5</v>
      </c>
      <c r="D25" s="179" t="s">
        <v>1167</v>
      </c>
      <c r="E25" s="166" t="s">
        <v>14</v>
      </c>
      <c r="F25" s="166" t="s">
        <v>1168</v>
      </c>
      <c r="G25" s="166" t="s">
        <v>26</v>
      </c>
      <c r="H25" s="166">
        <v>1.25</v>
      </c>
      <c r="I25" s="166" t="s">
        <v>1097</v>
      </c>
      <c r="J25" s="167">
        <v>38690.0</v>
      </c>
      <c r="K25" s="168" t="s">
        <v>1165</v>
      </c>
      <c r="L25" s="169">
        <f t="shared" si="1"/>
        <v>20.60821918</v>
      </c>
      <c r="M25" s="170"/>
      <c r="N25" s="170"/>
      <c r="O25" s="180" t="s">
        <v>1169</v>
      </c>
      <c r="P25" s="166">
        <v>72.0</v>
      </c>
      <c r="Q25" s="166">
        <v>14.8</v>
      </c>
      <c r="R25" s="166">
        <v>43.6</v>
      </c>
      <c r="S25" s="166">
        <v>7.1</v>
      </c>
      <c r="T25" s="166">
        <v>2.5</v>
      </c>
      <c r="U25" s="166">
        <v>1.0</v>
      </c>
      <c r="V25" s="166">
        <v>2.2</v>
      </c>
      <c r="W25" s="166">
        <v>2.7</v>
      </c>
      <c r="X25" s="166">
        <v>0.5</v>
      </c>
      <c r="Y25" s="166">
        <v>0.2</v>
      </c>
      <c r="Z25" s="166">
        <v>1.4</v>
      </c>
      <c r="AA25" s="172">
        <v>81.1</v>
      </c>
    </row>
    <row r="26">
      <c r="A26" s="173">
        <v>24.0</v>
      </c>
      <c r="B26" s="174">
        <v>-3.0</v>
      </c>
      <c r="C26" s="164">
        <v>3.0</v>
      </c>
      <c r="D26" s="165" t="s">
        <v>1170</v>
      </c>
      <c r="E26" s="166" t="s">
        <v>21</v>
      </c>
      <c r="F26" s="166" t="s">
        <v>1171</v>
      </c>
      <c r="G26" s="166" t="s">
        <v>11</v>
      </c>
      <c r="H26" s="166">
        <v>1.2</v>
      </c>
      <c r="I26" s="166" t="s">
        <v>1097</v>
      </c>
      <c r="J26" s="181">
        <v>39274.0</v>
      </c>
      <c r="K26" s="168" t="s">
        <v>1124</v>
      </c>
      <c r="L26" s="169">
        <f t="shared" si="1"/>
        <v>19.00821918</v>
      </c>
      <c r="M26" s="177">
        <v>64.0</v>
      </c>
      <c r="N26" s="177">
        <v>0.0</v>
      </c>
      <c r="O26" s="171" t="s">
        <v>1172</v>
      </c>
      <c r="P26" s="166">
        <v>28.0</v>
      </c>
      <c r="Q26" s="166">
        <v>27.7</v>
      </c>
      <c r="R26" s="166">
        <v>52.9</v>
      </c>
      <c r="S26" s="166">
        <v>8.8</v>
      </c>
      <c r="T26" s="166">
        <v>1.1</v>
      </c>
      <c r="U26" s="166">
        <v>0.2</v>
      </c>
      <c r="V26" s="166">
        <v>7.5</v>
      </c>
      <c r="W26" s="166">
        <v>1.4</v>
      </c>
      <c r="X26" s="166">
        <v>1.0</v>
      </c>
      <c r="Y26" s="166">
        <v>2.4</v>
      </c>
      <c r="Z26" s="166">
        <v>1.9</v>
      </c>
      <c r="AA26" s="172">
        <v>45.2</v>
      </c>
    </row>
    <row r="27">
      <c r="A27" s="173">
        <v>25.0</v>
      </c>
      <c r="B27" s="174">
        <v>1.0</v>
      </c>
      <c r="C27" s="182">
        <v>4.0</v>
      </c>
      <c r="D27" s="165" t="s">
        <v>1173</v>
      </c>
      <c r="E27" s="183" t="s">
        <v>21</v>
      </c>
      <c r="F27" s="166" t="s">
        <v>1174</v>
      </c>
      <c r="G27" s="166" t="s">
        <v>11</v>
      </c>
      <c r="H27" s="166">
        <v>1.26</v>
      </c>
      <c r="I27" s="166" t="s">
        <v>1097</v>
      </c>
      <c r="J27" s="181">
        <v>37838.0</v>
      </c>
      <c r="K27" s="169" t="s">
        <v>1135</v>
      </c>
      <c r="L27" s="169">
        <f t="shared" si="1"/>
        <v>22.93972603</v>
      </c>
      <c r="M27" s="170"/>
      <c r="N27" s="170"/>
      <c r="O27" s="171" t="s">
        <v>1175</v>
      </c>
      <c r="P27" s="166">
        <v>35.0</v>
      </c>
      <c r="Q27" s="166">
        <v>27.3</v>
      </c>
      <c r="R27" s="166">
        <v>60.7</v>
      </c>
      <c r="S27" s="166">
        <v>14.7</v>
      </c>
      <c r="T27" s="183">
        <v>0.1</v>
      </c>
      <c r="U27" s="183">
        <v>0.0</v>
      </c>
      <c r="V27" s="166">
        <v>9.0</v>
      </c>
      <c r="W27" s="183">
        <v>2.3</v>
      </c>
      <c r="X27" s="183">
        <v>0.9</v>
      </c>
      <c r="Y27" s="166">
        <v>2.0</v>
      </c>
      <c r="Z27" s="183">
        <v>1.9</v>
      </c>
      <c r="AA27" s="172">
        <v>61.7</v>
      </c>
    </row>
    <row r="28">
      <c r="A28" s="27">
        <v>26.0</v>
      </c>
      <c r="B28" s="184">
        <v>3.0</v>
      </c>
      <c r="C28" s="185">
        <v>4.5</v>
      </c>
      <c r="D28" s="186" t="s">
        <v>1176</v>
      </c>
      <c r="E28" s="187" t="s">
        <v>267</v>
      </c>
      <c r="F28" s="187" t="s">
        <v>1177</v>
      </c>
      <c r="G28" s="187" t="s">
        <v>111</v>
      </c>
      <c r="H28" s="187">
        <v>1.3</v>
      </c>
      <c r="I28" s="187" t="s">
        <v>1097</v>
      </c>
      <c r="J28" s="188">
        <v>39102.0</v>
      </c>
      <c r="K28" s="189" t="s">
        <v>1098</v>
      </c>
      <c r="L28" s="190">
        <f t="shared" si="1"/>
        <v>19.47945205</v>
      </c>
      <c r="M28" s="191"/>
      <c r="N28" s="191"/>
      <c r="O28" s="192" t="s">
        <v>1178</v>
      </c>
      <c r="P28" s="187">
        <v>36.0</v>
      </c>
      <c r="Q28" s="187">
        <v>27.8</v>
      </c>
      <c r="R28" s="187">
        <v>52.8</v>
      </c>
      <c r="S28" s="187">
        <v>14.1</v>
      </c>
      <c r="T28" s="187">
        <v>0.6</v>
      </c>
      <c r="U28" s="187">
        <v>0.2</v>
      </c>
      <c r="V28" s="187">
        <v>5.6</v>
      </c>
      <c r="W28" s="187">
        <v>2.6</v>
      </c>
      <c r="X28" s="187">
        <v>0.6</v>
      </c>
      <c r="Y28" s="187">
        <v>0.7</v>
      </c>
      <c r="Z28" s="187">
        <v>1.6</v>
      </c>
      <c r="AA28" s="193">
        <v>62.3</v>
      </c>
    </row>
    <row r="29">
      <c r="A29" s="27">
        <v>27.0</v>
      </c>
      <c r="B29" s="184">
        <v>5.0</v>
      </c>
      <c r="C29" s="185"/>
      <c r="D29" s="186" t="s">
        <v>1179</v>
      </c>
      <c r="E29" s="187" t="s">
        <v>183</v>
      </c>
      <c r="F29" s="187" t="s">
        <v>1180</v>
      </c>
      <c r="G29" s="187" t="s">
        <v>55</v>
      </c>
      <c r="H29" s="187">
        <v>2.01</v>
      </c>
      <c r="I29" s="187" t="s">
        <v>1181</v>
      </c>
      <c r="J29" s="188">
        <v>37878.0</v>
      </c>
      <c r="K29" s="189" t="s">
        <v>1135</v>
      </c>
      <c r="L29" s="190">
        <f t="shared" si="1"/>
        <v>22.83013699</v>
      </c>
      <c r="M29" s="194"/>
      <c r="N29" s="194"/>
      <c r="O29" s="195" t="s">
        <v>1182</v>
      </c>
      <c r="P29" s="187">
        <v>34.0</v>
      </c>
      <c r="Q29" s="187">
        <v>36.5</v>
      </c>
      <c r="R29" s="187">
        <v>55.4</v>
      </c>
      <c r="S29" s="187">
        <v>19.9</v>
      </c>
      <c r="T29" s="187">
        <v>4.6</v>
      </c>
      <c r="U29" s="187">
        <v>1.8</v>
      </c>
      <c r="V29" s="187">
        <v>5.1</v>
      </c>
      <c r="W29" s="187">
        <v>3.9</v>
      </c>
      <c r="X29" s="187">
        <v>1.1</v>
      </c>
      <c r="Y29" s="187">
        <v>0.2</v>
      </c>
      <c r="Z29" s="187">
        <v>1.3</v>
      </c>
      <c r="AA29" s="193">
        <v>82.9</v>
      </c>
    </row>
    <row r="30">
      <c r="A30" s="27">
        <v>28.0</v>
      </c>
      <c r="B30" s="184">
        <v>-5.0</v>
      </c>
      <c r="C30" s="185">
        <v>4.0</v>
      </c>
      <c r="D30" s="186" t="s">
        <v>1183</v>
      </c>
      <c r="E30" s="187" t="s">
        <v>10</v>
      </c>
      <c r="F30" s="187" t="s">
        <v>1184</v>
      </c>
      <c r="G30" s="187" t="s">
        <v>32</v>
      </c>
      <c r="H30" s="187">
        <v>1.27</v>
      </c>
      <c r="I30" s="187" t="s">
        <v>1097</v>
      </c>
      <c r="J30" s="188">
        <v>39114.0</v>
      </c>
      <c r="K30" s="189" t="s">
        <v>1098</v>
      </c>
      <c r="L30" s="190">
        <f t="shared" si="1"/>
        <v>19.44657534</v>
      </c>
      <c r="M30" s="194"/>
      <c r="N30" s="194"/>
      <c r="O30" s="195" t="s">
        <v>1185</v>
      </c>
      <c r="P30" s="187">
        <v>37.0</v>
      </c>
      <c r="Q30" s="187">
        <v>24.8</v>
      </c>
      <c r="R30" s="187">
        <v>48.5</v>
      </c>
      <c r="S30" s="187">
        <v>9.5</v>
      </c>
      <c r="T30" s="187">
        <v>2.4</v>
      </c>
      <c r="U30" s="187">
        <v>0.8</v>
      </c>
      <c r="V30" s="187">
        <v>7.9</v>
      </c>
      <c r="W30" s="187">
        <v>0.7</v>
      </c>
      <c r="X30" s="187">
        <v>0.8</v>
      </c>
      <c r="Y30" s="187">
        <v>0.5</v>
      </c>
      <c r="Z30" s="187">
        <v>0.9</v>
      </c>
      <c r="AA30" s="193">
        <v>62.1</v>
      </c>
    </row>
    <row r="31">
      <c r="A31" s="27">
        <v>29.0</v>
      </c>
      <c r="B31" s="184">
        <v>-2.0</v>
      </c>
      <c r="C31" s="185">
        <v>4.5</v>
      </c>
      <c r="D31" s="196" t="s">
        <v>1186</v>
      </c>
      <c r="E31" s="187" t="s">
        <v>10</v>
      </c>
      <c r="F31" s="187" t="s">
        <v>1187</v>
      </c>
      <c r="G31" s="187" t="s">
        <v>43</v>
      </c>
      <c r="H31" s="187">
        <v>1.23</v>
      </c>
      <c r="I31" s="187" t="s">
        <v>1097</v>
      </c>
      <c r="J31" s="188">
        <v>38097.0</v>
      </c>
      <c r="K31" s="189" t="s">
        <v>1135</v>
      </c>
      <c r="L31" s="190">
        <f t="shared" si="1"/>
        <v>22.2309604</v>
      </c>
      <c r="M31" s="194"/>
      <c r="N31" s="194"/>
      <c r="O31" s="195" t="s">
        <v>1188</v>
      </c>
      <c r="P31" s="187">
        <v>37.0</v>
      </c>
      <c r="Q31" s="187">
        <v>30.0</v>
      </c>
      <c r="R31" s="187">
        <v>53.6</v>
      </c>
      <c r="S31" s="187">
        <v>16.3</v>
      </c>
      <c r="T31" s="187">
        <v>1.6</v>
      </c>
      <c r="U31" s="187">
        <v>0.5</v>
      </c>
      <c r="V31" s="187">
        <v>7.3</v>
      </c>
      <c r="W31" s="187">
        <v>3.5</v>
      </c>
      <c r="X31" s="187">
        <v>1.2</v>
      </c>
      <c r="Y31" s="187">
        <v>2.1</v>
      </c>
      <c r="Z31" s="187">
        <v>2.1</v>
      </c>
      <c r="AA31" s="193">
        <v>71.8</v>
      </c>
    </row>
    <row r="32">
      <c r="A32" s="27">
        <v>30.0</v>
      </c>
      <c r="B32" s="184">
        <v>5.0</v>
      </c>
      <c r="C32" s="185">
        <v>6.0</v>
      </c>
      <c r="D32" s="186" t="s">
        <v>1189</v>
      </c>
      <c r="E32" s="187" t="s">
        <v>267</v>
      </c>
      <c r="F32" s="187" t="s">
        <v>1190</v>
      </c>
      <c r="G32" s="187" t="s">
        <v>98</v>
      </c>
      <c r="H32" s="187">
        <v>2.06</v>
      </c>
      <c r="I32" s="187" t="s">
        <v>1191</v>
      </c>
      <c r="J32" s="188">
        <v>38024.0</v>
      </c>
      <c r="K32" s="189" t="s">
        <v>1135</v>
      </c>
      <c r="L32" s="190">
        <f t="shared" si="1"/>
        <v>22.43041395</v>
      </c>
      <c r="M32" s="191"/>
      <c r="N32" s="191"/>
      <c r="O32" s="195" t="s">
        <v>1192</v>
      </c>
      <c r="P32" s="187">
        <v>31.0</v>
      </c>
      <c r="Q32" s="187">
        <v>31.9</v>
      </c>
      <c r="R32" s="187">
        <v>52.9</v>
      </c>
      <c r="S32" s="187">
        <v>13.0</v>
      </c>
      <c r="T32" s="187">
        <v>1.7</v>
      </c>
      <c r="U32" s="187">
        <v>0.3</v>
      </c>
      <c r="V32" s="187">
        <v>10.3</v>
      </c>
      <c r="W32" s="187">
        <v>3.7</v>
      </c>
      <c r="X32" s="187">
        <v>0.7</v>
      </c>
      <c r="Y32" s="187">
        <v>1.2</v>
      </c>
      <c r="Z32" s="187">
        <v>2.2</v>
      </c>
      <c r="AA32" s="193">
        <v>65.8</v>
      </c>
    </row>
    <row r="33">
      <c r="A33" s="27">
        <v>31.0</v>
      </c>
      <c r="B33" s="184">
        <v>-5.0</v>
      </c>
      <c r="C33" s="197">
        <v>4.0</v>
      </c>
      <c r="D33" s="186" t="s">
        <v>1193</v>
      </c>
      <c r="E33" s="187" t="s">
        <v>25</v>
      </c>
      <c r="F33" s="187" t="s">
        <v>1164</v>
      </c>
      <c r="G33" s="187" t="s">
        <v>158</v>
      </c>
      <c r="H33" s="187">
        <v>1.28</v>
      </c>
      <c r="I33" s="187" t="s">
        <v>1097</v>
      </c>
      <c r="J33" s="188">
        <v>37946.0</v>
      </c>
      <c r="K33" s="189" t="s">
        <v>1135</v>
      </c>
      <c r="L33" s="190">
        <f t="shared" si="1"/>
        <v>22.64383562</v>
      </c>
      <c r="M33" s="194"/>
      <c r="N33" s="194"/>
      <c r="O33" s="195" t="s">
        <v>1194</v>
      </c>
      <c r="P33" s="187">
        <v>35.0</v>
      </c>
      <c r="Q33" s="187">
        <v>30.9</v>
      </c>
      <c r="R33" s="187">
        <v>47.1</v>
      </c>
      <c r="S33" s="187">
        <v>16.4</v>
      </c>
      <c r="T33" s="187">
        <v>3.1</v>
      </c>
      <c r="U33" s="187">
        <v>1.1</v>
      </c>
      <c r="V33" s="187">
        <v>7.4</v>
      </c>
      <c r="W33" s="187">
        <v>4.8</v>
      </c>
      <c r="X33" s="187">
        <v>1.6</v>
      </c>
      <c r="Y33" s="187">
        <v>0.8</v>
      </c>
      <c r="Z33" s="187">
        <v>2.5</v>
      </c>
      <c r="AA33" s="193">
        <v>70.0</v>
      </c>
    </row>
    <row r="34">
      <c r="A34" s="27">
        <v>32.0</v>
      </c>
      <c r="B34" s="184">
        <v>-3.0</v>
      </c>
      <c r="C34" s="185">
        <v>4.5</v>
      </c>
      <c r="D34" s="186" t="s">
        <v>1195</v>
      </c>
      <c r="E34" s="187" t="s">
        <v>573</v>
      </c>
      <c r="F34" s="187" t="s">
        <v>1196</v>
      </c>
      <c r="G34" s="187" t="s">
        <v>69</v>
      </c>
      <c r="H34" s="187">
        <v>2.04</v>
      </c>
      <c r="I34" s="187" t="s">
        <v>1197</v>
      </c>
      <c r="J34" s="188">
        <v>38935.0</v>
      </c>
      <c r="K34" s="189" t="s">
        <v>1098</v>
      </c>
      <c r="L34" s="190">
        <f t="shared" si="1"/>
        <v>19.9369863</v>
      </c>
      <c r="M34" s="194"/>
      <c r="N34" s="194"/>
      <c r="O34" s="195" t="s">
        <v>1198</v>
      </c>
      <c r="P34" s="187">
        <v>37.0</v>
      </c>
      <c r="Q34" s="187">
        <v>30.5</v>
      </c>
      <c r="R34" s="187">
        <v>43.5</v>
      </c>
      <c r="S34" s="187">
        <v>15.6</v>
      </c>
      <c r="T34" s="187">
        <v>5.3</v>
      </c>
      <c r="U34" s="187">
        <v>2.2</v>
      </c>
      <c r="V34" s="187">
        <v>3.8</v>
      </c>
      <c r="W34" s="187">
        <v>2.5</v>
      </c>
      <c r="X34" s="187">
        <v>1.5</v>
      </c>
      <c r="Y34" s="187">
        <v>0.2</v>
      </c>
      <c r="Z34" s="187">
        <v>1.0</v>
      </c>
      <c r="AA34" s="193">
        <v>84.3</v>
      </c>
    </row>
    <row r="35">
      <c r="A35" s="198">
        <v>33.0</v>
      </c>
      <c r="B35" s="199">
        <v>5.0</v>
      </c>
      <c r="C35" s="200">
        <v>6.0</v>
      </c>
      <c r="D35" s="201" t="s">
        <v>1199</v>
      </c>
      <c r="E35" s="202" t="s">
        <v>36</v>
      </c>
      <c r="F35" s="202" t="s">
        <v>1200</v>
      </c>
      <c r="G35" s="202" t="s">
        <v>49</v>
      </c>
      <c r="H35" s="202">
        <v>2.02</v>
      </c>
      <c r="I35" s="202" t="s">
        <v>1191</v>
      </c>
      <c r="J35" s="203">
        <v>37153.0</v>
      </c>
      <c r="K35" s="204" t="s">
        <v>1135</v>
      </c>
      <c r="L35" s="205">
        <f t="shared" si="1"/>
        <v>24.81643836</v>
      </c>
      <c r="M35" s="206"/>
      <c r="N35" s="206"/>
      <c r="O35" s="207" t="s">
        <v>1201</v>
      </c>
      <c r="P35" s="202">
        <v>25.0</v>
      </c>
      <c r="Q35" s="202">
        <v>31.4</v>
      </c>
      <c r="R35" s="202">
        <v>48.9</v>
      </c>
      <c r="S35" s="202">
        <v>18.0</v>
      </c>
      <c r="T35" s="202">
        <v>6.8</v>
      </c>
      <c r="U35" s="202">
        <v>2.6</v>
      </c>
      <c r="V35" s="202">
        <v>5.8</v>
      </c>
      <c r="W35" s="202">
        <v>2.1</v>
      </c>
      <c r="X35" s="202">
        <v>1.7</v>
      </c>
      <c r="Y35" s="202">
        <v>0.3</v>
      </c>
      <c r="Z35" s="202">
        <v>1.6</v>
      </c>
      <c r="AA35" s="208">
        <v>81.7</v>
      </c>
    </row>
    <row r="36">
      <c r="A36" s="198">
        <v>34.0</v>
      </c>
      <c r="B36" s="199">
        <v>9.0</v>
      </c>
      <c r="C36" s="200">
        <v>6.0</v>
      </c>
      <c r="D36" s="201" t="s">
        <v>1202</v>
      </c>
      <c r="E36" s="202" t="s">
        <v>25</v>
      </c>
      <c r="F36" s="202" t="s">
        <v>1203</v>
      </c>
      <c r="G36" s="202" t="s">
        <v>167</v>
      </c>
      <c r="H36" s="202">
        <v>1.29</v>
      </c>
      <c r="I36" s="202" t="s">
        <v>1097</v>
      </c>
      <c r="J36" s="203">
        <v>37571.0</v>
      </c>
      <c r="K36" s="204" t="s">
        <v>1135</v>
      </c>
      <c r="L36" s="205">
        <f t="shared" si="1"/>
        <v>23.67123288</v>
      </c>
      <c r="M36" s="206"/>
      <c r="N36" s="206"/>
      <c r="O36" s="207" t="s">
        <v>1204</v>
      </c>
      <c r="P36" s="202">
        <v>40.0</v>
      </c>
      <c r="Q36" s="202">
        <v>34.3</v>
      </c>
      <c r="R36" s="202">
        <v>46.4</v>
      </c>
      <c r="S36" s="202">
        <v>13.2</v>
      </c>
      <c r="T36" s="202">
        <v>5.2</v>
      </c>
      <c r="U36" s="202">
        <v>1.9</v>
      </c>
      <c r="V36" s="202">
        <v>5.3</v>
      </c>
      <c r="W36" s="202">
        <v>2.4</v>
      </c>
      <c r="X36" s="202">
        <v>0.8</v>
      </c>
      <c r="Y36" s="202">
        <v>0.8</v>
      </c>
      <c r="Z36" s="202">
        <v>1.1</v>
      </c>
      <c r="AA36" s="208">
        <v>85.1</v>
      </c>
    </row>
    <row r="37">
      <c r="A37" s="198">
        <v>35.0</v>
      </c>
      <c r="B37" s="199">
        <v>-3.0</v>
      </c>
      <c r="C37" s="200">
        <v>4.5</v>
      </c>
      <c r="D37" s="201" t="s">
        <v>1205</v>
      </c>
      <c r="E37" s="202" t="s">
        <v>21</v>
      </c>
      <c r="F37" s="202" t="s">
        <v>1206</v>
      </c>
      <c r="G37" s="202" t="s">
        <v>43</v>
      </c>
      <c r="H37" s="202">
        <v>2.22</v>
      </c>
      <c r="I37" s="202" t="s">
        <v>1197</v>
      </c>
      <c r="J37" s="203">
        <v>38074.0</v>
      </c>
      <c r="K37" s="204" t="s">
        <v>1128</v>
      </c>
      <c r="L37" s="205">
        <f t="shared" si="1"/>
        <v>22.29380193</v>
      </c>
      <c r="M37" s="206"/>
      <c r="N37" s="206"/>
      <c r="O37" s="207" t="s">
        <v>1207</v>
      </c>
      <c r="P37" s="202">
        <v>31.0</v>
      </c>
      <c r="Q37" s="202">
        <v>31.4</v>
      </c>
      <c r="R37" s="202">
        <v>60.8</v>
      </c>
      <c r="S37" s="202">
        <v>17.0</v>
      </c>
      <c r="T37" s="202">
        <v>3.0</v>
      </c>
      <c r="U37" s="202">
        <v>1.3</v>
      </c>
      <c r="V37" s="202">
        <v>8.7</v>
      </c>
      <c r="W37" s="202">
        <v>2.1</v>
      </c>
      <c r="X37" s="202">
        <v>0.6</v>
      </c>
      <c r="Y37" s="202">
        <v>1.2</v>
      </c>
      <c r="Z37" s="202">
        <v>1.7</v>
      </c>
      <c r="AA37" s="208">
        <v>61.5</v>
      </c>
    </row>
    <row r="38">
      <c r="A38" s="198">
        <v>36.0</v>
      </c>
      <c r="B38" s="199">
        <v>-2.0</v>
      </c>
      <c r="C38" s="200">
        <v>5.0</v>
      </c>
      <c r="D38" s="201" t="s">
        <v>1208</v>
      </c>
      <c r="E38" s="202" t="s">
        <v>36</v>
      </c>
      <c r="F38" s="202" t="s">
        <v>1209</v>
      </c>
      <c r="G38" s="202" t="s">
        <v>37</v>
      </c>
      <c r="H38" s="202">
        <v>2.03</v>
      </c>
      <c r="I38" s="202" t="s">
        <v>1191</v>
      </c>
      <c r="J38" s="203">
        <v>38692.0</v>
      </c>
      <c r="K38" s="204" t="s">
        <v>1124</v>
      </c>
      <c r="L38" s="205">
        <f t="shared" si="1"/>
        <v>20.60273973</v>
      </c>
      <c r="M38" s="206"/>
      <c r="N38" s="206"/>
      <c r="O38" s="207" t="s">
        <v>1210</v>
      </c>
      <c r="P38" s="202">
        <v>38.0</v>
      </c>
      <c r="Q38" s="202">
        <v>28.2</v>
      </c>
      <c r="R38" s="202">
        <v>43.3</v>
      </c>
      <c r="S38" s="202">
        <v>15.0</v>
      </c>
      <c r="T38" s="202">
        <v>7.4</v>
      </c>
      <c r="U38" s="202">
        <v>2.7</v>
      </c>
      <c r="V38" s="202">
        <v>3.2</v>
      </c>
      <c r="W38" s="202">
        <v>1.3</v>
      </c>
      <c r="X38" s="202">
        <v>0.7</v>
      </c>
      <c r="Y38" s="202">
        <v>0.7</v>
      </c>
      <c r="Z38" s="202">
        <v>1.1</v>
      </c>
      <c r="AA38" s="208">
        <v>86.0</v>
      </c>
    </row>
    <row r="39">
      <c r="A39" s="198">
        <v>37.0</v>
      </c>
      <c r="B39" s="199">
        <v>-4.0</v>
      </c>
      <c r="C39" s="200"/>
      <c r="D39" s="201" t="s">
        <v>1211</v>
      </c>
      <c r="E39" s="202" t="s">
        <v>573</v>
      </c>
      <c r="F39" s="202" t="s">
        <v>1212</v>
      </c>
      <c r="G39" s="202" t="s">
        <v>128</v>
      </c>
      <c r="H39" s="202">
        <v>2.07</v>
      </c>
      <c r="I39" s="202" t="s">
        <v>1213</v>
      </c>
      <c r="J39" s="203">
        <v>38153.0</v>
      </c>
      <c r="K39" s="204" t="s">
        <v>1135</v>
      </c>
      <c r="L39" s="205">
        <f t="shared" si="1"/>
        <v>22.07795494</v>
      </c>
      <c r="M39" s="209"/>
      <c r="N39" s="209"/>
      <c r="O39" s="207" t="s">
        <v>1214</v>
      </c>
      <c r="P39" s="202">
        <v>34.0</v>
      </c>
      <c r="Q39" s="202">
        <v>30.9</v>
      </c>
      <c r="R39" s="202">
        <v>40.8</v>
      </c>
      <c r="S39" s="202">
        <v>18.8</v>
      </c>
      <c r="T39" s="202">
        <v>9.6</v>
      </c>
      <c r="U39" s="202">
        <v>3.3</v>
      </c>
      <c r="V39" s="202">
        <v>4.8</v>
      </c>
      <c r="W39" s="202">
        <v>2.7</v>
      </c>
      <c r="X39" s="202">
        <v>1.1</v>
      </c>
      <c r="Y39" s="202">
        <v>0.2</v>
      </c>
      <c r="Z39" s="202">
        <v>2.1</v>
      </c>
      <c r="AA39" s="208">
        <v>83.2</v>
      </c>
    </row>
    <row r="40">
      <c r="A40" s="198">
        <v>38.0</v>
      </c>
      <c r="B40" s="199"/>
      <c r="C40" s="200">
        <v>6.0</v>
      </c>
      <c r="D40" s="201" t="s">
        <v>1215</v>
      </c>
      <c r="E40" s="210" t="s">
        <v>573</v>
      </c>
      <c r="F40" s="202" t="s">
        <v>1216</v>
      </c>
      <c r="G40" s="202" t="s">
        <v>167</v>
      </c>
      <c r="H40" s="202">
        <v>2.15</v>
      </c>
      <c r="I40" s="202" t="s">
        <v>1213</v>
      </c>
      <c r="J40" s="203">
        <v>38053.0</v>
      </c>
      <c r="K40" s="205" t="s">
        <v>1135</v>
      </c>
      <c r="L40" s="205">
        <f t="shared" si="1"/>
        <v>22.35117898</v>
      </c>
      <c r="M40" s="209"/>
      <c r="N40" s="209"/>
      <c r="O40" s="207" t="s">
        <v>1217</v>
      </c>
      <c r="P40" s="202">
        <v>37.0</v>
      </c>
      <c r="Q40" s="202">
        <v>29.4</v>
      </c>
      <c r="R40" s="202">
        <v>41.3</v>
      </c>
      <c r="S40" s="202">
        <v>15.5</v>
      </c>
      <c r="T40" s="202">
        <v>7.1</v>
      </c>
      <c r="U40" s="202">
        <v>2.6</v>
      </c>
      <c r="V40" s="202">
        <v>3.0</v>
      </c>
      <c r="W40" s="202">
        <v>1.7</v>
      </c>
      <c r="X40" s="202">
        <v>1.2</v>
      </c>
      <c r="Y40" s="202">
        <v>0.1</v>
      </c>
      <c r="Z40" s="202">
        <v>1.0</v>
      </c>
      <c r="AA40" s="208">
        <v>89.1</v>
      </c>
    </row>
    <row r="41">
      <c r="A41" s="198">
        <v>39.0</v>
      </c>
      <c r="B41" s="199">
        <v>2.0</v>
      </c>
      <c r="C41" s="200">
        <v>5.0</v>
      </c>
      <c r="D41" s="201" t="s">
        <v>1218</v>
      </c>
      <c r="E41" s="202" t="s">
        <v>21</v>
      </c>
      <c r="F41" s="202" t="s">
        <v>1219</v>
      </c>
      <c r="G41" s="202" t="s">
        <v>29</v>
      </c>
      <c r="H41" s="202">
        <v>2.23</v>
      </c>
      <c r="I41" s="202" t="s">
        <v>1220</v>
      </c>
      <c r="J41" s="203">
        <v>38255.0</v>
      </c>
      <c r="K41" s="204" t="s">
        <v>1135</v>
      </c>
      <c r="L41" s="205">
        <f t="shared" si="1"/>
        <v>21.79926641</v>
      </c>
      <c r="M41" s="209"/>
      <c r="N41" s="209"/>
      <c r="O41" s="207" t="s">
        <v>1221</v>
      </c>
      <c r="P41" s="202">
        <v>36.0</v>
      </c>
      <c r="Q41" s="202">
        <v>18.6</v>
      </c>
      <c r="R41" s="202">
        <v>56.8</v>
      </c>
      <c r="S41" s="202">
        <v>6.5</v>
      </c>
      <c r="T41" s="202">
        <v>1.0</v>
      </c>
      <c r="U41" s="202">
        <v>0.3</v>
      </c>
      <c r="V41" s="202">
        <v>4.9</v>
      </c>
      <c r="W41" s="202">
        <v>0.6</v>
      </c>
      <c r="X41" s="202">
        <v>0.6</v>
      </c>
      <c r="Y41" s="202">
        <v>2.9</v>
      </c>
      <c r="Z41" s="202">
        <v>0.4</v>
      </c>
      <c r="AA41" s="208">
        <v>72.7</v>
      </c>
    </row>
    <row r="42">
      <c r="A42" s="211">
        <v>40.0</v>
      </c>
      <c r="B42" s="212">
        <v>1.0</v>
      </c>
      <c r="C42" s="213">
        <v>5.0</v>
      </c>
      <c r="D42" s="214" t="s">
        <v>1222</v>
      </c>
      <c r="E42" s="215" t="s">
        <v>183</v>
      </c>
      <c r="F42" s="215" t="s">
        <v>1223</v>
      </c>
      <c r="G42" s="215" t="s">
        <v>46</v>
      </c>
      <c r="H42" s="215">
        <v>2.08</v>
      </c>
      <c r="I42" s="215" t="s">
        <v>1224</v>
      </c>
      <c r="J42" s="216">
        <v>37827.0</v>
      </c>
      <c r="K42" s="217" t="s">
        <v>1135</v>
      </c>
      <c r="L42" s="218">
        <f t="shared" si="1"/>
        <v>22.96986301</v>
      </c>
      <c r="M42" s="219"/>
      <c r="N42" s="219"/>
      <c r="O42" s="220" t="s">
        <v>1225</v>
      </c>
      <c r="P42" s="215">
        <v>39.0</v>
      </c>
      <c r="Q42" s="215">
        <v>34.5</v>
      </c>
      <c r="R42" s="215">
        <v>44.0</v>
      </c>
      <c r="S42" s="215">
        <v>14.3</v>
      </c>
      <c r="T42" s="215">
        <v>4.5</v>
      </c>
      <c r="U42" s="215">
        <v>1.6</v>
      </c>
      <c r="V42" s="215">
        <v>3.5</v>
      </c>
      <c r="W42" s="215">
        <v>8.8</v>
      </c>
      <c r="X42" s="215">
        <v>1.7</v>
      </c>
      <c r="Y42" s="215">
        <v>0.2</v>
      </c>
      <c r="Z42" s="215">
        <v>2.9</v>
      </c>
      <c r="AA42" s="221">
        <v>82.5</v>
      </c>
    </row>
    <row r="43">
      <c r="A43" s="211">
        <v>41.0</v>
      </c>
      <c r="B43" s="212">
        <v>-5.0</v>
      </c>
      <c r="C43" s="213">
        <v>5.0</v>
      </c>
      <c r="D43" s="214" t="s">
        <v>1226</v>
      </c>
      <c r="E43" s="215" t="s">
        <v>10</v>
      </c>
      <c r="F43" s="215" t="s">
        <v>1227</v>
      </c>
      <c r="G43" s="215" t="s">
        <v>82</v>
      </c>
      <c r="H43" s="215">
        <v>2.21</v>
      </c>
      <c r="I43" s="215" t="s">
        <v>1220</v>
      </c>
      <c r="J43" s="216">
        <v>37895.0</v>
      </c>
      <c r="K43" s="217" t="s">
        <v>1135</v>
      </c>
      <c r="L43" s="218">
        <f t="shared" si="1"/>
        <v>22.78356164</v>
      </c>
      <c r="M43" s="219"/>
      <c r="N43" s="219"/>
      <c r="O43" s="220" t="s">
        <v>1228</v>
      </c>
      <c r="P43" s="215">
        <v>34.0</v>
      </c>
      <c r="Q43" s="215">
        <v>27.3</v>
      </c>
      <c r="R43" s="215">
        <v>56.1</v>
      </c>
      <c r="S43" s="215">
        <v>15.9</v>
      </c>
      <c r="T43" s="215">
        <v>1.4</v>
      </c>
      <c r="U43" s="215">
        <v>0.2</v>
      </c>
      <c r="V43" s="215">
        <v>9.6</v>
      </c>
      <c r="W43" s="215">
        <v>1.2</v>
      </c>
      <c r="X43" s="215">
        <v>1.6</v>
      </c>
      <c r="Y43" s="215">
        <v>1.4</v>
      </c>
      <c r="Z43" s="215">
        <v>1.4</v>
      </c>
      <c r="AA43" s="221">
        <v>72.5</v>
      </c>
    </row>
    <row r="44">
      <c r="A44" s="211">
        <v>42.0</v>
      </c>
      <c r="B44" s="222">
        <v>26.0</v>
      </c>
      <c r="C44" s="213">
        <v>7.0</v>
      </c>
      <c r="D44" s="214" t="s">
        <v>1229</v>
      </c>
      <c r="E44" s="215" t="s">
        <v>183</v>
      </c>
      <c r="F44" s="215" t="s">
        <v>1230</v>
      </c>
      <c r="G44" s="215" t="s">
        <v>11</v>
      </c>
      <c r="H44" s="215">
        <v>2.12</v>
      </c>
      <c r="I44" s="215" t="s">
        <v>1224</v>
      </c>
      <c r="J44" s="216">
        <v>38056.0</v>
      </c>
      <c r="K44" s="217" t="s">
        <v>1135</v>
      </c>
      <c r="L44" s="218">
        <f t="shared" si="1"/>
        <v>22.34298226</v>
      </c>
      <c r="M44" s="223"/>
      <c r="N44" s="223"/>
      <c r="O44" s="220" t="s">
        <v>1231</v>
      </c>
      <c r="P44" s="215">
        <v>37.0</v>
      </c>
      <c r="Q44" s="215">
        <v>34.8</v>
      </c>
      <c r="R44" s="215">
        <v>41.0</v>
      </c>
      <c r="S44" s="215">
        <v>18.4</v>
      </c>
      <c r="T44" s="215">
        <v>8.2</v>
      </c>
      <c r="U44" s="215">
        <v>2.8</v>
      </c>
      <c r="V44" s="215">
        <v>2.8</v>
      </c>
      <c r="W44" s="215">
        <v>5.4</v>
      </c>
      <c r="X44" s="215">
        <v>2.1</v>
      </c>
      <c r="Y44" s="215">
        <v>0.2</v>
      </c>
      <c r="Z44" s="215">
        <v>2.3</v>
      </c>
      <c r="AA44" s="221">
        <v>81.4</v>
      </c>
    </row>
    <row r="45">
      <c r="A45" s="211">
        <v>43.0</v>
      </c>
      <c r="B45" s="222">
        <v>5.0</v>
      </c>
      <c r="C45" s="215">
        <v>7.0</v>
      </c>
      <c r="D45" s="214" t="s">
        <v>1232</v>
      </c>
      <c r="E45" s="215" t="s">
        <v>267</v>
      </c>
      <c r="F45" s="215" t="s">
        <v>1233</v>
      </c>
      <c r="G45" s="215" t="s">
        <v>32</v>
      </c>
      <c r="H45" s="215">
        <v>2.1</v>
      </c>
      <c r="I45" s="215" t="s">
        <v>1191</v>
      </c>
      <c r="J45" s="216">
        <v>37897.0</v>
      </c>
      <c r="K45" s="217" t="s">
        <v>1135</v>
      </c>
      <c r="L45" s="218">
        <f t="shared" si="1"/>
        <v>22.77808219</v>
      </c>
      <c r="M45" s="224"/>
      <c r="N45" s="224"/>
      <c r="O45" s="225" t="s">
        <v>1234</v>
      </c>
      <c r="P45" s="215">
        <v>37.0</v>
      </c>
      <c r="Q45" s="215">
        <v>28.1</v>
      </c>
      <c r="R45" s="215">
        <v>55.9</v>
      </c>
      <c r="S45" s="215">
        <v>8.3</v>
      </c>
      <c r="T45" s="215">
        <v>0.4</v>
      </c>
      <c r="U45" s="215">
        <v>0.0</v>
      </c>
      <c r="V45" s="215">
        <v>7.0</v>
      </c>
      <c r="W45" s="215">
        <v>3.0</v>
      </c>
      <c r="X45" s="215">
        <v>1.3</v>
      </c>
      <c r="Y45" s="215">
        <v>0.7</v>
      </c>
      <c r="Z45" s="215">
        <v>1.0</v>
      </c>
      <c r="AA45" s="221">
        <v>49.4</v>
      </c>
    </row>
    <row r="46">
      <c r="A46" s="211">
        <v>44.0</v>
      </c>
      <c r="B46" s="212">
        <v>8.0</v>
      </c>
      <c r="C46" s="213">
        <v>6.0</v>
      </c>
      <c r="D46" s="214" t="s">
        <v>1235</v>
      </c>
      <c r="E46" s="215" t="s">
        <v>10</v>
      </c>
      <c r="F46" s="215" t="s">
        <v>1236</v>
      </c>
      <c r="G46" s="215" t="s">
        <v>22</v>
      </c>
      <c r="H46" s="215">
        <v>2.05</v>
      </c>
      <c r="I46" s="215" t="s">
        <v>1191</v>
      </c>
      <c r="J46" s="216">
        <v>37628.0</v>
      </c>
      <c r="K46" s="217" t="s">
        <v>1135</v>
      </c>
      <c r="L46" s="218">
        <f t="shared" si="1"/>
        <v>23.51506849</v>
      </c>
      <c r="M46" s="224"/>
      <c r="N46" s="224"/>
      <c r="O46" s="220" t="s">
        <v>1237</v>
      </c>
      <c r="P46" s="215">
        <v>36.0</v>
      </c>
      <c r="Q46" s="215">
        <v>31.5</v>
      </c>
      <c r="R46" s="215">
        <v>52.5</v>
      </c>
      <c r="S46" s="215">
        <v>13.0</v>
      </c>
      <c r="T46" s="215">
        <v>3.7</v>
      </c>
      <c r="U46" s="215">
        <v>1.3</v>
      </c>
      <c r="V46" s="215">
        <v>7.3</v>
      </c>
      <c r="W46" s="215">
        <v>1.6</v>
      </c>
      <c r="X46" s="215">
        <v>1.5</v>
      </c>
      <c r="Y46" s="215">
        <v>1.6</v>
      </c>
      <c r="Z46" s="215">
        <v>1.1</v>
      </c>
      <c r="AA46" s="221">
        <v>71.7</v>
      </c>
    </row>
    <row r="47">
      <c r="A47" s="211">
        <v>45.0</v>
      </c>
      <c r="B47" s="226">
        <v>4.0</v>
      </c>
      <c r="C47" s="213">
        <v>7.0</v>
      </c>
      <c r="D47" s="227" t="s">
        <v>1238</v>
      </c>
      <c r="E47" s="228" t="s">
        <v>183</v>
      </c>
      <c r="F47" s="215" t="s">
        <v>1239</v>
      </c>
      <c r="G47" s="215" t="s">
        <v>52</v>
      </c>
      <c r="H47" s="215">
        <v>2.2</v>
      </c>
      <c r="I47" s="215" t="s">
        <v>1224</v>
      </c>
      <c r="J47" s="216">
        <v>37878.0</v>
      </c>
      <c r="K47" s="218" t="s">
        <v>1135</v>
      </c>
      <c r="L47" s="218">
        <f t="shared" si="1"/>
        <v>22.83013699</v>
      </c>
      <c r="M47" s="224"/>
      <c r="N47" s="224"/>
      <c r="O47" s="220" t="s">
        <v>1240</v>
      </c>
      <c r="P47" s="215">
        <v>39.0</v>
      </c>
      <c r="Q47" s="215">
        <v>30.6</v>
      </c>
      <c r="R47" s="215">
        <v>46.3</v>
      </c>
      <c r="S47" s="215">
        <v>13.3</v>
      </c>
      <c r="T47" s="215">
        <v>1.7</v>
      </c>
      <c r="U47" s="215">
        <v>0.7</v>
      </c>
      <c r="V47" s="215">
        <v>3.4</v>
      </c>
      <c r="W47" s="215">
        <v>4.4</v>
      </c>
      <c r="X47" s="215">
        <v>1.4</v>
      </c>
      <c r="Y47" s="215">
        <v>0.1</v>
      </c>
      <c r="Z47" s="215">
        <v>1.7</v>
      </c>
      <c r="AA47" s="221">
        <v>80.9</v>
      </c>
    </row>
    <row r="48">
      <c r="A48" s="211">
        <v>46.0</v>
      </c>
      <c r="B48" s="222">
        <v>1.0</v>
      </c>
      <c r="C48" s="213">
        <v>7.0</v>
      </c>
      <c r="D48" s="214" t="s">
        <v>1241</v>
      </c>
      <c r="E48" s="215" t="s">
        <v>25</v>
      </c>
      <c r="F48" s="215" t="s">
        <v>1242</v>
      </c>
      <c r="G48" s="215" t="s">
        <v>98</v>
      </c>
      <c r="H48" s="215">
        <v>2.25</v>
      </c>
      <c r="I48" s="215" t="s">
        <v>1224</v>
      </c>
      <c r="J48" s="216">
        <v>38097.0</v>
      </c>
      <c r="K48" s="217" t="s">
        <v>1135</v>
      </c>
      <c r="L48" s="218">
        <f t="shared" si="1"/>
        <v>22.2309604</v>
      </c>
      <c r="M48" s="224"/>
      <c r="N48" s="224"/>
      <c r="O48" s="220" t="s">
        <v>1243</v>
      </c>
      <c r="P48" s="215">
        <v>33.0</v>
      </c>
      <c r="Q48" s="215">
        <v>35.6</v>
      </c>
      <c r="R48" s="215">
        <v>51.0</v>
      </c>
      <c r="S48" s="215">
        <v>23.0</v>
      </c>
      <c r="T48" s="215">
        <v>3.3</v>
      </c>
      <c r="U48" s="215">
        <v>1.4</v>
      </c>
      <c r="V48" s="215">
        <v>6.2</v>
      </c>
      <c r="W48" s="215">
        <v>2.0</v>
      </c>
      <c r="X48" s="215">
        <v>0.8</v>
      </c>
      <c r="Y48" s="215">
        <v>0.4</v>
      </c>
      <c r="Z48" s="215">
        <v>1.4</v>
      </c>
      <c r="AA48" s="221">
        <v>80.9</v>
      </c>
    </row>
    <row r="49">
      <c r="A49" s="211">
        <v>47.0</v>
      </c>
      <c r="B49" s="222">
        <v>18.0</v>
      </c>
      <c r="C49" s="229"/>
      <c r="D49" s="214" t="s">
        <v>1244</v>
      </c>
      <c r="E49" s="215" t="s">
        <v>267</v>
      </c>
      <c r="F49" s="215" t="s">
        <v>1245</v>
      </c>
      <c r="G49" s="215" t="s">
        <v>11</v>
      </c>
      <c r="H49" s="215">
        <v>2.14</v>
      </c>
      <c r="I49" s="215" t="s">
        <v>1224</v>
      </c>
      <c r="J49" s="216">
        <v>37941.0</v>
      </c>
      <c r="K49" s="217" t="s">
        <v>1135</v>
      </c>
      <c r="L49" s="218">
        <f t="shared" si="1"/>
        <v>22.65753425</v>
      </c>
      <c r="M49" s="224"/>
      <c r="N49" s="224"/>
      <c r="O49" s="230" t="s">
        <v>1246</v>
      </c>
      <c r="P49" s="215">
        <v>38.0</v>
      </c>
      <c r="Q49" s="215">
        <v>20.3</v>
      </c>
      <c r="R49" s="215">
        <v>62.9</v>
      </c>
      <c r="S49" s="215">
        <v>4.9</v>
      </c>
      <c r="T49" s="215">
        <v>0.8</v>
      </c>
      <c r="U49" s="215">
        <v>0.1</v>
      </c>
      <c r="V49" s="215">
        <v>5.2</v>
      </c>
      <c r="W49" s="215">
        <v>1.6</v>
      </c>
      <c r="X49" s="215">
        <v>1.8</v>
      </c>
      <c r="Y49" s="215">
        <v>0.6</v>
      </c>
      <c r="Z49" s="215">
        <v>1.2</v>
      </c>
      <c r="AA49" s="221">
        <v>50.0</v>
      </c>
    </row>
    <row r="50">
      <c r="A50" s="211">
        <v>48.0</v>
      </c>
      <c r="B50" s="222">
        <v>13.0</v>
      </c>
      <c r="C50" s="215">
        <v>7.0</v>
      </c>
      <c r="D50" s="231" t="s">
        <v>1247</v>
      </c>
      <c r="E50" s="232" t="s">
        <v>36</v>
      </c>
      <c r="F50" s="232" t="s">
        <v>1248</v>
      </c>
      <c r="G50" s="232" t="s">
        <v>15</v>
      </c>
      <c r="H50" s="232">
        <v>2.11</v>
      </c>
      <c r="I50" s="215" t="s">
        <v>1224</v>
      </c>
      <c r="J50" s="233">
        <v>37793.0</v>
      </c>
      <c r="K50" s="234" t="s">
        <v>1135</v>
      </c>
      <c r="L50" s="218">
        <f t="shared" si="1"/>
        <v>23.0630137</v>
      </c>
      <c r="M50" s="235"/>
      <c r="N50" s="235"/>
      <c r="O50" s="236" t="s">
        <v>1249</v>
      </c>
      <c r="P50" s="232">
        <v>36.0</v>
      </c>
      <c r="Q50" s="232">
        <v>32.8</v>
      </c>
      <c r="R50" s="232">
        <v>46.5</v>
      </c>
      <c r="S50" s="232">
        <v>18.6</v>
      </c>
      <c r="T50" s="232">
        <v>3.8</v>
      </c>
      <c r="U50" s="232">
        <v>1.3</v>
      </c>
      <c r="V50" s="232">
        <v>4.8</v>
      </c>
      <c r="W50" s="232">
        <v>2.7</v>
      </c>
      <c r="X50" s="232">
        <v>1.8</v>
      </c>
      <c r="Y50" s="232">
        <v>0.3</v>
      </c>
      <c r="Z50" s="232">
        <v>2.1</v>
      </c>
      <c r="AA50" s="237">
        <v>73.1</v>
      </c>
    </row>
    <row r="51">
      <c r="A51" s="211">
        <v>49.0</v>
      </c>
      <c r="B51" s="222">
        <v>16.0</v>
      </c>
      <c r="C51" s="215"/>
      <c r="D51" s="214" t="s">
        <v>1250</v>
      </c>
      <c r="E51" s="215" t="s">
        <v>36</v>
      </c>
      <c r="F51" s="215" t="s">
        <v>1251</v>
      </c>
      <c r="G51" s="215" t="s">
        <v>22</v>
      </c>
      <c r="H51" s="215">
        <v>2.19</v>
      </c>
      <c r="I51" s="215" t="s">
        <v>1191</v>
      </c>
      <c r="J51" s="216">
        <v>37506.0</v>
      </c>
      <c r="K51" s="217" t="s">
        <v>1135</v>
      </c>
      <c r="L51" s="218">
        <f t="shared" si="1"/>
        <v>23.84931507</v>
      </c>
      <c r="M51" s="219"/>
      <c r="N51" s="219"/>
      <c r="O51" s="220" t="s">
        <v>1252</v>
      </c>
      <c r="P51" s="215">
        <v>37.0</v>
      </c>
      <c r="Q51" s="215">
        <v>28.8</v>
      </c>
      <c r="R51" s="215">
        <v>46.9</v>
      </c>
      <c r="S51" s="215">
        <v>13.6</v>
      </c>
      <c r="T51" s="215">
        <v>2.5</v>
      </c>
      <c r="U51" s="215">
        <v>0.9</v>
      </c>
      <c r="V51" s="215">
        <v>6.2</v>
      </c>
      <c r="W51" s="215">
        <v>1.9</v>
      </c>
      <c r="X51" s="215">
        <v>1.1</v>
      </c>
      <c r="Y51" s="215">
        <v>0.3</v>
      </c>
      <c r="Z51" s="215">
        <v>1.3</v>
      </c>
      <c r="AA51" s="221">
        <v>71.3</v>
      </c>
    </row>
    <row r="52">
      <c r="A52" s="211">
        <v>50.0</v>
      </c>
      <c r="B52" s="212">
        <v>-14.0</v>
      </c>
      <c r="C52" s="213"/>
      <c r="D52" s="214" t="s">
        <v>1253</v>
      </c>
      <c r="E52" s="215" t="s">
        <v>36</v>
      </c>
      <c r="F52" s="215" t="s">
        <v>1254</v>
      </c>
      <c r="G52" s="215" t="s">
        <v>22</v>
      </c>
      <c r="H52" s="215" t="s">
        <v>1255</v>
      </c>
      <c r="I52" s="215" t="s">
        <v>1256</v>
      </c>
      <c r="J52" s="216">
        <v>37330.0</v>
      </c>
      <c r="K52" s="217" t="s">
        <v>1135</v>
      </c>
      <c r="L52" s="218">
        <f t="shared" si="1"/>
        <v>24.33150685</v>
      </c>
      <c r="M52" s="224"/>
      <c r="N52" s="224"/>
      <c r="O52" s="220" t="s">
        <v>1257</v>
      </c>
      <c r="P52" s="215">
        <v>33.0</v>
      </c>
      <c r="Q52" s="215">
        <v>31.4</v>
      </c>
      <c r="R52" s="215">
        <v>43.8</v>
      </c>
      <c r="S52" s="215">
        <v>17.7</v>
      </c>
      <c r="T52" s="215">
        <v>4.6</v>
      </c>
      <c r="U52" s="215">
        <v>1.6</v>
      </c>
      <c r="V52" s="215">
        <v>5.5</v>
      </c>
      <c r="W52" s="215">
        <v>3.0</v>
      </c>
      <c r="X52" s="215">
        <v>2.8</v>
      </c>
      <c r="Y52" s="215">
        <v>0.5</v>
      </c>
      <c r="Z52" s="215">
        <v>2.4</v>
      </c>
      <c r="AA52" s="221">
        <v>78.6</v>
      </c>
    </row>
    <row r="53">
      <c r="A53" s="211">
        <v>51.0</v>
      </c>
      <c r="B53" s="238">
        <v>-6.0</v>
      </c>
      <c r="C53" s="213"/>
      <c r="D53" s="227" t="s">
        <v>1258</v>
      </c>
      <c r="E53" s="215" t="s">
        <v>14</v>
      </c>
      <c r="F53" s="215"/>
      <c r="G53" s="215" t="s">
        <v>106</v>
      </c>
      <c r="H53" s="215">
        <v>2.09</v>
      </c>
      <c r="I53" s="215" t="s">
        <v>1259</v>
      </c>
      <c r="J53" s="216">
        <v>39109.0</v>
      </c>
      <c r="K53" s="217" t="s">
        <v>1165</v>
      </c>
      <c r="L53" s="218">
        <f t="shared" si="1"/>
        <v>19.46027397</v>
      </c>
      <c r="M53" s="224"/>
      <c r="N53" s="224"/>
      <c r="O53" s="220" t="s">
        <v>1260</v>
      </c>
      <c r="P53" s="215">
        <v>60.0</v>
      </c>
      <c r="Q53" s="215">
        <v>21.3</v>
      </c>
      <c r="R53" s="215">
        <v>38.3</v>
      </c>
      <c r="S53" s="215">
        <v>12.2</v>
      </c>
      <c r="T53" s="215">
        <v>5.5</v>
      </c>
      <c r="U53" s="215">
        <v>1.6</v>
      </c>
      <c r="V53" s="215">
        <v>2.9</v>
      </c>
      <c r="W53" s="215">
        <v>3.7</v>
      </c>
      <c r="X53" s="215">
        <v>1.0</v>
      </c>
      <c r="Y53" s="215">
        <v>0.2</v>
      </c>
      <c r="Z53" s="215">
        <v>2.4</v>
      </c>
      <c r="AA53" s="221">
        <v>77.8</v>
      </c>
    </row>
    <row r="54">
      <c r="A54" s="239">
        <v>52.0</v>
      </c>
      <c r="B54" s="9">
        <v>9.0</v>
      </c>
      <c r="C54" s="240"/>
      <c r="D54" s="240" t="s">
        <v>1261</v>
      </c>
      <c r="E54" s="240" t="s">
        <v>36</v>
      </c>
      <c r="F54" s="240" t="s">
        <v>1262</v>
      </c>
      <c r="G54" s="240" t="s">
        <v>176</v>
      </c>
      <c r="H54" s="240">
        <v>2.24</v>
      </c>
      <c r="I54" s="240" t="s">
        <v>1263</v>
      </c>
      <c r="J54" s="241">
        <v>38128.0</v>
      </c>
      <c r="K54" s="242" t="s">
        <v>1135</v>
      </c>
      <c r="L54" s="243">
        <f t="shared" si="1"/>
        <v>22.14626095</v>
      </c>
      <c r="M54" s="244"/>
      <c r="N54" s="244"/>
      <c r="O54" s="245" t="s">
        <v>1264</v>
      </c>
      <c r="P54" s="240">
        <v>33.0</v>
      </c>
      <c r="Q54" s="240">
        <v>29.5</v>
      </c>
      <c r="R54" s="240">
        <v>42.7</v>
      </c>
      <c r="S54" s="240">
        <v>12.7</v>
      </c>
      <c r="T54" s="240">
        <v>5.1</v>
      </c>
      <c r="U54" s="240">
        <v>1.7</v>
      </c>
      <c r="V54" s="240">
        <v>5.7</v>
      </c>
      <c r="W54" s="240">
        <v>1.1</v>
      </c>
      <c r="X54" s="240">
        <v>1.2</v>
      </c>
      <c r="Y54" s="240">
        <v>1.0</v>
      </c>
      <c r="Z54" s="240">
        <v>1.0</v>
      </c>
      <c r="AA54" s="246">
        <v>76.3</v>
      </c>
    </row>
    <row r="55">
      <c r="A55" s="239">
        <v>53.0</v>
      </c>
      <c r="B55" s="247">
        <v>3.0</v>
      </c>
      <c r="C55" s="248">
        <v>7.0</v>
      </c>
      <c r="D55" s="249" t="s">
        <v>1265</v>
      </c>
      <c r="E55" s="240" t="s">
        <v>21</v>
      </c>
      <c r="F55" s="240" t="s">
        <v>1266</v>
      </c>
      <c r="G55" s="240" t="s">
        <v>66</v>
      </c>
      <c r="H55" s="240">
        <v>2.16</v>
      </c>
      <c r="I55" s="240" t="s">
        <v>1224</v>
      </c>
      <c r="J55" s="241">
        <v>38097.0</v>
      </c>
      <c r="K55" s="242" t="s">
        <v>1135</v>
      </c>
      <c r="L55" s="243">
        <f t="shared" si="1"/>
        <v>22.2309604</v>
      </c>
      <c r="M55" s="244"/>
      <c r="N55" s="244"/>
      <c r="O55" s="245" t="s">
        <v>1267</v>
      </c>
      <c r="P55" s="240">
        <v>35.0</v>
      </c>
      <c r="Q55" s="240">
        <v>26.9</v>
      </c>
      <c r="R55" s="240">
        <v>59.7</v>
      </c>
      <c r="S55" s="240">
        <v>8.0</v>
      </c>
      <c r="T55" s="240">
        <v>0.3</v>
      </c>
      <c r="U55" s="240">
        <v>0.1</v>
      </c>
      <c r="V55" s="240">
        <v>6.3</v>
      </c>
      <c r="W55" s="240">
        <v>0.5</v>
      </c>
      <c r="X55" s="240">
        <v>0.4</v>
      </c>
      <c r="Y55" s="240">
        <v>1.5</v>
      </c>
      <c r="Z55" s="240">
        <v>1.0</v>
      </c>
      <c r="AA55" s="246">
        <v>63.5</v>
      </c>
    </row>
    <row r="56">
      <c r="A56" s="239">
        <v>54.0</v>
      </c>
      <c r="B56" s="9">
        <v>4.0</v>
      </c>
      <c r="C56" s="240"/>
      <c r="D56" s="249" t="s">
        <v>1268</v>
      </c>
      <c r="E56" s="240" t="s">
        <v>267</v>
      </c>
      <c r="F56" s="240" t="s">
        <v>1269</v>
      </c>
      <c r="G56" s="240" t="s">
        <v>158</v>
      </c>
      <c r="H56" s="240">
        <v>2.13</v>
      </c>
      <c r="I56" s="240" t="s">
        <v>1224</v>
      </c>
      <c r="J56" s="241">
        <v>38094.0</v>
      </c>
      <c r="K56" s="242" t="s">
        <v>1135</v>
      </c>
      <c r="L56" s="250">
        <f t="shared" si="1"/>
        <v>22.23915712</v>
      </c>
      <c r="M56" s="251"/>
      <c r="N56" s="251"/>
      <c r="O56" s="245" t="s">
        <v>1270</v>
      </c>
      <c r="P56" s="240">
        <v>31.0</v>
      </c>
      <c r="Q56" s="240">
        <v>30.2</v>
      </c>
      <c r="R56" s="240">
        <v>51.8</v>
      </c>
      <c r="S56" s="240">
        <v>17.6</v>
      </c>
      <c r="T56" s="240">
        <v>4.5</v>
      </c>
      <c r="U56" s="240">
        <v>2.1</v>
      </c>
      <c r="V56" s="240">
        <v>5.6</v>
      </c>
      <c r="W56" s="240">
        <v>1.1</v>
      </c>
      <c r="X56" s="240">
        <v>0.5</v>
      </c>
      <c r="Y56" s="240">
        <v>0.4</v>
      </c>
      <c r="Z56" s="240">
        <v>1.3</v>
      </c>
      <c r="AA56" s="246">
        <v>87.3</v>
      </c>
    </row>
    <row r="57">
      <c r="A57" s="239">
        <v>55.0</v>
      </c>
      <c r="B57" s="247">
        <v>-2.0</v>
      </c>
      <c r="C57" s="248">
        <v>6.0</v>
      </c>
      <c r="D57" s="249" t="s">
        <v>1271</v>
      </c>
      <c r="E57" s="240" t="s">
        <v>25</v>
      </c>
      <c r="F57" s="240" t="s">
        <v>1272</v>
      </c>
      <c r="G57" s="240" t="s">
        <v>106</v>
      </c>
      <c r="H57" s="240">
        <v>2.17</v>
      </c>
      <c r="I57" s="240" t="s">
        <v>1191</v>
      </c>
      <c r="J57" s="241">
        <v>37869.0</v>
      </c>
      <c r="K57" s="242" t="s">
        <v>1135</v>
      </c>
      <c r="L57" s="243">
        <f t="shared" si="1"/>
        <v>22.85479452</v>
      </c>
      <c r="M57" s="244"/>
      <c r="N57" s="244"/>
      <c r="O57" s="245" t="s">
        <v>1273</v>
      </c>
      <c r="P57" s="240">
        <v>36.0</v>
      </c>
      <c r="Q57" s="240">
        <v>30.6</v>
      </c>
      <c r="R57" s="240">
        <v>44.5</v>
      </c>
      <c r="S57" s="240">
        <v>13.5</v>
      </c>
      <c r="T57" s="240">
        <v>7.6</v>
      </c>
      <c r="U57" s="240">
        <v>3.1</v>
      </c>
      <c r="V57" s="240">
        <v>3.3</v>
      </c>
      <c r="W57" s="240">
        <v>1.2</v>
      </c>
      <c r="X57" s="240">
        <v>0.8</v>
      </c>
      <c r="Y57" s="240">
        <v>0.5</v>
      </c>
      <c r="Z57" s="240">
        <v>0.7</v>
      </c>
      <c r="AA57" s="246">
        <v>84.7</v>
      </c>
    </row>
    <row r="58">
      <c r="A58" s="239">
        <v>56.0</v>
      </c>
      <c r="B58" s="9">
        <v>3.0</v>
      </c>
      <c r="C58" s="240">
        <v>7.0</v>
      </c>
      <c r="D58" s="249" t="s">
        <v>1274</v>
      </c>
      <c r="E58" s="240" t="s">
        <v>267</v>
      </c>
      <c r="F58" s="240" t="s">
        <v>1275</v>
      </c>
      <c r="G58" s="252" t="s">
        <v>26</v>
      </c>
      <c r="H58" s="252">
        <v>2.18</v>
      </c>
      <c r="I58" s="240" t="s">
        <v>1224</v>
      </c>
      <c r="J58" s="253">
        <v>37742.0</v>
      </c>
      <c r="K58" s="254" t="s">
        <v>1135</v>
      </c>
      <c r="L58" s="250">
        <f t="shared" si="1"/>
        <v>23.20273973</v>
      </c>
      <c r="M58" s="251"/>
      <c r="N58" s="251"/>
      <c r="O58" s="255" t="s">
        <v>1276</v>
      </c>
      <c r="P58" s="240">
        <v>23.0</v>
      </c>
      <c r="Q58" s="240">
        <v>29.1</v>
      </c>
      <c r="R58" s="240">
        <v>54.2</v>
      </c>
      <c r="S58" s="240">
        <v>12.3</v>
      </c>
      <c r="T58" s="240">
        <v>2.1</v>
      </c>
      <c r="U58" s="240">
        <v>0.5</v>
      </c>
      <c r="V58" s="240">
        <v>8.5</v>
      </c>
      <c r="W58" s="240">
        <v>0.6</v>
      </c>
      <c r="X58" s="240">
        <v>0.3</v>
      </c>
      <c r="Y58" s="240">
        <v>1.1</v>
      </c>
      <c r="Z58" s="240">
        <v>1.8</v>
      </c>
      <c r="AA58" s="246">
        <v>76.3</v>
      </c>
    </row>
    <row r="59">
      <c r="A59" s="239">
        <v>57.0</v>
      </c>
      <c r="B59" s="247">
        <v>-8.0</v>
      </c>
      <c r="C59" s="248">
        <v>6.0</v>
      </c>
      <c r="D59" s="249" t="s">
        <v>1277</v>
      </c>
      <c r="E59" s="240" t="s">
        <v>21</v>
      </c>
      <c r="F59" s="240" t="s">
        <v>1278</v>
      </c>
      <c r="G59" s="240" t="s">
        <v>213</v>
      </c>
      <c r="H59" s="240" t="s">
        <v>1255</v>
      </c>
      <c r="I59" s="240" t="s">
        <v>1220</v>
      </c>
      <c r="J59" s="241">
        <v>37710.0</v>
      </c>
      <c r="K59" s="242" t="s">
        <v>1135</v>
      </c>
      <c r="L59" s="250">
        <f t="shared" si="1"/>
        <v>23.29041096</v>
      </c>
      <c r="M59" s="244"/>
      <c r="N59" s="244"/>
      <c r="O59" s="245" t="s">
        <v>1279</v>
      </c>
      <c r="P59" s="240">
        <v>29.0</v>
      </c>
      <c r="Q59" s="240">
        <v>27.3</v>
      </c>
      <c r="R59" s="240">
        <v>62.7</v>
      </c>
      <c r="S59" s="240">
        <v>15.3</v>
      </c>
      <c r="T59" s="240">
        <v>0.0</v>
      </c>
      <c r="U59" s="240">
        <v>0.0</v>
      </c>
      <c r="V59" s="240">
        <v>9.1</v>
      </c>
      <c r="W59" s="240">
        <v>1.7</v>
      </c>
      <c r="X59" s="240">
        <v>1.8</v>
      </c>
      <c r="Y59" s="240">
        <v>1.7</v>
      </c>
      <c r="Z59" s="240">
        <v>1.9</v>
      </c>
      <c r="AA59" s="246">
        <v>66.1</v>
      </c>
    </row>
    <row r="60">
      <c r="A60" s="239">
        <v>58.0</v>
      </c>
      <c r="B60" s="247"/>
      <c r="C60" s="248"/>
      <c r="D60" s="256" t="s">
        <v>1280</v>
      </c>
      <c r="E60" s="240" t="s">
        <v>36</v>
      </c>
      <c r="F60" s="240"/>
      <c r="G60" s="240" t="s">
        <v>26</v>
      </c>
      <c r="H60" s="240">
        <v>2.26</v>
      </c>
      <c r="I60" s="240" t="s">
        <v>1191</v>
      </c>
      <c r="J60" s="241">
        <v>38393.0</v>
      </c>
      <c r="K60" s="242"/>
      <c r="L60" s="250">
        <f t="shared" si="1"/>
        <v>21.42191781</v>
      </c>
      <c r="M60" s="251"/>
      <c r="N60" s="251"/>
      <c r="O60" s="245" t="s">
        <v>1281</v>
      </c>
      <c r="P60" s="240">
        <v>48.0</v>
      </c>
      <c r="Q60" s="240">
        <v>23.6</v>
      </c>
      <c r="R60" s="240">
        <v>50.6</v>
      </c>
      <c r="S60" s="240">
        <v>8.7</v>
      </c>
      <c r="T60" s="240">
        <v>0.7</v>
      </c>
      <c r="U60" s="240">
        <v>1.5</v>
      </c>
      <c r="V60" s="240">
        <v>4.6</v>
      </c>
      <c r="W60" s="240">
        <v>2.0</v>
      </c>
      <c r="X60" s="240">
        <v>1.3</v>
      </c>
      <c r="Y60" s="240">
        <v>0.7</v>
      </c>
      <c r="Z60" s="240">
        <v>1.6</v>
      </c>
      <c r="AA60" s="246">
        <v>78.1</v>
      </c>
    </row>
    <row r="61">
      <c r="A61" s="239">
        <v>59.0</v>
      </c>
      <c r="B61" s="247">
        <v>-19.0</v>
      </c>
      <c r="C61" s="248">
        <v>5.0</v>
      </c>
      <c r="D61" s="249" t="s">
        <v>1282</v>
      </c>
      <c r="E61" s="240" t="s">
        <v>14</v>
      </c>
      <c r="F61" s="240" t="s">
        <v>1283</v>
      </c>
      <c r="G61" s="240" t="s">
        <v>55</v>
      </c>
      <c r="H61" s="240" t="s">
        <v>1255</v>
      </c>
      <c r="I61" s="240" t="s">
        <v>1224</v>
      </c>
      <c r="J61" s="241">
        <v>37868.0</v>
      </c>
      <c r="K61" s="242" t="s">
        <v>1135</v>
      </c>
      <c r="L61" s="243">
        <f t="shared" si="1"/>
        <v>22.85753425</v>
      </c>
      <c r="M61" s="251"/>
      <c r="N61" s="251"/>
      <c r="O61" s="245" t="s">
        <v>1284</v>
      </c>
      <c r="P61" s="240">
        <v>34.0</v>
      </c>
      <c r="Q61" s="240">
        <v>28.9</v>
      </c>
      <c r="R61" s="240">
        <v>49.4</v>
      </c>
      <c r="S61" s="240">
        <v>13.9</v>
      </c>
      <c r="T61" s="240">
        <v>1.7</v>
      </c>
      <c r="U61" s="240">
        <v>0.7</v>
      </c>
      <c r="V61" s="240">
        <v>3.6</v>
      </c>
      <c r="W61" s="240">
        <v>6.5</v>
      </c>
      <c r="X61" s="240">
        <v>1.8</v>
      </c>
      <c r="Y61" s="240">
        <v>0.1</v>
      </c>
      <c r="Z61" s="240">
        <v>2.8</v>
      </c>
      <c r="AA61" s="246">
        <v>77.5</v>
      </c>
    </row>
    <row r="62">
      <c r="A62" s="239">
        <v>60.0</v>
      </c>
      <c r="B62" s="247">
        <v>-13.0</v>
      </c>
      <c r="C62" s="248">
        <v>6.0</v>
      </c>
      <c r="D62" s="249" t="s">
        <v>1285</v>
      </c>
      <c r="E62" s="240" t="s">
        <v>573</v>
      </c>
      <c r="F62" s="240" t="s">
        <v>1216</v>
      </c>
      <c r="G62" s="240" t="s">
        <v>1165</v>
      </c>
      <c r="H62" s="240" t="s">
        <v>1255</v>
      </c>
      <c r="I62" s="36" t="s">
        <v>1256</v>
      </c>
      <c r="J62" s="241">
        <v>37290.0</v>
      </c>
      <c r="K62" s="242" t="s">
        <v>1135</v>
      </c>
      <c r="L62" s="243">
        <f t="shared" si="1"/>
        <v>24.44109589</v>
      </c>
      <c r="M62" s="251"/>
      <c r="N62" s="251"/>
      <c r="O62" s="245" t="s">
        <v>1286</v>
      </c>
      <c r="P62" s="240">
        <v>36.0</v>
      </c>
      <c r="Q62" s="240">
        <v>33.5</v>
      </c>
      <c r="R62" s="240">
        <v>48.5</v>
      </c>
      <c r="S62" s="240">
        <v>19.5</v>
      </c>
      <c r="T62" s="240">
        <v>4.5</v>
      </c>
      <c r="U62" s="240">
        <v>1.7</v>
      </c>
      <c r="V62" s="240">
        <v>3.6</v>
      </c>
      <c r="W62" s="240">
        <v>5.1</v>
      </c>
      <c r="X62" s="240">
        <v>2.4</v>
      </c>
      <c r="Y62" s="240">
        <v>0.3</v>
      </c>
      <c r="Z62" s="240">
        <v>1.9</v>
      </c>
      <c r="AA62" s="246">
        <v>85.3</v>
      </c>
    </row>
    <row r="63">
      <c r="A63" s="239">
        <v>61.0</v>
      </c>
      <c r="B63" s="247">
        <v>13.0</v>
      </c>
      <c r="C63" s="257"/>
      <c r="D63" s="249" t="s">
        <v>1287</v>
      </c>
      <c r="E63" s="35" t="s">
        <v>267</v>
      </c>
      <c r="F63" s="35" t="s">
        <v>1288</v>
      </c>
      <c r="G63" s="36" t="s">
        <v>37</v>
      </c>
      <c r="H63" s="36">
        <v>2.29</v>
      </c>
      <c r="I63" s="36" t="s">
        <v>1191</v>
      </c>
      <c r="J63" s="48">
        <v>37487.0</v>
      </c>
      <c r="K63" s="258" t="s">
        <v>1135</v>
      </c>
      <c r="L63" s="250">
        <f t="shared" si="1"/>
        <v>23.90136986</v>
      </c>
      <c r="M63" s="259"/>
      <c r="N63" s="259"/>
      <c r="O63" s="59" t="s">
        <v>1289</v>
      </c>
      <c r="P63" s="35">
        <v>37.0</v>
      </c>
      <c r="Q63" s="260">
        <v>28.1</v>
      </c>
      <c r="R63" s="261">
        <v>57.8</v>
      </c>
      <c r="S63" s="262">
        <v>14.2</v>
      </c>
      <c r="T63" s="263">
        <v>0.4</v>
      </c>
      <c r="U63" s="264">
        <v>0.1</v>
      </c>
      <c r="V63" s="265">
        <v>8.3</v>
      </c>
      <c r="W63" s="266">
        <v>2.5</v>
      </c>
      <c r="X63" s="267">
        <v>0.4</v>
      </c>
      <c r="Y63" s="268">
        <v>0.2</v>
      </c>
      <c r="Z63" s="269">
        <v>1.4</v>
      </c>
      <c r="AA63" s="270">
        <v>63.6</v>
      </c>
    </row>
    <row r="64">
      <c r="A64" s="239">
        <v>62.0</v>
      </c>
      <c r="B64" s="49">
        <v>12.0</v>
      </c>
      <c r="C64" s="240"/>
      <c r="D64" s="249" t="s">
        <v>1290</v>
      </c>
      <c r="E64" s="240" t="s">
        <v>573</v>
      </c>
      <c r="F64" s="240" t="s">
        <v>1262</v>
      </c>
      <c r="G64" s="252" t="s">
        <v>114</v>
      </c>
      <c r="H64" s="252">
        <v>2.28</v>
      </c>
      <c r="I64" s="252" t="s">
        <v>1191</v>
      </c>
      <c r="J64" s="253">
        <v>37449.0</v>
      </c>
      <c r="K64" s="254" t="s">
        <v>1135</v>
      </c>
      <c r="L64" s="243">
        <f t="shared" si="1"/>
        <v>24.00547945</v>
      </c>
      <c r="M64" s="251"/>
      <c r="N64" s="251"/>
      <c r="O64" s="245" t="s">
        <v>1291</v>
      </c>
      <c r="P64" s="240">
        <v>34.0</v>
      </c>
      <c r="Q64" s="240">
        <v>33.2</v>
      </c>
      <c r="R64" s="240">
        <v>46.2</v>
      </c>
      <c r="S64" s="240">
        <v>17.6</v>
      </c>
      <c r="T64" s="240">
        <v>6.4</v>
      </c>
      <c r="U64" s="240">
        <v>2.4</v>
      </c>
      <c r="V64" s="240">
        <v>4.9</v>
      </c>
      <c r="W64" s="240">
        <v>2.1</v>
      </c>
      <c r="X64" s="240">
        <v>1.0</v>
      </c>
      <c r="Y64" s="240">
        <v>0.4</v>
      </c>
      <c r="Z64" s="240">
        <v>1.9</v>
      </c>
      <c r="AA64" s="246">
        <v>75.8</v>
      </c>
    </row>
    <row r="65">
      <c r="A65" s="239">
        <v>63.0</v>
      </c>
      <c r="B65" s="247">
        <v>-20.0</v>
      </c>
      <c r="C65" s="248">
        <v>6.0</v>
      </c>
      <c r="D65" s="249" t="s">
        <v>1292</v>
      </c>
      <c r="E65" s="240" t="s">
        <v>21</v>
      </c>
      <c r="F65" s="240" t="s">
        <v>1293</v>
      </c>
      <c r="G65" s="240" t="s">
        <v>52</v>
      </c>
      <c r="H65" s="240" t="s">
        <v>1255</v>
      </c>
      <c r="I65" s="240" t="s">
        <v>1256</v>
      </c>
      <c r="J65" s="241">
        <v>37775.0</v>
      </c>
      <c r="K65" s="242" t="s">
        <v>1135</v>
      </c>
      <c r="L65" s="250">
        <f t="shared" si="1"/>
        <v>23.11232877</v>
      </c>
      <c r="M65" s="251"/>
      <c r="N65" s="251"/>
      <c r="O65" s="245" t="s">
        <v>1294</v>
      </c>
      <c r="P65" s="240">
        <v>25.0</v>
      </c>
      <c r="Q65" s="240">
        <v>31.1</v>
      </c>
      <c r="R65" s="240">
        <v>46.5</v>
      </c>
      <c r="S65" s="240">
        <v>16.8</v>
      </c>
      <c r="T65" s="240">
        <v>4.5</v>
      </c>
      <c r="U65" s="240">
        <v>1.4</v>
      </c>
      <c r="V65" s="240">
        <v>6.9</v>
      </c>
      <c r="W65" s="240">
        <v>2.6</v>
      </c>
      <c r="X65" s="240">
        <v>0.9</v>
      </c>
      <c r="Y65" s="240">
        <v>1.8</v>
      </c>
      <c r="Z65" s="240">
        <v>2.2</v>
      </c>
      <c r="AA65" s="246">
        <v>73.2</v>
      </c>
    </row>
    <row r="66">
      <c r="A66" s="239">
        <v>64.0</v>
      </c>
      <c r="B66" s="9">
        <v>-4.0</v>
      </c>
      <c r="C66" s="240">
        <v>7.0</v>
      </c>
      <c r="D66" s="249" t="s">
        <v>1295</v>
      </c>
      <c r="E66" s="240" t="s">
        <v>36</v>
      </c>
      <c r="F66" s="240" t="s">
        <v>1296</v>
      </c>
      <c r="G66" s="252" t="s">
        <v>128</v>
      </c>
      <c r="H66" s="252" t="s">
        <v>1255</v>
      </c>
      <c r="I66" s="252" t="s">
        <v>1256</v>
      </c>
      <c r="J66" s="253">
        <v>37720.0</v>
      </c>
      <c r="K66" s="254" t="s">
        <v>1135</v>
      </c>
      <c r="L66" s="250">
        <f t="shared" si="1"/>
        <v>23.2630137</v>
      </c>
      <c r="M66" s="251"/>
      <c r="N66" s="251"/>
      <c r="O66" s="245" t="s">
        <v>1297</v>
      </c>
      <c r="P66" s="240">
        <v>36.0</v>
      </c>
      <c r="Q66" s="240">
        <v>33.6</v>
      </c>
      <c r="R66" s="240">
        <v>45.1</v>
      </c>
      <c r="S66" s="240">
        <v>19.3</v>
      </c>
      <c r="T66" s="240">
        <v>4.7</v>
      </c>
      <c r="U66" s="240">
        <v>1.8</v>
      </c>
      <c r="V66" s="240">
        <v>7.1</v>
      </c>
      <c r="W66" s="240">
        <v>2.6</v>
      </c>
      <c r="X66" s="240">
        <v>0.7</v>
      </c>
      <c r="Y66" s="240">
        <v>0.6</v>
      </c>
      <c r="Z66" s="240">
        <v>2.5</v>
      </c>
      <c r="AA66" s="246">
        <v>85.7</v>
      </c>
    </row>
    <row r="67">
      <c r="A67" s="239">
        <v>65.0</v>
      </c>
      <c r="B67" s="9">
        <v>-8.0</v>
      </c>
      <c r="C67" s="248">
        <v>7.0</v>
      </c>
      <c r="D67" s="249" t="s">
        <v>1298</v>
      </c>
      <c r="E67" s="240" t="s">
        <v>573</v>
      </c>
      <c r="F67" s="240" t="s">
        <v>1299</v>
      </c>
      <c r="G67" s="240" t="s">
        <v>18</v>
      </c>
      <c r="H67" s="240" t="s">
        <v>1255</v>
      </c>
      <c r="I67" s="240" t="s">
        <v>1224</v>
      </c>
      <c r="J67" s="241">
        <v>37987.0</v>
      </c>
      <c r="K67" s="242" t="s">
        <v>1135</v>
      </c>
      <c r="L67" s="243">
        <f t="shared" si="1"/>
        <v>22.53150685</v>
      </c>
      <c r="M67" s="251"/>
      <c r="N67" s="251"/>
      <c r="O67" s="255" t="s">
        <v>1300</v>
      </c>
      <c r="P67" s="240">
        <v>33.0</v>
      </c>
      <c r="Q67" s="240">
        <v>31.1</v>
      </c>
      <c r="R67" s="240">
        <v>54.6</v>
      </c>
      <c r="S67" s="240">
        <v>14.8</v>
      </c>
      <c r="T67" s="240">
        <v>2.9</v>
      </c>
      <c r="U67" s="240">
        <v>1.2</v>
      </c>
      <c r="V67" s="240">
        <v>4.6</v>
      </c>
      <c r="W67" s="240">
        <v>4.0</v>
      </c>
      <c r="X67" s="240">
        <v>1.3</v>
      </c>
      <c r="Y67" s="240">
        <v>0.4</v>
      </c>
      <c r="Z67" s="240">
        <v>1.9</v>
      </c>
      <c r="AA67" s="246">
        <v>73.4</v>
      </c>
    </row>
    <row r="68">
      <c r="A68" s="239">
        <v>66.0</v>
      </c>
      <c r="B68" s="247">
        <v>-14.0</v>
      </c>
      <c r="C68" s="248">
        <v>6.0</v>
      </c>
      <c r="D68" s="249" t="s">
        <v>1301</v>
      </c>
      <c r="E68" s="240" t="s">
        <v>183</v>
      </c>
      <c r="F68" s="240" t="s">
        <v>1302</v>
      </c>
      <c r="G68" s="240" t="s">
        <v>90</v>
      </c>
      <c r="H68" s="240" t="s">
        <v>1255</v>
      </c>
      <c r="I68" s="240" t="s">
        <v>1224</v>
      </c>
      <c r="J68" s="241">
        <v>38460.0</v>
      </c>
      <c r="K68" s="242" t="s">
        <v>1135</v>
      </c>
      <c r="L68" s="243">
        <f t="shared" si="1"/>
        <v>21.23835616</v>
      </c>
      <c r="M68" s="251"/>
      <c r="N68" s="251"/>
      <c r="O68" s="245" t="s">
        <v>1303</v>
      </c>
      <c r="P68" s="240">
        <v>30.0</v>
      </c>
      <c r="Q68" s="240">
        <v>30.0</v>
      </c>
      <c r="R68" s="240">
        <v>44.4</v>
      </c>
      <c r="S68" s="240">
        <v>12.3</v>
      </c>
      <c r="T68" s="240">
        <v>3.8</v>
      </c>
      <c r="U68" s="240">
        <v>1.2</v>
      </c>
      <c r="V68" s="240">
        <v>4.0</v>
      </c>
      <c r="W68" s="240">
        <v>3.0</v>
      </c>
      <c r="X68" s="240">
        <v>0.7</v>
      </c>
      <c r="Y68" s="240">
        <v>0.0</v>
      </c>
      <c r="Z68" s="240">
        <v>1.1</v>
      </c>
      <c r="AA68" s="246">
        <v>78.1</v>
      </c>
    </row>
    <row r="69">
      <c r="A69" s="239">
        <v>67.0</v>
      </c>
      <c r="B69" s="247">
        <v>10.0</v>
      </c>
      <c r="C69" s="271"/>
      <c r="D69" s="272" t="s">
        <v>1304</v>
      </c>
      <c r="E69" s="240" t="s">
        <v>573</v>
      </c>
      <c r="F69" s="240"/>
      <c r="G69" s="252" t="s">
        <v>87</v>
      </c>
      <c r="H69" s="252" t="s">
        <v>1255</v>
      </c>
      <c r="I69" s="240" t="s">
        <v>1224</v>
      </c>
      <c r="J69" s="253">
        <v>37775.0</v>
      </c>
      <c r="K69" s="254" t="s">
        <v>1135</v>
      </c>
      <c r="L69" s="250">
        <f t="shared" si="1"/>
        <v>23.11232877</v>
      </c>
      <c r="M69" s="251"/>
      <c r="N69" s="251"/>
      <c r="O69" s="245" t="s">
        <v>1305</v>
      </c>
      <c r="P69" s="240">
        <v>33.0</v>
      </c>
      <c r="Q69" s="240">
        <v>30.0</v>
      </c>
      <c r="R69" s="240">
        <v>47.3</v>
      </c>
      <c r="S69" s="240">
        <v>18.3</v>
      </c>
      <c r="T69" s="240">
        <v>5.6</v>
      </c>
      <c r="U69" s="240">
        <v>2.4</v>
      </c>
      <c r="V69" s="240">
        <v>4.2</v>
      </c>
      <c r="W69" s="240">
        <v>1.6</v>
      </c>
      <c r="X69" s="240">
        <v>0.9</v>
      </c>
      <c r="Y69" s="240">
        <v>0.2</v>
      </c>
      <c r="Z69" s="240">
        <v>1.8</v>
      </c>
      <c r="AA69" s="246">
        <v>85.9</v>
      </c>
    </row>
    <row r="70">
      <c r="A70" s="239">
        <v>68.0</v>
      </c>
      <c r="B70" s="9">
        <v>-4.0</v>
      </c>
      <c r="C70" s="240">
        <v>7.0</v>
      </c>
      <c r="D70" s="249" t="s">
        <v>1306</v>
      </c>
      <c r="E70" s="240" t="s">
        <v>183</v>
      </c>
      <c r="F70" s="240" t="s">
        <v>1307</v>
      </c>
      <c r="G70" s="252" t="s">
        <v>176</v>
      </c>
      <c r="H70" s="252" t="s">
        <v>1255</v>
      </c>
      <c r="I70" s="252" t="s">
        <v>1256</v>
      </c>
      <c r="J70" s="253">
        <v>37004.0</v>
      </c>
      <c r="K70" s="254" t="s">
        <v>1135</v>
      </c>
      <c r="L70" s="243">
        <f t="shared" si="1"/>
        <v>25.22465753</v>
      </c>
      <c r="M70" s="244"/>
      <c r="N70" s="244"/>
      <c r="O70" s="245" t="s">
        <v>1308</v>
      </c>
      <c r="P70" s="240">
        <v>35.0</v>
      </c>
      <c r="Q70" s="240">
        <v>31.9</v>
      </c>
      <c r="R70" s="240">
        <v>48.0</v>
      </c>
      <c r="S70" s="240">
        <v>20.7</v>
      </c>
      <c r="T70" s="240">
        <v>4.8</v>
      </c>
      <c r="U70" s="240">
        <v>1.7</v>
      </c>
      <c r="V70" s="240">
        <v>3.8</v>
      </c>
      <c r="W70" s="240">
        <v>4.3</v>
      </c>
      <c r="X70" s="240">
        <v>1.0</v>
      </c>
      <c r="Y70" s="240">
        <v>0.0</v>
      </c>
      <c r="Z70" s="240">
        <v>1.7</v>
      </c>
      <c r="AA70" s="246">
        <v>83.0</v>
      </c>
    </row>
    <row r="71">
      <c r="A71" s="239">
        <v>69.0</v>
      </c>
      <c r="B71" s="9">
        <v>-6.0</v>
      </c>
      <c r="C71" s="240">
        <v>7.0</v>
      </c>
      <c r="D71" s="249" t="s">
        <v>1309</v>
      </c>
      <c r="E71" s="240" t="s">
        <v>183</v>
      </c>
      <c r="F71" s="240" t="s">
        <v>1310</v>
      </c>
      <c r="G71" s="252" t="s">
        <v>46</v>
      </c>
      <c r="H71" s="252" t="s">
        <v>1255</v>
      </c>
      <c r="I71" s="252" t="s">
        <v>1256</v>
      </c>
      <c r="J71" s="253">
        <v>37797.0</v>
      </c>
      <c r="K71" s="254" t="s">
        <v>1135</v>
      </c>
      <c r="L71" s="243">
        <f t="shared" si="1"/>
        <v>23.05205479</v>
      </c>
      <c r="M71" s="244"/>
      <c r="N71" s="244"/>
      <c r="O71" s="245" t="s">
        <v>1311</v>
      </c>
      <c r="P71" s="240">
        <v>34.0</v>
      </c>
      <c r="Q71" s="240">
        <v>31.4</v>
      </c>
      <c r="R71" s="240">
        <v>45.9</v>
      </c>
      <c r="S71" s="240">
        <v>13.5</v>
      </c>
      <c r="T71" s="240">
        <v>3.9</v>
      </c>
      <c r="U71" s="240">
        <v>1.2</v>
      </c>
      <c r="V71" s="240">
        <v>3.9</v>
      </c>
      <c r="W71" s="240">
        <v>5.1</v>
      </c>
      <c r="X71" s="240">
        <v>2.3</v>
      </c>
      <c r="Y71" s="240">
        <v>0.0</v>
      </c>
      <c r="Z71" s="240">
        <v>1.5</v>
      </c>
      <c r="AA71" s="246">
        <v>65.6</v>
      </c>
    </row>
    <row r="72">
      <c r="A72" s="239">
        <v>70.0</v>
      </c>
      <c r="B72" s="247" t="s">
        <v>371</v>
      </c>
      <c r="C72" s="248"/>
      <c r="D72" s="256" t="s">
        <v>1312</v>
      </c>
      <c r="E72" s="240" t="s">
        <v>36</v>
      </c>
      <c r="F72" s="240"/>
      <c r="G72" s="252" t="s">
        <v>87</v>
      </c>
      <c r="H72" s="252" t="s">
        <v>1255</v>
      </c>
      <c r="I72" s="252" t="s">
        <v>1256</v>
      </c>
      <c r="J72" s="253">
        <v>37860.0</v>
      </c>
      <c r="K72" s="254"/>
      <c r="L72" s="250">
        <f t="shared" si="1"/>
        <v>22.87945205</v>
      </c>
      <c r="M72" s="244"/>
      <c r="N72" s="244"/>
      <c r="O72" s="245" t="s">
        <v>1313</v>
      </c>
      <c r="P72" s="240">
        <v>34.0</v>
      </c>
      <c r="Q72" s="240">
        <v>34.6</v>
      </c>
      <c r="R72" s="240">
        <v>46.3</v>
      </c>
      <c r="S72" s="240">
        <v>13.5</v>
      </c>
      <c r="T72" s="240">
        <v>8.4</v>
      </c>
      <c r="U72" s="240">
        <v>3.8</v>
      </c>
      <c r="V72" s="240">
        <v>3.2</v>
      </c>
      <c r="W72" s="240">
        <v>0.8</v>
      </c>
      <c r="X72" s="240">
        <v>1.2</v>
      </c>
      <c r="Y72" s="240">
        <v>0.1</v>
      </c>
      <c r="Z72" s="240">
        <v>0.4</v>
      </c>
      <c r="AA72" s="246">
        <v>84.1</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5"/>
    <hyperlink r:id="rId53" ref="D56"/>
    <hyperlink r:id="rId54" ref="D57"/>
    <hyperlink r:id="rId55" ref="D58"/>
    <hyperlink r:id="rId56" ref="D59"/>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hidden="1" min="2" max="2" width="8.5"/>
    <col customWidth="1" hidden="1" min="3" max="3" width="4.63"/>
    <col customWidth="1" min="4" max="4" width="22.25"/>
    <col customWidth="1" min="5" max="5" width="15.88"/>
    <col customWidth="1" hidden="1" min="6" max="6" width="13.38"/>
    <col customWidth="1" min="7" max="7" width="12.88"/>
    <col customWidth="1" min="8" max="8" width="10.13"/>
    <col customWidth="1" min="9" max="9" width="13.63"/>
    <col customWidth="1" min="10" max="10" width="10.13"/>
    <col customWidth="1" hidden="1" min="11" max="11" width="10.88"/>
    <col customWidth="1" min="12" max="12" width="9.25"/>
    <col customWidth="1" hidden="1" min="13" max="13" width="11.25"/>
    <col customWidth="1" hidden="1" min="14" max="14" width="10.38"/>
    <col customWidth="1" min="15" max="15" width="70.5"/>
    <col customWidth="1" min="16" max="16" width="9.25"/>
    <col customWidth="1" min="17" max="17" width="8.5"/>
    <col customWidth="1" min="18" max="18" width="10.0"/>
    <col customWidth="1" min="19" max="19" width="9.38"/>
    <col customWidth="1" min="20" max="20" width="10.5"/>
    <col customWidth="1" min="21" max="21" width="10.88"/>
    <col customWidth="1" min="22" max="22" width="9.75"/>
    <col customWidth="1" min="23" max="23" width="9.5"/>
    <col customWidth="1" min="24" max="24" width="9.25"/>
    <col customWidth="1" min="25" max="25" width="9.63"/>
    <col customWidth="1" min="26" max="26" width="8.25"/>
    <col customWidth="1" min="27" max="27" width="9.75"/>
  </cols>
  <sheetData>
    <row r="1" ht="8.25" customHeight="1">
      <c r="A1" s="68"/>
    </row>
    <row r="2" ht="22.5" customHeight="1">
      <c r="A2" s="2" t="s">
        <v>0</v>
      </c>
      <c r="B2" s="2" t="s">
        <v>1072</v>
      </c>
      <c r="C2" s="2" t="s">
        <v>1073</v>
      </c>
      <c r="D2" s="2" t="s">
        <v>1</v>
      </c>
      <c r="E2" s="2" t="s">
        <v>1074</v>
      </c>
      <c r="F2" s="2" t="s">
        <v>1075</v>
      </c>
      <c r="G2" s="3" t="s">
        <v>1076</v>
      </c>
      <c r="H2" s="69" t="s">
        <v>1077</v>
      </c>
      <c r="I2" s="69" t="s">
        <v>1078</v>
      </c>
      <c r="J2" s="2" t="s">
        <v>4</v>
      </c>
      <c r="K2" s="4" t="s">
        <v>1079</v>
      </c>
      <c r="L2" s="4" t="s">
        <v>5</v>
      </c>
      <c r="M2" s="2" t="s">
        <v>1080</v>
      </c>
      <c r="N2" s="2" t="s">
        <v>7</v>
      </c>
      <c r="O2" s="2" t="s">
        <v>1314</v>
      </c>
      <c r="P2" s="2" t="s">
        <v>1082</v>
      </c>
      <c r="Q2" s="2" t="s">
        <v>1083</v>
      </c>
      <c r="R2" s="2" t="s">
        <v>1084</v>
      </c>
      <c r="S2" s="2" t="s">
        <v>1085</v>
      </c>
      <c r="T2" s="2" t="s">
        <v>1086</v>
      </c>
      <c r="U2" s="2" t="s">
        <v>1087</v>
      </c>
      <c r="V2" s="2" t="s">
        <v>1088</v>
      </c>
      <c r="W2" s="2" t="s">
        <v>1089</v>
      </c>
      <c r="X2" s="2" t="s">
        <v>1090</v>
      </c>
      <c r="Y2" s="2" t="s">
        <v>1091</v>
      </c>
      <c r="Z2" s="2" t="s">
        <v>1092</v>
      </c>
      <c r="AA2" s="2" t="s">
        <v>1093</v>
      </c>
    </row>
    <row r="3">
      <c r="A3" s="70">
        <v>1.0</v>
      </c>
      <c r="B3" s="71" t="s">
        <v>1094</v>
      </c>
      <c r="C3" s="72">
        <v>1.0</v>
      </c>
      <c r="D3" s="73" t="s">
        <v>1095</v>
      </c>
      <c r="E3" s="74" t="s">
        <v>267</v>
      </c>
      <c r="F3" s="74" t="s">
        <v>1096</v>
      </c>
      <c r="G3" s="74" t="s">
        <v>49</v>
      </c>
      <c r="H3" s="74">
        <v>1.03</v>
      </c>
      <c r="I3" s="74" t="s">
        <v>1097</v>
      </c>
      <c r="J3" s="75">
        <v>39281.0</v>
      </c>
      <c r="K3" s="76" t="s">
        <v>1098</v>
      </c>
      <c r="L3" s="77">
        <f t="shared" ref="L3:L72" si="1">YEARFRAC(J3, TODAY(),1)</f>
        <v>18.9890411</v>
      </c>
      <c r="M3" s="78"/>
      <c r="N3" s="78">
        <v>7.0</v>
      </c>
      <c r="O3" s="79" t="s">
        <v>1315</v>
      </c>
      <c r="P3" s="74">
        <v>38.0</v>
      </c>
      <c r="Q3" s="74">
        <v>33.4</v>
      </c>
      <c r="R3" s="74">
        <v>55.6</v>
      </c>
      <c r="S3" s="74">
        <v>22.5</v>
      </c>
      <c r="T3" s="74">
        <v>3.6</v>
      </c>
      <c r="U3" s="74">
        <v>1.4</v>
      </c>
      <c r="V3" s="74">
        <v>10.2</v>
      </c>
      <c r="W3" s="74">
        <v>4.1</v>
      </c>
      <c r="X3" s="74">
        <v>1.4</v>
      </c>
      <c r="Y3" s="74">
        <v>0.6</v>
      </c>
      <c r="Z3" s="74">
        <v>2.5</v>
      </c>
      <c r="AA3" s="80">
        <v>78.9</v>
      </c>
    </row>
    <row r="4">
      <c r="A4" s="81">
        <v>2.0</v>
      </c>
      <c r="B4" s="82" t="s">
        <v>1094</v>
      </c>
      <c r="C4" s="83">
        <v>1.5</v>
      </c>
      <c r="D4" s="84" t="s">
        <v>1104</v>
      </c>
      <c r="E4" s="85" t="s">
        <v>77</v>
      </c>
      <c r="F4" s="85" t="s">
        <v>1105</v>
      </c>
      <c r="G4" s="85" t="s">
        <v>66</v>
      </c>
      <c r="H4" s="85">
        <v>1.01</v>
      </c>
      <c r="I4" s="85" t="s">
        <v>1097</v>
      </c>
      <c r="J4" s="86">
        <v>39111.0</v>
      </c>
      <c r="K4" s="87" t="s">
        <v>1098</v>
      </c>
      <c r="L4" s="88">
        <f t="shared" si="1"/>
        <v>19.45479452</v>
      </c>
      <c r="M4" s="89">
        <v>30.0</v>
      </c>
      <c r="N4" s="89">
        <v>0.0</v>
      </c>
      <c r="O4" s="91" t="s">
        <v>1106</v>
      </c>
      <c r="P4" s="93">
        <v>35.0</v>
      </c>
      <c r="Q4" s="93">
        <v>34.8</v>
      </c>
      <c r="R4" s="93">
        <v>51.0</v>
      </c>
      <c r="S4" s="93">
        <v>25.5</v>
      </c>
      <c r="T4" s="93">
        <v>4.2</v>
      </c>
      <c r="U4" s="93">
        <v>1.4</v>
      </c>
      <c r="V4" s="93">
        <v>6.8</v>
      </c>
      <c r="W4" s="93">
        <v>3.7</v>
      </c>
      <c r="X4" s="93">
        <v>1.1</v>
      </c>
      <c r="Y4" s="93">
        <v>0.3</v>
      </c>
      <c r="Z4" s="93">
        <v>3.1</v>
      </c>
      <c r="AA4" s="94">
        <v>77.4</v>
      </c>
    </row>
    <row r="5">
      <c r="A5" s="81">
        <v>3.0</v>
      </c>
      <c r="B5" s="82" t="s">
        <v>1094</v>
      </c>
      <c r="C5" s="83">
        <v>1.5</v>
      </c>
      <c r="D5" s="84" t="s">
        <v>1100</v>
      </c>
      <c r="E5" s="85" t="s">
        <v>1101</v>
      </c>
      <c r="F5" s="85" t="s">
        <v>1102</v>
      </c>
      <c r="G5" s="85" t="s">
        <v>58</v>
      </c>
      <c r="H5" s="85">
        <v>1.02</v>
      </c>
      <c r="I5" s="85" t="s">
        <v>1097</v>
      </c>
      <c r="J5" s="86">
        <v>39099.0</v>
      </c>
      <c r="K5" s="87" t="s">
        <v>1098</v>
      </c>
      <c r="L5" s="88">
        <f t="shared" si="1"/>
        <v>19.48767123</v>
      </c>
      <c r="M5" s="89">
        <v>18.0</v>
      </c>
      <c r="N5" s="90">
        <v>-1.0</v>
      </c>
      <c r="O5" s="91" t="s">
        <v>1103</v>
      </c>
      <c r="P5" s="85">
        <v>24.0</v>
      </c>
      <c r="Q5" s="85">
        <v>29.0</v>
      </c>
      <c r="R5" s="85">
        <v>43.8</v>
      </c>
      <c r="S5" s="85">
        <v>20.2</v>
      </c>
      <c r="T5" s="85">
        <v>6.9</v>
      </c>
      <c r="U5" s="85">
        <v>2.6</v>
      </c>
      <c r="V5" s="85">
        <v>4.2</v>
      </c>
      <c r="W5" s="85">
        <v>1.6</v>
      </c>
      <c r="X5" s="85">
        <v>1.4</v>
      </c>
      <c r="Y5" s="85">
        <v>0.6</v>
      </c>
      <c r="Z5" s="85">
        <v>1.6</v>
      </c>
      <c r="AA5" s="92">
        <v>82.6</v>
      </c>
    </row>
    <row r="6">
      <c r="A6" s="95">
        <v>4.0</v>
      </c>
      <c r="B6" s="96" t="s">
        <v>1094</v>
      </c>
      <c r="C6" s="97">
        <v>1.5</v>
      </c>
      <c r="D6" s="98" t="s">
        <v>1107</v>
      </c>
      <c r="E6" s="99" t="s">
        <v>10</v>
      </c>
      <c r="F6" s="99" t="s">
        <v>1108</v>
      </c>
      <c r="G6" s="99" t="s">
        <v>87</v>
      </c>
      <c r="H6" s="99">
        <v>1.04</v>
      </c>
      <c r="I6" s="99" t="s">
        <v>1097</v>
      </c>
      <c r="J6" s="100">
        <v>38916.0</v>
      </c>
      <c r="K6" s="101" t="s">
        <v>1098</v>
      </c>
      <c r="L6" s="102">
        <f t="shared" si="1"/>
        <v>19.9890411</v>
      </c>
      <c r="M6" s="103">
        <v>53.0</v>
      </c>
      <c r="N6" s="103">
        <v>0.0</v>
      </c>
      <c r="O6" s="104" t="s">
        <v>1109</v>
      </c>
      <c r="P6" s="99">
        <v>24.0</v>
      </c>
      <c r="Q6" s="99">
        <v>31.3</v>
      </c>
      <c r="R6" s="99">
        <v>57.8</v>
      </c>
      <c r="S6" s="99">
        <v>19.8</v>
      </c>
      <c r="T6" s="99">
        <v>1.1</v>
      </c>
      <c r="U6" s="99">
        <v>0.3</v>
      </c>
      <c r="V6" s="99">
        <v>9.4</v>
      </c>
      <c r="W6" s="99">
        <v>2.7</v>
      </c>
      <c r="X6" s="99">
        <v>1.5</v>
      </c>
      <c r="Y6" s="99">
        <v>1.4</v>
      </c>
      <c r="Z6" s="99">
        <v>2.0</v>
      </c>
      <c r="AA6" s="105">
        <v>71.3</v>
      </c>
    </row>
    <row r="7">
      <c r="A7" s="106">
        <v>5.0</v>
      </c>
      <c r="B7" s="107" t="s">
        <v>1094</v>
      </c>
      <c r="C7" s="108">
        <v>2.5</v>
      </c>
      <c r="D7" s="109" t="s">
        <v>1116</v>
      </c>
      <c r="E7" s="110" t="s">
        <v>14</v>
      </c>
      <c r="F7" s="110" t="s">
        <v>1117</v>
      </c>
      <c r="G7" s="110" t="s">
        <v>167</v>
      </c>
      <c r="H7" s="110">
        <v>1.07</v>
      </c>
      <c r="I7" s="110" t="s">
        <v>1097</v>
      </c>
      <c r="J7" s="111">
        <v>39037.0</v>
      </c>
      <c r="K7" s="112" t="s">
        <v>1098</v>
      </c>
      <c r="L7" s="113">
        <f t="shared" si="1"/>
        <v>19.65753425</v>
      </c>
      <c r="M7" s="119"/>
      <c r="N7" s="119"/>
      <c r="O7" s="115" t="s">
        <v>1118</v>
      </c>
      <c r="P7" s="110">
        <v>36.0</v>
      </c>
      <c r="Q7" s="110">
        <v>35.1</v>
      </c>
      <c r="R7" s="110">
        <v>48.4</v>
      </c>
      <c r="S7" s="110">
        <v>23.5</v>
      </c>
      <c r="T7" s="110">
        <v>5.8</v>
      </c>
      <c r="U7" s="110">
        <v>2.5</v>
      </c>
      <c r="V7" s="110">
        <v>3.1</v>
      </c>
      <c r="W7" s="110">
        <v>6.4</v>
      </c>
      <c r="X7" s="110">
        <v>0.8</v>
      </c>
      <c r="Y7" s="110">
        <v>0.3</v>
      </c>
      <c r="Z7" s="110">
        <v>2.2</v>
      </c>
      <c r="AA7" s="116">
        <v>80.9</v>
      </c>
    </row>
    <row r="8">
      <c r="A8" s="106">
        <v>6.0</v>
      </c>
      <c r="B8" s="107" t="s">
        <v>1094</v>
      </c>
      <c r="C8" s="108">
        <v>2.0</v>
      </c>
      <c r="D8" s="109" t="s">
        <v>1110</v>
      </c>
      <c r="E8" s="110" t="s">
        <v>1101</v>
      </c>
      <c r="F8" s="110" t="s">
        <v>1111</v>
      </c>
      <c r="G8" s="110" t="s">
        <v>98</v>
      </c>
      <c r="H8" s="110">
        <v>1.05</v>
      </c>
      <c r="I8" s="110" t="s">
        <v>1097</v>
      </c>
      <c r="J8" s="111">
        <v>39116.0</v>
      </c>
      <c r="K8" s="112" t="s">
        <v>1098</v>
      </c>
      <c r="L8" s="113">
        <f t="shared" si="1"/>
        <v>19.44109589</v>
      </c>
      <c r="M8" s="114"/>
      <c r="N8" s="114"/>
      <c r="O8" s="115" t="s">
        <v>1316</v>
      </c>
      <c r="P8" s="110">
        <v>37.0</v>
      </c>
      <c r="Q8" s="110">
        <v>33.9</v>
      </c>
      <c r="R8" s="110">
        <v>44.5</v>
      </c>
      <c r="S8" s="110">
        <v>17.9</v>
      </c>
      <c r="T8" s="110">
        <v>5.9</v>
      </c>
      <c r="U8" s="110">
        <v>2.4</v>
      </c>
      <c r="V8" s="110">
        <v>5.1</v>
      </c>
      <c r="W8" s="110">
        <v>4.2</v>
      </c>
      <c r="X8" s="110">
        <v>0.9</v>
      </c>
      <c r="Y8" s="110">
        <v>0.4</v>
      </c>
      <c r="Z8" s="110">
        <v>1.8</v>
      </c>
      <c r="AA8" s="116">
        <v>79.6</v>
      </c>
    </row>
    <row r="9">
      <c r="A9" s="106">
        <v>7.0</v>
      </c>
      <c r="B9" s="107" t="s">
        <v>1094</v>
      </c>
      <c r="C9" s="108">
        <v>2.5</v>
      </c>
      <c r="D9" s="109" t="s">
        <v>1113</v>
      </c>
      <c r="E9" s="117" t="s">
        <v>14</v>
      </c>
      <c r="F9" s="110" t="s">
        <v>1114</v>
      </c>
      <c r="G9" s="110" t="s">
        <v>158</v>
      </c>
      <c r="H9" s="110">
        <v>1.06</v>
      </c>
      <c r="I9" s="110" t="s">
        <v>1097</v>
      </c>
      <c r="J9" s="118">
        <v>38810.0</v>
      </c>
      <c r="K9" s="112" t="s">
        <v>1098</v>
      </c>
      <c r="L9" s="113">
        <f t="shared" si="1"/>
        <v>20.27945205</v>
      </c>
      <c r="M9" s="119">
        <v>58.0</v>
      </c>
      <c r="N9" s="119">
        <v>0.0</v>
      </c>
      <c r="O9" s="115" t="s">
        <v>1115</v>
      </c>
      <c r="P9" s="110">
        <v>21.0</v>
      </c>
      <c r="Q9" s="110">
        <v>29.2</v>
      </c>
      <c r="R9" s="110">
        <v>41.0</v>
      </c>
      <c r="S9" s="110">
        <v>18.2</v>
      </c>
      <c r="T9" s="110">
        <v>7.6</v>
      </c>
      <c r="U9" s="110">
        <v>2.6</v>
      </c>
      <c r="V9" s="110">
        <v>3.3</v>
      </c>
      <c r="W9" s="110">
        <v>4.7</v>
      </c>
      <c r="X9" s="110">
        <v>1.2</v>
      </c>
      <c r="Y9" s="110">
        <v>0.1</v>
      </c>
      <c r="Z9" s="110">
        <v>3.1</v>
      </c>
      <c r="AA9" s="116">
        <v>84.4</v>
      </c>
    </row>
    <row r="10">
      <c r="A10" s="106">
        <v>8.0</v>
      </c>
      <c r="B10" s="107" t="s">
        <v>1094</v>
      </c>
      <c r="C10" s="108">
        <v>2.5</v>
      </c>
      <c r="D10" s="109" t="s">
        <v>1119</v>
      </c>
      <c r="E10" s="110" t="s">
        <v>14</v>
      </c>
      <c r="F10" s="110" t="s">
        <v>1120</v>
      </c>
      <c r="G10" s="110" t="s">
        <v>43</v>
      </c>
      <c r="H10" s="110">
        <v>1.08</v>
      </c>
      <c r="I10" s="110" t="s">
        <v>1097</v>
      </c>
      <c r="J10" s="111">
        <v>39112.0</v>
      </c>
      <c r="K10" s="112" t="s">
        <v>1098</v>
      </c>
      <c r="L10" s="113">
        <f t="shared" si="1"/>
        <v>19.45205479</v>
      </c>
      <c r="M10" s="114"/>
      <c r="N10" s="114"/>
      <c r="O10" s="115" t="s">
        <v>1121</v>
      </c>
      <c r="P10" s="110">
        <v>37.0</v>
      </c>
      <c r="Q10" s="110">
        <v>31.7</v>
      </c>
      <c r="R10" s="110">
        <v>47.6</v>
      </c>
      <c r="S10" s="110">
        <v>16.1</v>
      </c>
      <c r="T10" s="110">
        <v>2.9</v>
      </c>
      <c r="U10" s="110">
        <v>1.1</v>
      </c>
      <c r="V10" s="110">
        <v>4.1</v>
      </c>
      <c r="W10" s="110">
        <v>5.2</v>
      </c>
      <c r="X10" s="110">
        <v>1.5</v>
      </c>
      <c r="Y10" s="110">
        <v>0.3</v>
      </c>
      <c r="Z10" s="110">
        <v>1.8</v>
      </c>
      <c r="AA10" s="116">
        <v>84.5</v>
      </c>
    </row>
    <row r="11">
      <c r="A11" s="134">
        <v>9.0</v>
      </c>
      <c r="B11" s="135">
        <v>5.0</v>
      </c>
      <c r="C11" s="136">
        <v>3.0</v>
      </c>
      <c r="D11" s="137" t="s">
        <v>1130</v>
      </c>
      <c r="E11" s="138" t="s">
        <v>1101</v>
      </c>
      <c r="F11" s="138" t="s">
        <v>1131</v>
      </c>
      <c r="G11" s="138" t="s">
        <v>213</v>
      </c>
      <c r="H11" s="138">
        <v>1.1</v>
      </c>
      <c r="I11" s="138" t="s">
        <v>1097</v>
      </c>
      <c r="J11" s="139">
        <v>38613.0</v>
      </c>
      <c r="K11" s="140" t="s">
        <v>1098</v>
      </c>
      <c r="L11" s="141">
        <f t="shared" si="1"/>
        <v>20.81917808</v>
      </c>
      <c r="M11" s="145"/>
      <c r="N11" s="145"/>
      <c r="O11" s="143" t="s">
        <v>1317</v>
      </c>
      <c r="P11" s="138">
        <v>39.0</v>
      </c>
      <c r="Q11" s="138">
        <v>29.8</v>
      </c>
      <c r="R11" s="138">
        <v>49.1</v>
      </c>
      <c r="S11" s="138">
        <v>16.1</v>
      </c>
      <c r="T11" s="138">
        <v>4.6</v>
      </c>
      <c r="U11" s="138">
        <v>1.8</v>
      </c>
      <c r="V11" s="138">
        <v>4.9</v>
      </c>
      <c r="W11" s="138">
        <v>2.4</v>
      </c>
      <c r="X11" s="138">
        <v>1.5</v>
      </c>
      <c r="Y11" s="138">
        <v>0.2</v>
      </c>
      <c r="Z11" s="138">
        <v>1.5</v>
      </c>
      <c r="AA11" s="144">
        <v>80.5</v>
      </c>
    </row>
    <row r="12">
      <c r="A12" s="134">
        <v>10.0</v>
      </c>
      <c r="B12" s="135">
        <v>-1.0</v>
      </c>
      <c r="C12" s="136">
        <v>3.0</v>
      </c>
      <c r="D12" s="137" t="s">
        <v>1133</v>
      </c>
      <c r="E12" s="138" t="s">
        <v>267</v>
      </c>
      <c r="F12" s="138" t="s">
        <v>1134</v>
      </c>
      <c r="G12" s="138" t="s">
        <v>176</v>
      </c>
      <c r="H12" s="138">
        <v>1.11</v>
      </c>
      <c r="I12" s="138" t="s">
        <v>1097</v>
      </c>
      <c r="J12" s="139">
        <v>37529.0</v>
      </c>
      <c r="K12" s="140" t="s">
        <v>1135</v>
      </c>
      <c r="L12" s="141">
        <f t="shared" si="1"/>
        <v>23.78630137</v>
      </c>
      <c r="M12" s="142"/>
      <c r="N12" s="142"/>
      <c r="O12" s="143" t="s">
        <v>1318</v>
      </c>
      <c r="P12" s="138">
        <v>40.0</v>
      </c>
      <c r="Q12" s="138">
        <v>30.2</v>
      </c>
      <c r="R12" s="138">
        <v>51.5</v>
      </c>
      <c r="S12" s="138">
        <v>15.1</v>
      </c>
      <c r="T12" s="138">
        <v>4.5</v>
      </c>
      <c r="U12" s="138">
        <v>1.7</v>
      </c>
      <c r="V12" s="138">
        <v>6.8</v>
      </c>
      <c r="W12" s="138">
        <v>3.2</v>
      </c>
      <c r="X12" s="138">
        <v>1.1</v>
      </c>
      <c r="Y12" s="138">
        <v>1.2</v>
      </c>
      <c r="Z12" s="138">
        <v>1.1</v>
      </c>
      <c r="AA12" s="144">
        <v>82.4</v>
      </c>
    </row>
    <row r="13">
      <c r="A13" s="134">
        <v>11.0</v>
      </c>
      <c r="B13" s="135">
        <v>-1.0</v>
      </c>
      <c r="C13" s="136">
        <v>2.0</v>
      </c>
      <c r="D13" s="137" t="s">
        <v>1126</v>
      </c>
      <c r="E13" s="273" t="s">
        <v>21</v>
      </c>
      <c r="F13" s="138" t="s">
        <v>1127</v>
      </c>
      <c r="G13" s="138" t="s">
        <v>15</v>
      </c>
      <c r="H13" s="138">
        <v>1.12</v>
      </c>
      <c r="I13" s="138" t="s">
        <v>1097</v>
      </c>
      <c r="J13" s="274">
        <v>38449.0</v>
      </c>
      <c r="K13" s="141" t="s">
        <v>1128</v>
      </c>
      <c r="L13" s="141">
        <f t="shared" si="1"/>
        <v>21.26849315</v>
      </c>
      <c r="M13" s="142"/>
      <c r="N13" s="142"/>
      <c r="O13" s="143" t="s">
        <v>1319</v>
      </c>
      <c r="P13" s="138">
        <v>40.0</v>
      </c>
      <c r="Q13" s="138">
        <v>23.4</v>
      </c>
      <c r="R13" s="138">
        <v>66.8</v>
      </c>
      <c r="S13" s="138">
        <v>12.1</v>
      </c>
      <c r="T13" s="138">
        <v>0.3</v>
      </c>
      <c r="U13" s="273">
        <v>0.1</v>
      </c>
      <c r="V13" s="138">
        <v>6.8</v>
      </c>
      <c r="W13" s="138">
        <v>2.4</v>
      </c>
      <c r="X13" s="138">
        <v>0.4</v>
      </c>
      <c r="Y13" s="273">
        <v>2.6</v>
      </c>
      <c r="Z13" s="273">
        <v>2.0</v>
      </c>
      <c r="AA13" s="144">
        <v>56.4</v>
      </c>
    </row>
    <row r="14">
      <c r="A14" s="134">
        <v>12.0</v>
      </c>
      <c r="B14" s="135">
        <v>3.0</v>
      </c>
      <c r="C14" s="136">
        <v>3.0</v>
      </c>
      <c r="D14" s="137" t="s">
        <v>1122</v>
      </c>
      <c r="E14" s="138" t="s">
        <v>10</v>
      </c>
      <c r="F14" s="138" t="s">
        <v>1123</v>
      </c>
      <c r="G14" s="138" t="s">
        <v>26</v>
      </c>
      <c r="H14" s="138">
        <v>1.09</v>
      </c>
      <c r="I14" s="138" t="s">
        <v>1097</v>
      </c>
      <c r="J14" s="139">
        <v>38742.0</v>
      </c>
      <c r="K14" s="140" t="s">
        <v>1124</v>
      </c>
      <c r="L14" s="141">
        <f t="shared" si="1"/>
        <v>20.46575342</v>
      </c>
      <c r="M14" s="142"/>
      <c r="N14" s="142"/>
      <c r="O14" s="143" t="s">
        <v>1320</v>
      </c>
      <c r="P14" s="138">
        <v>40.0</v>
      </c>
      <c r="Q14" s="138">
        <v>25.1</v>
      </c>
      <c r="R14" s="138">
        <v>62.3</v>
      </c>
      <c r="S14" s="138">
        <v>13.1</v>
      </c>
      <c r="T14" s="138">
        <v>0.9</v>
      </c>
      <c r="U14" s="138">
        <v>0.3</v>
      </c>
      <c r="V14" s="138">
        <v>7.3</v>
      </c>
      <c r="W14" s="138">
        <v>1.2</v>
      </c>
      <c r="X14" s="138">
        <v>0.7</v>
      </c>
      <c r="Y14" s="138">
        <v>1.1</v>
      </c>
      <c r="Z14" s="138">
        <v>1.3</v>
      </c>
      <c r="AA14" s="144">
        <v>78.2</v>
      </c>
    </row>
    <row r="15">
      <c r="A15" s="134">
        <v>13.0</v>
      </c>
      <c r="B15" s="135" t="s">
        <v>1094</v>
      </c>
      <c r="C15" s="136">
        <v>3.0</v>
      </c>
      <c r="D15" s="137" t="s">
        <v>1137</v>
      </c>
      <c r="E15" s="138" t="s">
        <v>14</v>
      </c>
      <c r="F15" s="138" t="s">
        <v>1138</v>
      </c>
      <c r="G15" s="138" t="s">
        <v>29</v>
      </c>
      <c r="H15" s="138">
        <v>1.17</v>
      </c>
      <c r="I15" s="138" t="s">
        <v>1097</v>
      </c>
      <c r="J15" s="139">
        <v>39182.0</v>
      </c>
      <c r="K15" s="140" t="s">
        <v>1098</v>
      </c>
      <c r="L15" s="141">
        <f t="shared" si="1"/>
        <v>19.26027397</v>
      </c>
      <c r="M15" s="145"/>
      <c r="N15" s="145"/>
      <c r="O15" s="143" t="s">
        <v>1321</v>
      </c>
      <c r="P15" s="138">
        <v>31.0</v>
      </c>
      <c r="Q15" s="138">
        <v>35.1</v>
      </c>
      <c r="R15" s="138">
        <v>46.5</v>
      </c>
      <c r="S15" s="138">
        <v>23.2</v>
      </c>
      <c r="T15" s="138">
        <v>5.7</v>
      </c>
      <c r="U15" s="138">
        <v>2.0</v>
      </c>
      <c r="V15" s="138">
        <v>3.6</v>
      </c>
      <c r="W15" s="138">
        <v>3.6</v>
      </c>
      <c r="X15" s="138">
        <v>1.6</v>
      </c>
      <c r="Y15" s="138">
        <v>0.3</v>
      </c>
      <c r="Z15" s="138">
        <v>1.9</v>
      </c>
      <c r="AA15" s="144">
        <v>83.2</v>
      </c>
    </row>
    <row r="16">
      <c r="A16" s="134">
        <v>14.0</v>
      </c>
      <c r="B16" s="135">
        <v>3.0</v>
      </c>
      <c r="C16" s="136">
        <v>3.0</v>
      </c>
      <c r="D16" s="137" t="s">
        <v>1143</v>
      </c>
      <c r="E16" s="138" t="s">
        <v>21</v>
      </c>
      <c r="F16" s="138" t="s">
        <v>1144</v>
      </c>
      <c r="G16" s="138" t="s">
        <v>90</v>
      </c>
      <c r="H16" s="138">
        <v>1.14</v>
      </c>
      <c r="I16" s="138" t="s">
        <v>1097</v>
      </c>
      <c r="J16" s="139">
        <v>38838.0</v>
      </c>
      <c r="K16" s="140" t="s">
        <v>1098</v>
      </c>
      <c r="L16" s="141">
        <f t="shared" si="1"/>
        <v>20.20273973</v>
      </c>
      <c r="M16" s="142"/>
      <c r="N16" s="142"/>
      <c r="O16" s="143" t="s">
        <v>1145</v>
      </c>
      <c r="P16" s="138">
        <v>30.0</v>
      </c>
      <c r="Q16" s="138">
        <v>34.6</v>
      </c>
      <c r="R16" s="138">
        <v>57.7</v>
      </c>
      <c r="S16" s="138">
        <v>18.5</v>
      </c>
      <c r="T16" s="138">
        <v>1.8</v>
      </c>
      <c r="U16" s="138">
        <v>0.6</v>
      </c>
      <c r="V16" s="138">
        <v>11.8</v>
      </c>
      <c r="W16" s="138">
        <v>1.6</v>
      </c>
      <c r="X16" s="138">
        <v>1.1</v>
      </c>
      <c r="Y16" s="138">
        <v>1.2</v>
      </c>
      <c r="Z16" s="138">
        <v>2.0</v>
      </c>
      <c r="AA16" s="144">
        <v>75.9</v>
      </c>
    </row>
    <row r="17">
      <c r="A17" s="134">
        <v>15.0</v>
      </c>
      <c r="B17" s="135">
        <v>-4.0</v>
      </c>
      <c r="C17" s="146">
        <v>3.0</v>
      </c>
      <c r="D17" s="137" t="s">
        <v>1146</v>
      </c>
      <c r="E17" s="147" t="s">
        <v>14</v>
      </c>
      <c r="F17" s="147" t="s">
        <v>1147</v>
      </c>
      <c r="G17" s="147" t="s">
        <v>15</v>
      </c>
      <c r="H17" s="147">
        <v>1.16</v>
      </c>
      <c r="I17" s="138" t="s">
        <v>1097</v>
      </c>
      <c r="J17" s="148">
        <v>37897.0</v>
      </c>
      <c r="K17" s="149" t="s">
        <v>1135</v>
      </c>
      <c r="L17" s="141">
        <f t="shared" si="1"/>
        <v>22.77808219</v>
      </c>
      <c r="M17" s="150"/>
      <c r="N17" s="150"/>
      <c r="O17" s="151" t="s">
        <v>1322</v>
      </c>
      <c r="P17" s="147">
        <v>37.0</v>
      </c>
      <c r="Q17" s="147">
        <v>37.7</v>
      </c>
      <c r="R17" s="147">
        <v>47.7</v>
      </c>
      <c r="S17" s="147">
        <v>19.8</v>
      </c>
      <c r="T17" s="147">
        <v>6.9</v>
      </c>
      <c r="U17" s="147">
        <v>2.5</v>
      </c>
      <c r="V17" s="147">
        <v>2.6</v>
      </c>
      <c r="W17" s="147">
        <v>4.4</v>
      </c>
      <c r="X17" s="147">
        <v>1.4</v>
      </c>
      <c r="Y17" s="147">
        <v>0.2</v>
      </c>
      <c r="Z17" s="147">
        <v>1.8</v>
      </c>
      <c r="AA17" s="152">
        <v>84.8</v>
      </c>
    </row>
    <row r="18">
      <c r="A18" s="134">
        <v>16.0</v>
      </c>
      <c r="B18" s="135">
        <v>-3.0</v>
      </c>
      <c r="C18" s="136">
        <v>3.0</v>
      </c>
      <c r="D18" s="137" t="s">
        <v>1140</v>
      </c>
      <c r="E18" s="138" t="s">
        <v>36</v>
      </c>
      <c r="F18" s="138" t="s">
        <v>1141</v>
      </c>
      <c r="G18" s="138" t="s">
        <v>87</v>
      </c>
      <c r="H18" s="138">
        <v>1.15</v>
      </c>
      <c r="I18" s="138" t="s">
        <v>1097</v>
      </c>
      <c r="J18" s="139">
        <v>38548.0</v>
      </c>
      <c r="K18" s="140" t="s">
        <v>1128</v>
      </c>
      <c r="L18" s="141">
        <f t="shared" si="1"/>
        <v>20.99726027</v>
      </c>
      <c r="M18" s="142"/>
      <c r="N18" s="142"/>
      <c r="O18" s="143" t="s">
        <v>1323</v>
      </c>
      <c r="P18" s="138">
        <v>36.0</v>
      </c>
      <c r="Q18" s="138">
        <v>32.8</v>
      </c>
      <c r="R18" s="138">
        <v>54.2</v>
      </c>
      <c r="S18" s="138">
        <v>17.3</v>
      </c>
      <c r="T18" s="138">
        <v>2.6</v>
      </c>
      <c r="U18" s="138">
        <v>0.9</v>
      </c>
      <c r="V18" s="138">
        <v>7.5</v>
      </c>
      <c r="W18" s="138">
        <v>3.6</v>
      </c>
      <c r="X18" s="138">
        <v>1.6</v>
      </c>
      <c r="Y18" s="138">
        <v>0.3</v>
      </c>
      <c r="Z18" s="138">
        <v>2.7</v>
      </c>
      <c r="AA18" s="144">
        <v>81.5</v>
      </c>
    </row>
    <row r="19">
      <c r="A19" s="134">
        <v>17.0</v>
      </c>
      <c r="B19" s="135">
        <v>1.0</v>
      </c>
      <c r="C19" s="146">
        <v>4.0</v>
      </c>
      <c r="D19" s="137" t="s">
        <v>1151</v>
      </c>
      <c r="E19" s="138" t="s">
        <v>36</v>
      </c>
      <c r="F19" s="138" t="s">
        <v>1152</v>
      </c>
      <c r="G19" s="138" t="s">
        <v>18</v>
      </c>
      <c r="H19" s="138">
        <v>1.24</v>
      </c>
      <c r="I19" s="138" t="s">
        <v>1097</v>
      </c>
      <c r="J19" s="139">
        <v>38312.0</v>
      </c>
      <c r="K19" s="140" t="s">
        <v>1128</v>
      </c>
      <c r="L19" s="141">
        <f t="shared" si="1"/>
        <v>21.64352871</v>
      </c>
      <c r="M19" s="142"/>
      <c r="N19" s="142"/>
      <c r="O19" s="143" t="s">
        <v>1324</v>
      </c>
      <c r="P19" s="138">
        <v>34.0</v>
      </c>
      <c r="Q19" s="138">
        <v>33.7</v>
      </c>
      <c r="R19" s="138">
        <v>49.4</v>
      </c>
      <c r="S19" s="138">
        <v>18.9</v>
      </c>
      <c r="T19" s="138">
        <v>6.1</v>
      </c>
      <c r="U19" s="138">
        <v>2.3</v>
      </c>
      <c r="V19" s="138">
        <v>5.8</v>
      </c>
      <c r="W19" s="138">
        <v>2.6</v>
      </c>
      <c r="X19" s="138">
        <v>0.9</v>
      </c>
      <c r="Y19" s="138">
        <v>1.3</v>
      </c>
      <c r="Z19" s="138">
        <v>2.4</v>
      </c>
      <c r="AA19" s="144">
        <v>80.1</v>
      </c>
    </row>
    <row r="20">
      <c r="A20" s="134">
        <v>18.0</v>
      </c>
      <c r="B20" s="153">
        <v>1.0</v>
      </c>
      <c r="C20" s="154"/>
      <c r="D20" s="137" t="s">
        <v>1149</v>
      </c>
      <c r="E20" s="155" t="s">
        <v>14</v>
      </c>
      <c r="F20" s="156"/>
      <c r="G20" s="147" t="s">
        <v>90</v>
      </c>
      <c r="H20" s="147">
        <v>1.18</v>
      </c>
      <c r="I20" s="138" t="s">
        <v>1097</v>
      </c>
      <c r="J20" s="157">
        <v>38809.0</v>
      </c>
      <c r="K20" s="158" t="s">
        <v>1124</v>
      </c>
      <c r="L20" s="141">
        <f t="shared" si="1"/>
        <v>20.28219178</v>
      </c>
      <c r="M20" s="156"/>
      <c r="N20" s="156"/>
      <c r="O20" s="159" t="s">
        <v>1325</v>
      </c>
      <c r="P20" s="155">
        <v>33.0</v>
      </c>
      <c r="Q20" s="155">
        <v>38.4</v>
      </c>
      <c r="R20" s="155">
        <v>47.2</v>
      </c>
      <c r="S20" s="155">
        <v>18.5</v>
      </c>
      <c r="T20" s="155">
        <v>7.9</v>
      </c>
      <c r="U20" s="155">
        <v>3.3</v>
      </c>
      <c r="V20" s="155">
        <v>3.6</v>
      </c>
      <c r="W20" s="155">
        <v>7.4</v>
      </c>
      <c r="X20" s="155">
        <v>1.5</v>
      </c>
      <c r="Y20" s="155">
        <v>0.2</v>
      </c>
      <c r="Z20" s="155">
        <v>3.3</v>
      </c>
      <c r="AA20" s="160">
        <v>80.5</v>
      </c>
    </row>
    <row r="21">
      <c r="A21" s="162">
        <v>19.0</v>
      </c>
      <c r="B21" s="163">
        <v>-3.0</v>
      </c>
      <c r="C21" s="164">
        <v>3.0</v>
      </c>
      <c r="D21" s="165" t="s">
        <v>1157</v>
      </c>
      <c r="E21" s="166" t="s">
        <v>14</v>
      </c>
      <c r="F21" s="166" t="s">
        <v>1158</v>
      </c>
      <c r="G21" s="166" t="s">
        <v>40</v>
      </c>
      <c r="H21" s="166">
        <v>1.22</v>
      </c>
      <c r="I21" s="166" t="s">
        <v>1097</v>
      </c>
      <c r="J21" s="167">
        <v>38680.0</v>
      </c>
      <c r="K21" s="168" t="s">
        <v>1124</v>
      </c>
      <c r="L21" s="169">
        <f t="shared" si="1"/>
        <v>20.63561644</v>
      </c>
      <c r="M21" s="170"/>
      <c r="N21" s="170"/>
      <c r="O21" s="171" t="s">
        <v>1326</v>
      </c>
      <c r="P21" s="166">
        <v>33.0</v>
      </c>
      <c r="Q21" s="166">
        <v>30.9</v>
      </c>
      <c r="R21" s="166">
        <v>50.1</v>
      </c>
      <c r="S21" s="166">
        <v>22.0</v>
      </c>
      <c r="T21" s="166">
        <v>6.2</v>
      </c>
      <c r="U21" s="166">
        <v>2.5</v>
      </c>
      <c r="V21" s="166">
        <v>3.5</v>
      </c>
      <c r="W21" s="166">
        <v>5.0</v>
      </c>
      <c r="X21" s="166">
        <v>1.2</v>
      </c>
      <c r="Y21" s="166">
        <v>0.2</v>
      </c>
      <c r="Z21" s="166">
        <v>2.5</v>
      </c>
      <c r="AA21" s="172">
        <v>79.8</v>
      </c>
    </row>
    <row r="22">
      <c r="A22" s="173">
        <v>20.0</v>
      </c>
      <c r="B22" s="174">
        <v>1.0</v>
      </c>
      <c r="C22" s="164">
        <v>4.0</v>
      </c>
      <c r="D22" s="165" t="s">
        <v>1160</v>
      </c>
      <c r="E22" s="166" t="s">
        <v>25</v>
      </c>
      <c r="F22" s="166" t="s">
        <v>1161</v>
      </c>
      <c r="G22" s="166" t="s">
        <v>213</v>
      </c>
      <c r="H22" s="166">
        <v>1.13</v>
      </c>
      <c r="I22" s="166" t="s">
        <v>1097</v>
      </c>
      <c r="J22" s="167">
        <v>39061.0</v>
      </c>
      <c r="K22" s="168" t="s">
        <v>1098</v>
      </c>
      <c r="L22" s="169">
        <f t="shared" si="1"/>
        <v>19.59178082</v>
      </c>
      <c r="M22" s="170"/>
      <c r="N22" s="170"/>
      <c r="O22" s="171" t="s">
        <v>1327</v>
      </c>
      <c r="P22" s="166">
        <v>35.0</v>
      </c>
      <c r="Q22" s="166">
        <v>29.7</v>
      </c>
      <c r="R22" s="166">
        <v>39.9</v>
      </c>
      <c r="S22" s="166">
        <v>16.7</v>
      </c>
      <c r="T22" s="166">
        <v>3.9</v>
      </c>
      <c r="U22" s="166">
        <v>1.3</v>
      </c>
      <c r="V22" s="166">
        <v>6.3</v>
      </c>
      <c r="W22" s="166">
        <v>2.3</v>
      </c>
      <c r="X22" s="166">
        <v>1.0</v>
      </c>
      <c r="Y22" s="166">
        <v>0.6</v>
      </c>
      <c r="Z22" s="166">
        <v>2.3</v>
      </c>
      <c r="AA22" s="172">
        <v>79.0</v>
      </c>
    </row>
    <row r="23">
      <c r="A23" s="173">
        <v>21.0</v>
      </c>
      <c r="B23" s="163">
        <v>-2.0</v>
      </c>
      <c r="C23" s="164">
        <v>4.0</v>
      </c>
      <c r="D23" s="165" t="s">
        <v>1163</v>
      </c>
      <c r="E23" s="166" t="s">
        <v>25</v>
      </c>
      <c r="F23" s="166" t="s">
        <v>1164</v>
      </c>
      <c r="G23" s="166" t="s">
        <v>49</v>
      </c>
      <c r="H23" s="175">
        <v>1.21</v>
      </c>
      <c r="I23" s="166" t="s">
        <v>1097</v>
      </c>
      <c r="J23" s="176">
        <v>39184.0</v>
      </c>
      <c r="K23" s="168" t="s">
        <v>1165</v>
      </c>
      <c r="L23" s="169">
        <f t="shared" si="1"/>
        <v>19.25479452</v>
      </c>
      <c r="M23" s="177"/>
      <c r="N23" s="177"/>
      <c r="O23" s="178" t="s">
        <v>1328</v>
      </c>
      <c r="P23" s="166">
        <v>30.0</v>
      </c>
      <c r="Q23" s="166">
        <v>25.6</v>
      </c>
      <c r="R23" s="166">
        <v>49.4</v>
      </c>
      <c r="S23" s="166">
        <v>11.9</v>
      </c>
      <c r="T23" s="166">
        <v>3.0</v>
      </c>
      <c r="U23" s="166">
        <v>1.0</v>
      </c>
      <c r="V23" s="166">
        <v>6.1</v>
      </c>
      <c r="W23" s="166">
        <v>1.9</v>
      </c>
      <c r="X23" s="166">
        <v>1.2</v>
      </c>
      <c r="Y23" s="166">
        <v>1.0</v>
      </c>
      <c r="Z23" s="166">
        <v>1.5</v>
      </c>
      <c r="AA23" s="172">
        <v>73.9</v>
      </c>
    </row>
    <row r="24">
      <c r="A24" s="173">
        <v>22.0</v>
      </c>
      <c r="B24" s="174">
        <v>4.0</v>
      </c>
      <c r="C24" s="182">
        <v>4.0</v>
      </c>
      <c r="D24" s="165" t="s">
        <v>1173</v>
      </c>
      <c r="E24" s="183" t="s">
        <v>21</v>
      </c>
      <c r="F24" s="166" t="s">
        <v>1174</v>
      </c>
      <c r="G24" s="166" t="s">
        <v>11</v>
      </c>
      <c r="H24" s="166">
        <v>1.26</v>
      </c>
      <c r="I24" s="166" t="s">
        <v>1097</v>
      </c>
      <c r="J24" s="181">
        <v>37838.0</v>
      </c>
      <c r="K24" s="169" t="s">
        <v>1135</v>
      </c>
      <c r="L24" s="169">
        <f t="shared" si="1"/>
        <v>22.93972603</v>
      </c>
      <c r="M24" s="170"/>
      <c r="N24" s="170"/>
      <c r="O24" s="171" t="s">
        <v>1175</v>
      </c>
      <c r="P24" s="166">
        <v>35.0</v>
      </c>
      <c r="Q24" s="166">
        <v>27.3</v>
      </c>
      <c r="R24" s="166">
        <v>60.7</v>
      </c>
      <c r="S24" s="166">
        <v>14.7</v>
      </c>
      <c r="T24" s="183">
        <v>0.1</v>
      </c>
      <c r="U24" s="183">
        <v>0.0</v>
      </c>
      <c r="V24" s="166">
        <v>9.0</v>
      </c>
      <c r="W24" s="183">
        <v>2.3</v>
      </c>
      <c r="X24" s="183">
        <v>0.9</v>
      </c>
      <c r="Y24" s="166">
        <v>2.0</v>
      </c>
      <c r="Z24" s="183">
        <v>1.9</v>
      </c>
      <c r="AA24" s="172">
        <v>61.7</v>
      </c>
    </row>
    <row r="25">
      <c r="A25" s="27">
        <v>23.0</v>
      </c>
      <c r="B25" s="184">
        <v>5.0</v>
      </c>
      <c r="C25" s="197">
        <v>4.0</v>
      </c>
      <c r="D25" s="186" t="s">
        <v>1154</v>
      </c>
      <c r="E25" s="28" t="s">
        <v>267</v>
      </c>
      <c r="F25" s="28" t="s">
        <v>1155</v>
      </c>
      <c r="G25" s="28" t="s">
        <v>52</v>
      </c>
      <c r="H25" s="28">
        <v>1.19</v>
      </c>
      <c r="I25" s="187" t="s">
        <v>1097</v>
      </c>
      <c r="J25" s="44">
        <v>38926.0</v>
      </c>
      <c r="K25" s="275" t="s">
        <v>1098</v>
      </c>
      <c r="L25" s="190">
        <f t="shared" si="1"/>
        <v>19.96164384</v>
      </c>
      <c r="M25" s="276"/>
      <c r="N25" s="276"/>
      <c r="O25" s="57" t="s">
        <v>1329</v>
      </c>
      <c r="P25" s="28">
        <v>35.0</v>
      </c>
      <c r="Q25" s="28">
        <v>22.6</v>
      </c>
      <c r="R25" s="28">
        <v>51.2</v>
      </c>
      <c r="S25" s="28">
        <v>11.8</v>
      </c>
      <c r="T25" s="28">
        <v>2.6</v>
      </c>
      <c r="U25" s="28">
        <v>1.1</v>
      </c>
      <c r="V25" s="28">
        <v>6.5</v>
      </c>
      <c r="W25" s="28">
        <v>1.8</v>
      </c>
      <c r="X25" s="28">
        <v>1.9</v>
      </c>
      <c r="Y25" s="28">
        <v>0.9</v>
      </c>
      <c r="Z25" s="28">
        <v>0.7</v>
      </c>
      <c r="AA25" s="277">
        <v>75.0</v>
      </c>
    </row>
    <row r="26">
      <c r="A26" s="27">
        <v>24.0</v>
      </c>
      <c r="B26" s="184">
        <v>4.0</v>
      </c>
      <c r="C26" s="185"/>
      <c r="D26" s="186" t="s">
        <v>1179</v>
      </c>
      <c r="E26" s="187" t="s">
        <v>183</v>
      </c>
      <c r="F26" s="187" t="s">
        <v>1180</v>
      </c>
      <c r="G26" s="187" t="s">
        <v>55</v>
      </c>
      <c r="H26" s="187">
        <v>2.01</v>
      </c>
      <c r="I26" s="187" t="s">
        <v>1191</v>
      </c>
      <c r="J26" s="188">
        <v>37878.0</v>
      </c>
      <c r="K26" s="189" t="s">
        <v>1135</v>
      </c>
      <c r="L26" s="190">
        <f t="shared" si="1"/>
        <v>22.83013699</v>
      </c>
      <c r="M26" s="194"/>
      <c r="N26" s="194"/>
      <c r="O26" s="195" t="s">
        <v>1182</v>
      </c>
      <c r="P26" s="187">
        <v>34.0</v>
      </c>
      <c r="Q26" s="187">
        <v>36.5</v>
      </c>
      <c r="R26" s="187">
        <v>55.4</v>
      </c>
      <c r="S26" s="187">
        <v>19.9</v>
      </c>
      <c r="T26" s="187">
        <v>4.6</v>
      </c>
      <c r="U26" s="187">
        <v>1.8</v>
      </c>
      <c r="V26" s="187">
        <v>5.1</v>
      </c>
      <c r="W26" s="187">
        <v>3.9</v>
      </c>
      <c r="X26" s="187">
        <v>1.1</v>
      </c>
      <c r="Y26" s="187">
        <v>0.2</v>
      </c>
      <c r="Z26" s="187">
        <v>1.3</v>
      </c>
      <c r="AA26" s="193">
        <v>82.9</v>
      </c>
    </row>
    <row r="27">
      <c r="A27" s="27">
        <v>25.0</v>
      </c>
      <c r="B27" s="184">
        <v>10.0</v>
      </c>
      <c r="C27" s="185">
        <v>4.5</v>
      </c>
      <c r="D27" s="196" t="s">
        <v>1167</v>
      </c>
      <c r="E27" s="187" t="s">
        <v>14</v>
      </c>
      <c r="F27" s="187" t="s">
        <v>1168</v>
      </c>
      <c r="G27" s="187" t="s">
        <v>26</v>
      </c>
      <c r="H27" s="187">
        <v>1.25</v>
      </c>
      <c r="I27" s="187" t="s">
        <v>1097</v>
      </c>
      <c r="J27" s="188">
        <v>38690.0</v>
      </c>
      <c r="K27" s="189" t="s">
        <v>1165</v>
      </c>
      <c r="L27" s="190">
        <f t="shared" si="1"/>
        <v>20.60821918</v>
      </c>
      <c r="M27" s="194"/>
      <c r="N27" s="194"/>
      <c r="O27" s="278" t="s">
        <v>1330</v>
      </c>
      <c r="P27" s="187">
        <v>59.0</v>
      </c>
      <c r="Q27" s="187">
        <v>14.3</v>
      </c>
      <c r="R27" s="187">
        <v>45.0</v>
      </c>
      <c r="S27" s="187">
        <v>7.1</v>
      </c>
      <c r="T27" s="187">
        <v>2.2</v>
      </c>
      <c r="U27" s="187">
        <v>0.9</v>
      </c>
      <c r="V27" s="187">
        <v>2.0</v>
      </c>
      <c r="W27" s="187">
        <v>2.9</v>
      </c>
      <c r="X27" s="187">
        <v>0.5</v>
      </c>
      <c r="Y27" s="187">
        <v>0.2</v>
      </c>
      <c r="Z27" s="187">
        <v>1.5</v>
      </c>
      <c r="AA27" s="193">
        <v>81.2</v>
      </c>
    </row>
    <row r="28">
      <c r="A28" s="27">
        <v>26.0</v>
      </c>
      <c r="B28" s="184">
        <v>3.0</v>
      </c>
      <c r="C28" s="185">
        <v>4.5</v>
      </c>
      <c r="D28" s="196" t="s">
        <v>1186</v>
      </c>
      <c r="E28" s="187" t="s">
        <v>10</v>
      </c>
      <c r="F28" s="187" t="s">
        <v>1187</v>
      </c>
      <c r="G28" s="187" t="s">
        <v>43</v>
      </c>
      <c r="H28" s="187">
        <v>1.23</v>
      </c>
      <c r="I28" s="187" t="s">
        <v>1097</v>
      </c>
      <c r="J28" s="188">
        <v>38097.0</v>
      </c>
      <c r="K28" s="189" t="s">
        <v>1135</v>
      </c>
      <c r="L28" s="190">
        <f t="shared" si="1"/>
        <v>22.2309604</v>
      </c>
      <c r="M28" s="194"/>
      <c r="N28" s="194"/>
      <c r="O28" s="195" t="s">
        <v>1188</v>
      </c>
      <c r="P28" s="187">
        <v>37.0</v>
      </c>
      <c r="Q28" s="187">
        <v>30.0</v>
      </c>
      <c r="R28" s="187">
        <v>53.6</v>
      </c>
      <c r="S28" s="187">
        <v>16.3</v>
      </c>
      <c r="T28" s="187">
        <v>1.6</v>
      </c>
      <c r="U28" s="187">
        <v>0.5</v>
      </c>
      <c r="V28" s="187">
        <v>7.3</v>
      </c>
      <c r="W28" s="187">
        <v>3.5</v>
      </c>
      <c r="X28" s="187">
        <v>1.2</v>
      </c>
      <c r="Y28" s="187">
        <v>2.1</v>
      </c>
      <c r="Z28" s="187">
        <v>2.1</v>
      </c>
      <c r="AA28" s="193">
        <v>71.8</v>
      </c>
    </row>
    <row r="29">
      <c r="A29" s="27">
        <v>27.0</v>
      </c>
      <c r="B29" s="184">
        <v>-2.0</v>
      </c>
      <c r="C29" s="185">
        <v>4.5</v>
      </c>
      <c r="D29" s="186" t="s">
        <v>1176</v>
      </c>
      <c r="E29" s="187" t="s">
        <v>267</v>
      </c>
      <c r="F29" s="187" t="s">
        <v>1177</v>
      </c>
      <c r="G29" s="187" t="s">
        <v>111</v>
      </c>
      <c r="H29" s="187">
        <v>1.3</v>
      </c>
      <c r="I29" s="187" t="s">
        <v>1097</v>
      </c>
      <c r="J29" s="188">
        <v>39102.0</v>
      </c>
      <c r="K29" s="189" t="s">
        <v>1098</v>
      </c>
      <c r="L29" s="190">
        <f t="shared" si="1"/>
        <v>19.47945205</v>
      </c>
      <c r="M29" s="191"/>
      <c r="N29" s="191"/>
      <c r="O29" s="192" t="s">
        <v>1331</v>
      </c>
      <c r="P29" s="187">
        <v>36.0</v>
      </c>
      <c r="Q29" s="187">
        <v>27.8</v>
      </c>
      <c r="R29" s="187">
        <v>52.8</v>
      </c>
      <c r="S29" s="187">
        <v>14.1</v>
      </c>
      <c r="T29" s="187">
        <v>0.6</v>
      </c>
      <c r="U29" s="187">
        <v>0.2</v>
      </c>
      <c r="V29" s="187">
        <v>5.6</v>
      </c>
      <c r="W29" s="187">
        <v>2.6</v>
      </c>
      <c r="X29" s="187">
        <v>0.6</v>
      </c>
      <c r="Y29" s="187">
        <v>0.7</v>
      </c>
      <c r="Z29" s="187">
        <v>1.6</v>
      </c>
      <c r="AA29" s="193">
        <v>62.3</v>
      </c>
    </row>
    <row r="30">
      <c r="A30" s="27">
        <v>28.0</v>
      </c>
      <c r="B30" s="184">
        <v>-4.0</v>
      </c>
      <c r="C30" s="185">
        <v>4.5</v>
      </c>
      <c r="D30" s="186" t="s">
        <v>1195</v>
      </c>
      <c r="E30" s="187" t="s">
        <v>573</v>
      </c>
      <c r="F30" s="187" t="s">
        <v>1196</v>
      </c>
      <c r="G30" s="187" t="s">
        <v>69</v>
      </c>
      <c r="H30" s="187">
        <v>2.04</v>
      </c>
      <c r="I30" s="187" t="s">
        <v>1197</v>
      </c>
      <c r="J30" s="188">
        <v>38935.0</v>
      </c>
      <c r="K30" s="189" t="s">
        <v>1098</v>
      </c>
      <c r="L30" s="190">
        <f t="shared" si="1"/>
        <v>19.9369863</v>
      </c>
      <c r="M30" s="194"/>
      <c r="N30" s="194"/>
      <c r="O30" s="195" t="s">
        <v>1198</v>
      </c>
      <c r="P30" s="187">
        <v>37.0</v>
      </c>
      <c r="Q30" s="187">
        <v>30.5</v>
      </c>
      <c r="R30" s="187">
        <v>43.5</v>
      </c>
      <c r="S30" s="187">
        <v>15.6</v>
      </c>
      <c r="T30" s="187">
        <v>5.3</v>
      </c>
      <c r="U30" s="187">
        <v>2.2</v>
      </c>
      <c r="V30" s="187">
        <v>3.8</v>
      </c>
      <c r="W30" s="187">
        <v>2.5</v>
      </c>
      <c r="X30" s="187">
        <v>1.5</v>
      </c>
      <c r="Y30" s="187">
        <v>0.2</v>
      </c>
      <c r="Z30" s="187">
        <v>1.0</v>
      </c>
      <c r="AA30" s="193">
        <v>84.3</v>
      </c>
    </row>
    <row r="31">
      <c r="A31" s="27">
        <v>29.0</v>
      </c>
      <c r="B31" s="184">
        <v>-6.0</v>
      </c>
      <c r="C31" s="185">
        <v>4.0</v>
      </c>
      <c r="D31" s="186" t="s">
        <v>1183</v>
      </c>
      <c r="E31" s="187" t="s">
        <v>10</v>
      </c>
      <c r="F31" s="187" t="s">
        <v>1184</v>
      </c>
      <c r="G31" s="187" t="s">
        <v>32</v>
      </c>
      <c r="H31" s="187">
        <v>1.27</v>
      </c>
      <c r="I31" s="187" t="s">
        <v>1097</v>
      </c>
      <c r="J31" s="188">
        <v>39114.0</v>
      </c>
      <c r="K31" s="189" t="s">
        <v>1098</v>
      </c>
      <c r="L31" s="190">
        <f t="shared" si="1"/>
        <v>19.44657534</v>
      </c>
      <c r="M31" s="194"/>
      <c r="N31" s="194"/>
      <c r="O31" s="195" t="s">
        <v>1185</v>
      </c>
      <c r="P31" s="187">
        <v>37.0</v>
      </c>
      <c r="Q31" s="187">
        <v>24.8</v>
      </c>
      <c r="R31" s="187">
        <v>48.5</v>
      </c>
      <c r="S31" s="187">
        <v>9.5</v>
      </c>
      <c r="T31" s="187">
        <v>2.4</v>
      </c>
      <c r="U31" s="187">
        <v>0.8</v>
      </c>
      <c r="V31" s="187">
        <v>7.9</v>
      </c>
      <c r="W31" s="187">
        <v>0.7</v>
      </c>
      <c r="X31" s="187">
        <v>0.8</v>
      </c>
      <c r="Y31" s="187">
        <v>0.5</v>
      </c>
      <c r="Z31" s="187">
        <v>0.9</v>
      </c>
      <c r="AA31" s="193">
        <v>62.1</v>
      </c>
    </row>
    <row r="32">
      <c r="A32" s="27">
        <v>30.0</v>
      </c>
      <c r="B32" s="184">
        <v>-6.0</v>
      </c>
      <c r="C32" s="185">
        <v>3.0</v>
      </c>
      <c r="D32" s="186" t="s">
        <v>1170</v>
      </c>
      <c r="E32" s="187" t="s">
        <v>21</v>
      </c>
      <c r="F32" s="187" t="s">
        <v>1171</v>
      </c>
      <c r="G32" s="187" t="s">
        <v>11</v>
      </c>
      <c r="H32" s="187">
        <v>1.2</v>
      </c>
      <c r="I32" s="187" t="s">
        <v>1097</v>
      </c>
      <c r="J32" s="279">
        <v>39274.0</v>
      </c>
      <c r="K32" s="189" t="s">
        <v>1124</v>
      </c>
      <c r="L32" s="190">
        <f t="shared" si="1"/>
        <v>19.00821918</v>
      </c>
      <c r="M32" s="191">
        <v>64.0</v>
      </c>
      <c r="N32" s="191">
        <v>0.0</v>
      </c>
      <c r="O32" s="195" t="s">
        <v>1172</v>
      </c>
      <c r="P32" s="187">
        <v>28.0</v>
      </c>
      <c r="Q32" s="187">
        <v>27.7</v>
      </c>
      <c r="R32" s="187">
        <v>52.9</v>
      </c>
      <c r="S32" s="187">
        <v>8.8</v>
      </c>
      <c r="T32" s="187">
        <v>1.1</v>
      </c>
      <c r="U32" s="187">
        <v>0.2</v>
      </c>
      <c r="V32" s="187">
        <v>7.5</v>
      </c>
      <c r="W32" s="187">
        <v>1.4</v>
      </c>
      <c r="X32" s="187">
        <v>1.0</v>
      </c>
      <c r="Y32" s="187">
        <v>2.4</v>
      </c>
      <c r="Z32" s="187">
        <v>1.9</v>
      </c>
      <c r="AA32" s="193">
        <v>45.2</v>
      </c>
    </row>
    <row r="33">
      <c r="A33" s="27">
        <v>31.0</v>
      </c>
      <c r="B33" s="184">
        <v>-6.0</v>
      </c>
      <c r="C33" s="197">
        <v>4.0</v>
      </c>
      <c r="D33" s="186" t="s">
        <v>1193</v>
      </c>
      <c r="E33" s="187" t="s">
        <v>25</v>
      </c>
      <c r="F33" s="187" t="s">
        <v>1164</v>
      </c>
      <c r="G33" s="187" t="s">
        <v>158</v>
      </c>
      <c r="H33" s="187">
        <v>1.28</v>
      </c>
      <c r="I33" s="187" t="s">
        <v>1097</v>
      </c>
      <c r="J33" s="188">
        <v>37946.0</v>
      </c>
      <c r="K33" s="189" t="s">
        <v>1135</v>
      </c>
      <c r="L33" s="190">
        <f t="shared" si="1"/>
        <v>22.64383562</v>
      </c>
      <c r="M33" s="194"/>
      <c r="N33" s="194"/>
      <c r="O33" s="195" t="s">
        <v>1194</v>
      </c>
      <c r="P33" s="187">
        <v>35.0</v>
      </c>
      <c r="Q33" s="187">
        <v>30.9</v>
      </c>
      <c r="R33" s="187">
        <v>47.1</v>
      </c>
      <c r="S33" s="187">
        <v>16.4</v>
      </c>
      <c r="T33" s="187">
        <v>3.1</v>
      </c>
      <c r="U33" s="187">
        <v>1.1</v>
      </c>
      <c r="V33" s="187">
        <v>7.4</v>
      </c>
      <c r="W33" s="187">
        <v>4.8</v>
      </c>
      <c r="X33" s="187">
        <v>1.6</v>
      </c>
      <c r="Y33" s="187">
        <v>0.8</v>
      </c>
      <c r="Z33" s="187">
        <v>2.5</v>
      </c>
      <c r="AA33" s="193">
        <v>70.0</v>
      </c>
    </row>
    <row r="34">
      <c r="A34" s="27">
        <v>32.0</v>
      </c>
      <c r="B34" s="184" t="s">
        <v>1094</v>
      </c>
      <c r="C34" s="185">
        <v>5.0</v>
      </c>
      <c r="D34" s="186" t="s">
        <v>1208</v>
      </c>
      <c r="E34" s="187" t="s">
        <v>36</v>
      </c>
      <c r="F34" s="187" t="s">
        <v>1209</v>
      </c>
      <c r="G34" s="187" t="s">
        <v>37</v>
      </c>
      <c r="H34" s="187">
        <v>2.03</v>
      </c>
      <c r="I34" s="187" t="s">
        <v>1191</v>
      </c>
      <c r="J34" s="188">
        <v>38692.0</v>
      </c>
      <c r="K34" s="189" t="s">
        <v>1124</v>
      </c>
      <c r="L34" s="190">
        <f t="shared" si="1"/>
        <v>20.60273973</v>
      </c>
      <c r="M34" s="191"/>
      <c r="N34" s="191"/>
      <c r="O34" s="195" t="s">
        <v>1210</v>
      </c>
      <c r="P34" s="187">
        <v>38.0</v>
      </c>
      <c r="Q34" s="187">
        <v>28.2</v>
      </c>
      <c r="R34" s="187">
        <v>43.3</v>
      </c>
      <c r="S34" s="187">
        <v>15.0</v>
      </c>
      <c r="T34" s="187">
        <v>7.4</v>
      </c>
      <c r="U34" s="187">
        <v>2.7</v>
      </c>
      <c r="V34" s="187">
        <v>3.2</v>
      </c>
      <c r="W34" s="187">
        <v>1.3</v>
      </c>
      <c r="X34" s="187">
        <v>0.7</v>
      </c>
      <c r="Y34" s="187">
        <v>0.7</v>
      </c>
      <c r="Z34" s="187">
        <v>1.1</v>
      </c>
      <c r="AA34" s="193">
        <v>86.0</v>
      </c>
    </row>
    <row r="35">
      <c r="A35" s="198">
        <v>33.0</v>
      </c>
      <c r="B35" s="199">
        <v>2.0</v>
      </c>
      <c r="C35" s="200">
        <v>6.0</v>
      </c>
      <c r="D35" s="201" t="s">
        <v>1199</v>
      </c>
      <c r="E35" s="202" t="s">
        <v>36</v>
      </c>
      <c r="F35" s="202" t="s">
        <v>1200</v>
      </c>
      <c r="G35" s="202" t="s">
        <v>49</v>
      </c>
      <c r="H35" s="202">
        <v>2.02</v>
      </c>
      <c r="I35" s="202" t="s">
        <v>1191</v>
      </c>
      <c r="J35" s="203">
        <v>37153.0</v>
      </c>
      <c r="K35" s="204" t="s">
        <v>1135</v>
      </c>
      <c r="L35" s="205">
        <f t="shared" si="1"/>
        <v>24.81643836</v>
      </c>
      <c r="M35" s="206"/>
      <c r="N35" s="206"/>
      <c r="O35" s="207" t="s">
        <v>1201</v>
      </c>
      <c r="P35" s="202">
        <v>25.0</v>
      </c>
      <c r="Q35" s="202">
        <v>31.4</v>
      </c>
      <c r="R35" s="202">
        <v>48.9</v>
      </c>
      <c r="S35" s="202">
        <v>18.0</v>
      </c>
      <c r="T35" s="202">
        <v>6.8</v>
      </c>
      <c r="U35" s="202">
        <v>2.6</v>
      </c>
      <c r="V35" s="202">
        <v>5.8</v>
      </c>
      <c r="W35" s="202">
        <v>2.1</v>
      </c>
      <c r="X35" s="202">
        <v>1.7</v>
      </c>
      <c r="Y35" s="202">
        <v>0.3</v>
      </c>
      <c r="Z35" s="202">
        <v>1.6</v>
      </c>
      <c r="AA35" s="208">
        <v>81.7</v>
      </c>
    </row>
    <row r="36">
      <c r="A36" s="198">
        <v>34.0</v>
      </c>
      <c r="B36" s="199">
        <v>9.0</v>
      </c>
      <c r="C36" s="200">
        <v>6.0</v>
      </c>
      <c r="D36" s="201" t="s">
        <v>1202</v>
      </c>
      <c r="E36" s="202" t="s">
        <v>25</v>
      </c>
      <c r="F36" s="202" t="s">
        <v>1203</v>
      </c>
      <c r="G36" s="202" t="s">
        <v>167</v>
      </c>
      <c r="H36" s="202">
        <v>1.29</v>
      </c>
      <c r="I36" s="202" t="s">
        <v>1097</v>
      </c>
      <c r="J36" s="203">
        <v>37571.0</v>
      </c>
      <c r="K36" s="204" t="s">
        <v>1135</v>
      </c>
      <c r="L36" s="205">
        <f t="shared" si="1"/>
        <v>23.67123288</v>
      </c>
      <c r="M36" s="206"/>
      <c r="N36" s="206"/>
      <c r="O36" s="207" t="s">
        <v>1204</v>
      </c>
      <c r="P36" s="202">
        <v>40.0</v>
      </c>
      <c r="Q36" s="202">
        <v>34.3</v>
      </c>
      <c r="R36" s="202">
        <v>46.4</v>
      </c>
      <c r="S36" s="202">
        <v>13.2</v>
      </c>
      <c r="T36" s="202">
        <v>5.2</v>
      </c>
      <c r="U36" s="202">
        <v>1.9</v>
      </c>
      <c r="V36" s="202">
        <v>5.3</v>
      </c>
      <c r="W36" s="202">
        <v>2.4</v>
      </c>
      <c r="X36" s="202">
        <v>0.8</v>
      </c>
      <c r="Y36" s="202">
        <v>0.8</v>
      </c>
      <c r="Z36" s="202">
        <v>1.1</v>
      </c>
      <c r="AA36" s="208">
        <v>85.1</v>
      </c>
    </row>
    <row r="37">
      <c r="A37" s="198">
        <v>35.0</v>
      </c>
      <c r="B37" s="199">
        <v>-3.0</v>
      </c>
      <c r="C37" s="200"/>
      <c r="D37" s="201" t="s">
        <v>1211</v>
      </c>
      <c r="E37" s="202" t="s">
        <v>573</v>
      </c>
      <c r="F37" s="202" t="s">
        <v>1212</v>
      </c>
      <c r="G37" s="202" t="s">
        <v>128</v>
      </c>
      <c r="H37" s="202">
        <v>2.07</v>
      </c>
      <c r="I37" s="202" t="s">
        <v>1213</v>
      </c>
      <c r="J37" s="203">
        <v>38153.0</v>
      </c>
      <c r="K37" s="204" t="s">
        <v>1135</v>
      </c>
      <c r="L37" s="205">
        <f t="shared" si="1"/>
        <v>22.07795494</v>
      </c>
      <c r="M37" s="209"/>
      <c r="N37" s="209"/>
      <c r="O37" s="207" t="s">
        <v>1214</v>
      </c>
      <c r="P37" s="202">
        <v>34.0</v>
      </c>
      <c r="Q37" s="202">
        <v>30.9</v>
      </c>
      <c r="R37" s="202">
        <v>40.8</v>
      </c>
      <c r="S37" s="202">
        <v>18.8</v>
      </c>
      <c r="T37" s="202">
        <v>9.6</v>
      </c>
      <c r="U37" s="202">
        <v>3.3</v>
      </c>
      <c r="V37" s="202">
        <v>4.8</v>
      </c>
      <c r="W37" s="202">
        <v>2.7</v>
      </c>
      <c r="X37" s="202">
        <v>1.1</v>
      </c>
      <c r="Y37" s="202">
        <v>0.2</v>
      </c>
      <c r="Z37" s="202">
        <v>2.1</v>
      </c>
      <c r="AA37" s="208">
        <v>83.2</v>
      </c>
    </row>
    <row r="38">
      <c r="A38" s="198">
        <v>36.0</v>
      </c>
      <c r="B38" s="199">
        <v>-3.0</v>
      </c>
      <c r="C38" s="200">
        <v>4.5</v>
      </c>
      <c r="D38" s="201" t="s">
        <v>1205</v>
      </c>
      <c r="E38" s="202" t="s">
        <v>21</v>
      </c>
      <c r="F38" s="202" t="s">
        <v>1206</v>
      </c>
      <c r="G38" s="202" t="s">
        <v>43</v>
      </c>
      <c r="H38" s="202">
        <v>2.22</v>
      </c>
      <c r="I38" s="202" t="s">
        <v>1197</v>
      </c>
      <c r="J38" s="203">
        <v>38074.0</v>
      </c>
      <c r="K38" s="204" t="s">
        <v>1128</v>
      </c>
      <c r="L38" s="205">
        <f t="shared" si="1"/>
        <v>22.29380193</v>
      </c>
      <c r="M38" s="206"/>
      <c r="N38" s="206"/>
      <c r="O38" s="207" t="s">
        <v>1207</v>
      </c>
      <c r="P38" s="202">
        <v>31.0</v>
      </c>
      <c r="Q38" s="202">
        <v>31.4</v>
      </c>
      <c r="R38" s="202">
        <v>60.8</v>
      </c>
      <c r="S38" s="202">
        <v>17.0</v>
      </c>
      <c r="T38" s="202">
        <v>3.0</v>
      </c>
      <c r="U38" s="202">
        <v>1.3</v>
      </c>
      <c r="V38" s="202">
        <v>8.7</v>
      </c>
      <c r="W38" s="202">
        <v>2.1</v>
      </c>
      <c r="X38" s="202">
        <v>0.6</v>
      </c>
      <c r="Y38" s="202">
        <v>1.2</v>
      </c>
      <c r="Z38" s="202">
        <v>1.7</v>
      </c>
      <c r="AA38" s="208">
        <v>61.5</v>
      </c>
    </row>
    <row r="39">
      <c r="A39" s="198">
        <v>37.0</v>
      </c>
      <c r="B39" s="199">
        <v>4.0</v>
      </c>
      <c r="C39" s="200">
        <v>6.0</v>
      </c>
      <c r="D39" s="201" t="s">
        <v>1189</v>
      </c>
      <c r="E39" s="202" t="s">
        <v>267</v>
      </c>
      <c r="F39" s="202" t="s">
        <v>1190</v>
      </c>
      <c r="G39" s="202" t="s">
        <v>98</v>
      </c>
      <c r="H39" s="202">
        <v>2.06</v>
      </c>
      <c r="I39" s="202" t="s">
        <v>1191</v>
      </c>
      <c r="J39" s="203">
        <v>38024.0</v>
      </c>
      <c r="K39" s="204" t="s">
        <v>1135</v>
      </c>
      <c r="L39" s="205">
        <f t="shared" si="1"/>
        <v>22.43041395</v>
      </c>
      <c r="M39" s="206"/>
      <c r="N39" s="206"/>
      <c r="O39" s="207" t="s">
        <v>1332</v>
      </c>
      <c r="P39" s="202">
        <v>31.0</v>
      </c>
      <c r="Q39" s="202">
        <v>31.9</v>
      </c>
      <c r="R39" s="202">
        <v>52.9</v>
      </c>
      <c r="S39" s="202">
        <v>13.0</v>
      </c>
      <c r="T39" s="202">
        <v>1.7</v>
      </c>
      <c r="U39" s="202">
        <v>0.3</v>
      </c>
      <c r="V39" s="202">
        <v>10.3</v>
      </c>
      <c r="W39" s="202">
        <v>3.7</v>
      </c>
      <c r="X39" s="202">
        <v>0.7</v>
      </c>
      <c r="Y39" s="202">
        <v>1.2</v>
      </c>
      <c r="Z39" s="202">
        <v>2.2</v>
      </c>
      <c r="AA39" s="208">
        <v>65.8</v>
      </c>
    </row>
    <row r="40">
      <c r="A40" s="211">
        <v>38.0</v>
      </c>
      <c r="B40" s="222">
        <v>22.0</v>
      </c>
      <c r="C40" s="213">
        <v>7.0</v>
      </c>
      <c r="D40" s="214" t="s">
        <v>1229</v>
      </c>
      <c r="E40" s="215" t="s">
        <v>183</v>
      </c>
      <c r="F40" s="215" t="s">
        <v>1230</v>
      </c>
      <c r="G40" s="215" t="s">
        <v>11</v>
      </c>
      <c r="H40" s="215">
        <v>2.12</v>
      </c>
      <c r="I40" s="215" t="s">
        <v>1224</v>
      </c>
      <c r="J40" s="216">
        <v>38056.0</v>
      </c>
      <c r="K40" s="217" t="s">
        <v>1135</v>
      </c>
      <c r="L40" s="218">
        <f t="shared" si="1"/>
        <v>22.34298226</v>
      </c>
      <c r="M40" s="223"/>
      <c r="N40" s="223"/>
      <c r="O40" s="220" t="s">
        <v>1231</v>
      </c>
      <c r="P40" s="215">
        <v>37.0</v>
      </c>
      <c r="Q40" s="215">
        <v>34.8</v>
      </c>
      <c r="R40" s="215">
        <v>41.0</v>
      </c>
      <c r="S40" s="215">
        <v>18.4</v>
      </c>
      <c r="T40" s="215">
        <v>8.2</v>
      </c>
      <c r="U40" s="215">
        <v>2.8</v>
      </c>
      <c r="V40" s="215">
        <v>2.8</v>
      </c>
      <c r="W40" s="215">
        <v>5.4</v>
      </c>
      <c r="X40" s="215">
        <v>2.1</v>
      </c>
      <c r="Y40" s="215">
        <v>0.2</v>
      </c>
      <c r="Z40" s="215">
        <v>2.3</v>
      </c>
      <c r="AA40" s="221">
        <v>81.4</v>
      </c>
    </row>
    <row r="41">
      <c r="A41" s="211">
        <v>39.0</v>
      </c>
      <c r="B41" s="212">
        <v>5.0</v>
      </c>
      <c r="C41" s="213">
        <v>6.0</v>
      </c>
      <c r="D41" s="214" t="s">
        <v>1215</v>
      </c>
      <c r="E41" s="228" t="s">
        <v>573</v>
      </c>
      <c r="F41" s="215" t="s">
        <v>1216</v>
      </c>
      <c r="G41" s="215" t="s">
        <v>167</v>
      </c>
      <c r="H41" s="215">
        <v>2.15</v>
      </c>
      <c r="I41" s="215" t="s">
        <v>1213</v>
      </c>
      <c r="J41" s="216">
        <v>38053.0</v>
      </c>
      <c r="K41" s="218" t="s">
        <v>1135</v>
      </c>
      <c r="L41" s="218">
        <f t="shared" si="1"/>
        <v>22.35117898</v>
      </c>
      <c r="M41" s="224"/>
      <c r="N41" s="224"/>
      <c r="O41" s="220" t="s">
        <v>1217</v>
      </c>
      <c r="P41" s="215">
        <v>37.0</v>
      </c>
      <c r="Q41" s="215">
        <v>29.4</v>
      </c>
      <c r="R41" s="215">
        <v>41.3</v>
      </c>
      <c r="S41" s="215">
        <v>15.5</v>
      </c>
      <c r="T41" s="215">
        <v>7.1</v>
      </c>
      <c r="U41" s="215">
        <v>2.6</v>
      </c>
      <c r="V41" s="215">
        <v>3.0</v>
      </c>
      <c r="W41" s="215">
        <v>1.7</v>
      </c>
      <c r="X41" s="215">
        <v>1.2</v>
      </c>
      <c r="Y41" s="215">
        <v>0.1</v>
      </c>
      <c r="Z41" s="215">
        <v>1.0</v>
      </c>
      <c r="AA41" s="221">
        <v>89.1</v>
      </c>
    </row>
    <row r="42">
      <c r="A42" s="211">
        <v>40.0</v>
      </c>
      <c r="B42" s="212" t="s">
        <v>1094</v>
      </c>
      <c r="C42" s="213">
        <v>5.0</v>
      </c>
      <c r="D42" s="214" t="s">
        <v>1222</v>
      </c>
      <c r="E42" s="215" t="s">
        <v>183</v>
      </c>
      <c r="F42" s="215" t="s">
        <v>1223</v>
      </c>
      <c r="G42" s="215" t="s">
        <v>46</v>
      </c>
      <c r="H42" s="215">
        <v>2.08</v>
      </c>
      <c r="I42" s="215" t="s">
        <v>1224</v>
      </c>
      <c r="J42" s="216">
        <v>37827.0</v>
      </c>
      <c r="K42" s="217" t="s">
        <v>1135</v>
      </c>
      <c r="L42" s="218">
        <f t="shared" si="1"/>
        <v>22.96986301</v>
      </c>
      <c r="M42" s="219"/>
      <c r="N42" s="219"/>
      <c r="O42" s="220" t="s">
        <v>1225</v>
      </c>
      <c r="P42" s="215">
        <v>39.0</v>
      </c>
      <c r="Q42" s="215">
        <v>34.5</v>
      </c>
      <c r="R42" s="215">
        <v>44.0</v>
      </c>
      <c r="S42" s="215">
        <v>14.3</v>
      </c>
      <c r="T42" s="215">
        <v>4.5</v>
      </c>
      <c r="U42" s="215">
        <v>1.6</v>
      </c>
      <c r="V42" s="215">
        <v>3.5</v>
      </c>
      <c r="W42" s="215">
        <v>8.8</v>
      </c>
      <c r="X42" s="215">
        <v>1.7</v>
      </c>
      <c r="Y42" s="215">
        <v>0.2</v>
      </c>
      <c r="Z42" s="215">
        <v>2.9</v>
      </c>
      <c r="AA42" s="221">
        <v>82.5</v>
      </c>
    </row>
    <row r="43">
      <c r="A43" s="211">
        <v>41.0</v>
      </c>
      <c r="B43" s="222">
        <v>8.0</v>
      </c>
      <c r="C43" s="213">
        <v>7.0</v>
      </c>
      <c r="D43" s="214" t="s">
        <v>1241</v>
      </c>
      <c r="E43" s="215" t="s">
        <v>25</v>
      </c>
      <c r="F43" s="215" t="s">
        <v>1242</v>
      </c>
      <c r="G43" s="215" t="s">
        <v>98</v>
      </c>
      <c r="H43" s="215">
        <v>2.25</v>
      </c>
      <c r="I43" s="215" t="s">
        <v>1224</v>
      </c>
      <c r="J43" s="216">
        <v>38097.0</v>
      </c>
      <c r="K43" s="217" t="s">
        <v>1135</v>
      </c>
      <c r="L43" s="218">
        <f t="shared" si="1"/>
        <v>22.2309604</v>
      </c>
      <c r="M43" s="224"/>
      <c r="N43" s="224"/>
      <c r="O43" s="220" t="s">
        <v>1243</v>
      </c>
      <c r="P43" s="215">
        <v>33.0</v>
      </c>
      <c r="Q43" s="215">
        <v>35.6</v>
      </c>
      <c r="R43" s="215">
        <v>51.0</v>
      </c>
      <c r="S43" s="215">
        <v>23.0</v>
      </c>
      <c r="T43" s="215">
        <v>3.3</v>
      </c>
      <c r="U43" s="215">
        <v>1.4</v>
      </c>
      <c r="V43" s="215">
        <v>6.2</v>
      </c>
      <c r="W43" s="215">
        <v>2.0</v>
      </c>
      <c r="X43" s="215">
        <v>0.8</v>
      </c>
      <c r="Y43" s="215">
        <v>0.4</v>
      </c>
      <c r="Z43" s="215">
        <v>1.4</v>
      </c>
      <c r="AA43" s="221">
        <v>80.9</v>
      </c>
    </row>
    <row r="44">
      <c r="A44" s="211">
        <v>42.0</v>
      </c>
      <c r="B44" s="226">
        <v>3.0</v>
      </c>
      <c r="C44" s="213">
        <v>7.0</v>
      </c>
      <c r="D44" s="227" t="s">
        <v>1238</v>
      </c>
      <c r="E44" s="228" t="s">
        <v>183</v>
      </c>
      <c r="F44" s="215" t="s">
        <v>1239</v>
      </c>
      <c r="G44" s="215" t="s">
        <v>52</v>
      </c>
      <c r="H44" s="215">
        <v>2.2</v>
      </c>
      <c r="I44" s="215" t="s">
        <v>1224</v>
      </c>
      <c r="J44" s="216">
        <v>37878.0</v>
      </c>
      <c r="K44" s="218" t="s">
        <v>1135</v>
      </c>
      <c r="L44" s="218">
        <f t="shared" si="1"/>
        <v>22.83013699</v>
      </c>
      <c r="M44" s="224"/>
      <c r="N44" s="224"/>
      <c r="O44" s="220" t="s">
        <v>1240</v>
      </c>
      <c r="P44" s="215">
        <v>39.0</v>
      </c>
      <c r="Q44" s="215">
        <v>30.6</v>
      </c>
      <c r="R44" s="215">
        <v>46.3</v>
      </c>
      <c r="S44" s="215">
        <v>13.3</v>
      </c>
      <c r="T44" s="215">
        <v>1.7</v>
      </c>
      <c r="U44" s="215">
        <v>0.7</v>
      </c>
      <c r="V44" s="215">
        <v>3.4</v>
      </c>
      <c r="W44" s="215">
        <v>4.4</v>
      </c>
      <c r="X44" s="215">
        <v>1.4</v>
      </c>
      <c r="Y44" s="215">
        <v>0.1</v>
      </c>
      <c r="Z44" s="215">
        <v>1.7</v>
      </c>
      <c r="AA44" s="221">
        <v>80.9</v>
      </c>
    </row>
    <row r="45">
      <c r="A45" s="211">
        <v>43.0</v>
      </c>
      <c r="B45" s="212">
        <v>9.0</v>
      </c>
      <c r="C45" s="213">
        <v>6.0</v>
      </c>
      <c r="D45" s="214" t="s">
        <v>1235</v>
      </c>
      <c r="E45" s="215" t="s">
        <v>10</v>
      </c>
      <c r="F45" s="215" t="s">
        <v>1236</v>
      </c>
      <c r="G45" s="215" t="s">
        <v>22</v>
      </c>
      <c r="H45" s="215">
        <v>2.05</v>
      </c>
      <c r="I45" s="215" t="s">
        <v>1191</v>
      </c>
      <c r="J45" s="216">
        <v>37628.0</v>
      </c>
      <c r="K45" s="217" t="s">
        <v>1135</v>
      </c>
      <c r="L45" s="218">
        <f t="shared" si="1"/>
        <v>23.51506849</v>
      </c>
      <c r="M45" s="224"/>
      <c r="N45" s="224"/>
      <c r="O45" s="220" t="s">
        <v>1237</v>
      </c>
      <c r="P45" s="215">
        <v>36.0</v>
      </c>
      <c r="Q45" s="215">
        <v>31.5</v>
      </c>
      <c r="R45" s="215">
        <v>52.5</v>
      </c>
      <c r="S45" s="215">
        <v>13.0</v>
      </c>
      <c r="T45" s="215">
        <v>3.7</v>
      </c>
      <c r="U45" s="215">
        <v>1.3</v>
      </c>
      <c r="V45" s="215">
        <v>7.3</v>
      </c>
      <c r="W45" s="215">
        <v>1.6</v>
      </c>
      <c r="X45" s="215">
        <v>1.5</v>
      </c>
      <c r="Y45" s="215">
        <v>1.6</v>
      </c>
      <c r="Z45" s="215">
        <v>1.1</v>
      </c>
      <c r="AA45" s="221">
        <v>71.7</v>
      </c>
    </row>
    <row r="46">
      <c r="A46" s="211">
        <v>44.0</v>
      </c>
      <c r="B46" s="212">
        <v>3.0</v>
      </c>
      <c r="C46" s="213">
        <v>5.0</v>
      </c>
      <c r="D46" s="214" t="s">
        <v>1218</v>
      </c>
      <c r="E46" s="215" t="s">
        <v>21</v>
      </c>
      <c r="F46" s="215" t="s">
        <v>1219</v>
      </c>
      <c r="G46" s="215" t="s">
        <v>29</v>
      </c>
      <c r="H46" s="215">
        <v>2.23</v>
      </c>
      <c r="I46" s="215" t="s">
        <v>1220</v>
      </c>
      <c r="J46" s="216">
        <v>38255.0</v>
      </c>
      <c r="K46" s="217" t="s">
        <v>1135</v>
      </c>
      <c r="L46" s="218">
        <f t="shared" si="1"/>
        <v>21.79926641</v>
      </c>
      <c r="M46" s="224"/>
      <c r="N46" s="224"/>
      <c r="O46" s="220" t="s">
        <v>1221</v>
      </c>
      <c r="P46" s="215">
        <v>36.0</v>
      </c>
      <c r="Q46" s="215">
        <v>18.6</v>
      </c>
      <c r="R46" s="215">
        <v>56.8</v>
      </c>
      <c r="S46" s="215">
        <v>6.5</v>
      </c>
      <c r="T46" s="215">
        <v>1.0</v>
      </c>
      <c r="U46" s="215">
        <v>0.3</v>
      </c>
      <c r="V46" s="215">
        <v>4.9</v>
      </c>
      <c r="W46" s="215">
        <v>0.6</v>
      </c>
      <c r="X46" s="215">
        <v>0.6</v>
      </c>
      <c r="Y46" s="215">
        <v>2.9</v>
      </c>
      <c r="Z46" s="215">
        <v>0.4</v>
      </c>
      <c r="AA46" s="221">
        <v>72.7</v>
      </c>
    </row>
    <row r="47">
      <c r="A47" s="211">
        <v>45.0</v>
      </c>
      <c r="B47" s="222">
        <v>4.0</v>
      </c>
      <c r="C47" s="215">
        <v>7.0</v>
      </c>
      <c r="D47" s="214" t="s">
        <v>1232</v>
      </c>
      <c r="E47" s="215" t="s">
        <v>267</v>
      </c>
      <c r="F47" s="215" t="s">
        <v>1233</v>
      </c>
      <c r="G47" s="215" t="s">
        <v>32</v>
      </c>
      <c r="H47" s="215">
        <v>2.1</v>
      </c>
      <c r="I47" s="215" t="s">
        <v>1191</v>
      </c>
      <c r="J47" s="216">
        <v>37897.0</v>
      </c>
      <c r="K47" s="217" t="s">
        <v>1135</v>
      </c>
      <c r="L47" s="218">
        <f t="shared" si="1"/>
        <v>22.77808219</v>
      </c>
      <c r="M47" s="224"/>
      <c r="N47" s="224"/>
      <c r="O47" s="225" t="s">
        <v>1234</v>
      </c>
      <c r="P47" s="215">
        <v>37.0</v>
      </c>
      <c r="Q47" s="215">
        <v>28.1</v>
      </c>
      <c r="R47" s="215">
        <v>55.9</v>
      </c>
      <c r="S47" s="215">
        <v>8.3</v>
      </c>
      <c r="T47" s="215">
        <v>0.4</v>
      </c>
      <c r="U47" s="215">
        <v>0.0</v>
      </c>
      <c r="V47" s="215">
        <v>7.0</v>
      </c>
      <c r="W47" s="215">
        <v>3.0</v>
      </c>
      <c r="X47" s="215">
        <v>1.3</v>
      </c>
      <c r="Y47" s="215">
        <v>0.7</v>
      </c>
      <c r="Z47" s="215">
        <v>1.0</v>
      </c>
      <c r="AA47" s="221">
        <v>49.4</v>
      </c>
    </row>
    <row r="48">
      <c r="A48" s="211">
        <v>46.0</v>
      </c>
      <c r="B48" s="212">
        <v>-10.0</v>
      </c>
      <c r="C48" s="213">
        <v>5.0</v>
      </c>
      <c r="D48" s="214" t="s">
        <v>1226</v>
      </c>
      <c r="E48" s="215" t="s">
        <v>10</v>
      </c>
      <c r="F48" s="215" t="s">
        <v>1227</v>
      </c>
      <c r="G48" s="215" t="s">
        <v>82</v>
      </c>
      <c r="H48" s="215">
        <v>2.21</v>
      </c>
      <c r="I48" s="215" t="s">
        <v>1220</v>
      </c>
      <c r="J48" s="216">
        <v>37895.0</v>
      </c>
      <c r="K48" s="217" t="s">
        <v>1135</v>
      </c>
      <c r="L48" s="218">
        <f t="shared" si="1"/>
        <v>22.78356164</v>
      </c>
      <c r="M48" s="219"/>
      <c r="N48" s="219"/>
      <c r="O48" s="220" t="s">
        <v>1228</v>
      </c>
      <c r="P48" s="215">
        <v>34.0</v>
      </c>
      <c r="Q48" s="215">
        <v>27.3</v>
      </c>
      <c r="R48" s="215">
        <v>56.1</v>
      </c>
      <c r="S48" s="215">
        <v>15.9</v>
      </c>
      <c r="T48" s="215">
        <v>1.4</v>
      </c>
      <c r="U48" s="215">
        <v>0.2</v>
      </c>
      <c r="V48" s="215">
        <v>9.6</v>
      </c>
      <c r="W48" s="215">
        <v>1.2</v>
      </c>
      <c r="X48" s="215">
        <v>1.6</v>
      </c>
      <c r="Y48" s="215">
        <v>1.4</v>
      </c>
      <c r="Z48" s="215">
        <v>1.4</v>
      </c>
      <c r="AA48" s="221">
        <v>72.5</v>
      </c>
    </row>
    <row r="49">
      <c r="A49" s="211">
        <v>47.0</v>
      </c>
      <c r="B49" s="212">
        <v>22.0</v>
      </c>
      <c r="C49" s="213">
        <v>7.0</v>
      </c>
      <c r="D49" s="214" t="s">
        <v>1265</v>
      </c>
      <c r="E49" s="215" t="s">
        <v>21</v>
      </c>
      <c r="F49" s="215" t="s">
        <v>1266</v>
      </c>
      <c r="G49" s="215" t="s">
        <v>66</v>
      </c>
      <c r="H49" s="215">
        <v>2.16</v>
      </c>
      <c r="I49" s="215" t="s">
        <v>1224</v>
      </c>
      <c r="J49" s="216">
        <v>38097.0</v>
      </c>
      <c r="K49" s="217" t="s">
        <v>1135</v>
      </c>
      <c r="L49" s="218">
        <f t="shared" si="1"/>
        <v>22.2309604</v>
      </c>
      <c r="M49" s="224"/>
      <c r="N49" s="224"/>
      <c r="O49" s="220" t="s">
        <v>1267</v>
      </c>
      <c r="P49" s="215">
        <v>35.0</v>
      </c>
      <c r="Q49" s="215">
        <v>26.9</v>
      </c>
      <c r="R49" s="215">
        <v>59.7</v>
      </c>
      <c r="S49" s="215">
        <v>8.0</v>
      </c>
      <c r="T49" s="215">
        <v>0.3</v>
      </c>
      <c r="U49" s="215">
        <v>0.1</v>
      </c>
      <c r="V49" s="215">
        <v>6.3</v>
      </c>
      <c r="W49" s="215">
        <v>0.5</v>
      </c>
      <c r="X49" s="215">
        <v>0.4</v>
      </c>
      <c r="Y49" s="215">
        <v>1.5</v>
      </c>
      <c r="Z49" s="215">
        <v>1.0</v>
      </c>
      <c r="AA49" s="221">
        <v>63.5</v>
      </c>
    </row>
    <row r="50">
      <c r="A50" s="211">
        <v>48.0</v>
      </c>
      <c r="B50" s="222">
        <v>6.0</v>
      </c>
      <c r="C50" s="215"/>
      <c r="D50" s="214" t="s">
        <v>1268</v>
      </c>
      <c r="E50" s="215" t="s">
        <v>267</v>
      </c>
      <c r="F50" s="215" t="s">
        <v>1269</v>
      </c>
      <c r="G50" s="215" t="s">
        <v>158</v>
      </c>
      <c r="H50" s="215">
        <v>2.13</v>
      </c>
      <c r="I50" s="215" t="s">
        <v>1224</v>
      </c>
      <c r="J50" s="216">
        <v>38094.0</v>
      </c>
      <c r="K50" s="217" t="s">
        <v>1135</v>
      </c>
      <c r="L50" s="218">
        <f t="shared" si="1"/>
        <v>22.23915712</v>
      </c>
      <c r="M50" s="219"/>
      <c r="N50" s="219"/>
      <c r="O50" s="220" t="s">
        <v>1270</v>
      </c>
      <c r="P50" s="215">
        <v>31.0</v>
      </c>
      <c r="Q50" s="215">
        <v>30.2</v>
      </c>
      <c r="R50" s="215">
        <v>51.8</v>
      </c>
      <c r="S50" s="215">
        <v>17.6</v>
      </c>
      <c r="T50" s="215">
        <v>4.5</v>
      </c>
      <c r="U50" s="215">
        <v>2.1</v>
      </c>
      <c r="V50" s="215">
        <v>5.6</v>
      </c>
      <c r="W50" s="215">
        <v>1.1</v>
      </c>
      <c r="X50" s="215">
        <v>0.5</v>
      </c>
      <c r="Y50" s="215">
        <v>0.4</v>
      </c>
      <c r="Z50" s="215">
        <v>1.3</v>
      </c>
      <c r="AA50" s="221">
        <v>87.3</v>
      </c>
    </row>
    <row r="51">
      <c r="A51" s="239">
        <v>49.0</v>
      </c>
      <c r="B51" s="280">
        <v>-9.0</v>
      </c>
      <c r="C51" s="248"/>
      <c r="D51" s="272" t="s">
        <v>1258</v>
      </c>
      <c r="E51" s="240" t="s">
        <v>14</v>
      </c>
      <c r="F51" s="240"/>
      <c r="G51" s="240" t="s">
        <v>106</v>
      </c>
      <c r="H51" s="240">
        <v>2.09</v>
      </c>
      <c r="I51" s="240" t="s">
        <v>1259</v>
      </c>
      <c r="J51" s="241">
        <v>39109.0</v>
      </c>
      <c r="K51" s="242" t="s">
        <v>1165</v>
      </c>
      <c r="L51" s="243">
        <f t="shared" si="1"/>
        <v>19.46027397</v>
      </c>
      <c r="M51" s="244"/>
      <c r="N51" s="244"/>
      <c r="O51" s="245" t="s">
        <v>1260</v>
      </c>
      <c r="P51" s="240">
        <v>60.0</v>
      </c>
      <c r="Q51" s="240">
        <v>21.3</v>
      </c>
      <c r="R51" s="240">
        <v>38.3</v>
      </c>
      <c r="S51" s="240">
        <v>12.2</v>
      </c>
      <c r="T51" s="240">
        <v>5.5</v>
      </c>
      <c r="U51" s="240">
        <v>1.6</v>
      </c>
      <c r="V51" s="240">
        <v>2.9</v>
      </c>
      <c r="W51" s="240">
        <v>3.7</v>
      </c>
      <c r="X51" s="240">
        <v>1.0</v>
      </c>
      <c r="Y51" s="240">
        <v>0.2</v>
      </c>
      <c r="Z51" s="240">
        <v>2.4</v>
      </c>
      <c r="AA51" s="246">
        <v>77.8</v>
      </c>
    </row>
    <row r="52">
      <c r="A52" s="239">
        <v>50.0</v>
      </c>
      <c r="B52" s="9">
        <v>14.0</v>
      </c>
      <c r="C52" s="240">
        <v>7.0</v>
      </c>
      <c r="D52" s="281" t="s">
        <v>1247</v>
      </c>
      <c r="E52" s="282" t="s">
        <v>36</v>
      </c>
      <c r="F52" s="282" t="s">
        <v>1248</v>
      </c>
      <c r="G52" s="282" t="s">
        <v>15</v>
      </c>
      <c r="H52" s="282">
        <v>2.11</v>
      </c>
      <c r="I52" s="240" t="s">
        <v>1224</v>
      </c>
      <c r="J52" s="283">
        <v>37793.0</v>
      </c>
      <c r="K52" s="284" t="s">
        <v>1135</v>
      </c>
      <c r="L52" s="243">
        <f t="shared" si="1"/>
        <v>23.0630137</v>
      </c>
      <c r="M52" s="285"/>
      <c r="N52" s="285"/>
      <c r="O52" s="286" t="s">
        <v>1249</v>
      </c>
      <c r="P52" s="282">
        <v>36.0</v>
      </c>
      <c r="Q52" s="282">
        <v>32.8</v>
      </c>
      <c r="R52" s="282">
        <v>46.5</v>
      </c>
      <c r="S52" s="282">
        <v>18.6</v>
      </c>
      <c r="T52" s="282">
        <v>3.8</v>
      </c>
      <c r="U52" s="282">
        <v>1.3</v>
      </c>
      <c r="V52" s="282">
        <v>4.8</v>
      </c>
      <c r="W52" s="282">
        <v>2.7</v>
      </c>
      <c r="X52" s="282">
        <v>1.8</v>
      </c>
      <c r="Y52" s="282">
        <v>0.3</v>
      </c>
      <c r="Z52" s="282">
        <v>2.1</v>
      </c>
      <c r="AA52" s="287">
        <v>73.1</v>
      </c>
    </row>
    <row r="53">
      <c r="A53" s="239">
        <v>51.0</v>
      </c>
      <c r="B53" s="9" t="s">
        <v>371</v>
      </c>
      <c r="C53" s="288"/>
      <c r="D53" s="249" t="s">
        <v>1244</v>
      </c>
      <c r="E53" s="240" t="s">
        <v>267</v>
      </c>
      <c r="F53" s="240" t="s">
        <v>1245</v>
      </c>
      <c r="G53" s="240" t="s">
        <v>11</v>
      </c>
      <c r="H53" s="240">
        <v>2.14</v>
      </c>
      <c r="I53" s="240" t="s">
        <v>1224</v>
      </c>
      <c r="J53" s="241">
        <v>37941.0</v>
      </c>
      <c r="K53" s="242" t="s">
        <v>1135</v>
      </c>
      <c r="L53" s="243">
        <f t="shared" si="1"/>
        <v>22.65753425</v>
      </c>
      <c r="M53" s="244"/>
      <c r="N53" s="244"/>
      <c r="O53" s="255" t="s">
        <v>1246</v>
      </c>
      <c r="P53" s="240">
        <v>38.0</v>
      </c>
      <c r="Q53" s="240">
        <v>20.3</v>
      </c>
      <c r="R53" s="240">
        <v>62.9</v>
      </c>
      <c r="S53" s="240">
        <v>4.9</v>
      </c>
      <c r="T53" s="240">
        <v>0.8</v>
      </c>
      <c r="U53" s="240">
        <v>0.1</v>
      </c>
      <c r="V53" s="240">
        <v>5.2</v>
      </c>
      <c r="W53" s="240">
        <v>1.6</v>
      </c>
      <c r="X53" s="240">
        <v>1.8</v>
      </c>
      <c r="Y53" s="240">
        <v>0.6</v>
      </c>
      <c r="Z53" s="240">
        <v>1.2</v>
      </c>
      <c r="AA53" s="246">
        <v>50.0</v>
      </c>
    </row>
    <row r="54">
      <c r="A54" s="239">
        <v>52.0</v>
      </c>
      <c r="B54" s="9">
        <v>12.0</v>
      </c>
      <c r="C54" s="240"/>
      <c r="D54" s="249" t="s">
        <v>1250</v>
      </c>
      <c r="E54" s="240" t="s">
        <v>36</v>
      </c>
      <c r="F54" s="240" t="s">
        <v>1251</v>
      </c>
      <c r="G54" s="240" t="s">
        <v>22</v>
      </c>
      <c r="H54" s="240">
        <v>2.19</v>
      </c>
      <c r="I54" s="240" t="s">
        <v>1191</v>
      </c>
      <c r="J54" s="241">
        <v>37506.0</v>
      </c>
      <c r="K54" s="242" t="s">
        <v>1135</v>
      </c>
      <c r="L54" s="243">
        <f t="shared" si="1"/>
        <v>23.84931507</v>
      </c>
      <c r="M54" s="251"/>
      <c r="N54" s="251"/>
      <c r="O54" s="245" t="s">
        <v>1252</v>
      </c>
      <c r="P54" s="240">
        <v>37.0</v>
      </c>
      <c r="Q54" s="240">
        <v>28.8</v>
      </c>
      <c r="R54" s="240">
        <v>46.9</v>
      </c>
      <c r="S54" s="240">
        <v>13.6</v>
      </c>
      <c r="T54" s="240">
        <v>2.5</v>
      </c>
      <c r="U54" s="240">
        <v>0.9</v>
      </c>
      <c r="V54" s="240">
        <v>6.2</v>
      </c>
      <c r="W54" s="240">
        <v>1.9</v>
      </c>
      <c r="X54" s="240">
        <v>1.1</v>
      </c>
      <c r="Y54" s="240">
        <v>0.3</v>
      </c>
      <c r="Z54" s="240">
        <v>1.3</v>
      </c>
      <c r="AA54" s="246">
        <v>71.3</v>
      </c>
    </row>
    <row r="55">
      <c r="A55" s="239">
        <v>53.0</v>
      </c>
      <c r="B55" s="247">
        <v>-15.0</v>
      </c>
      <c r="C55" s="248"/>
      <c r="D55" s="249" t="s">
        <v>1253</v>
      </c>
      <c r="E55" s="240" t="s">
        <v>36</v>
      </c>
      <c r="F55" s="240" t="s">
        <v>1254</v>
      </c>
      <c r="G55" s="240" t="s">
        <v>22</v>
      </c>
      <c r="H55" s="240" t="s">
        <v>1255</v>
      </c>
      <c r="I55" s="240" t="s">
        <v>1256</v>
      </c>
      <c r="J55" s="241">
        <v>37330.0</v>
      </c>
      <c r="K55" s="242" t="s">
        <v>1135</v>
      </c>
      <c r="L55" s="243">
        <f t="shared" si="1"/>
        <v>24.33150685</v>
      </c>
      <c r="M55" s="244"/>
      <c r="N55" s="244"/>
      <c r="O55" s="245" t="s">
        <v>1257</v>
      </c>
      <c r="P55" s="240">
        <v>33.0</v>
      </c>
      <c r="Q55" s="240">
        <v>31.4</v>
      </c>
      <c r="R55" s="240">
        <v>43.8</v>
      </c>
      <c r="S55" s="240">
        <v>17.7</v>
      </c>
      <c r="T55" s="240">
        <v>4.6</v>
      </c>
      <c r="U55" s="240">
        <v>1.6</v>
      </c>
      <c r="V55" s="240">
        <v>5.5</v>
      </c>
      <c r="W55" s="240">
        <v>3.0</v>
      </c>
      <c r="X55" s="240">
        <v>2.8</v>
      </c>
      <c r="Y55" s="240">
        <v>0.5</v>
      </c>
      <c r="Z55" s="240">
        <v>2.4</v>
      </c>
      <c r="AA55" s="246">
        <v>78.6</v>
      </c>
    </row>
    <row r="56">
      <c r="A56" s="239">
        <v>54.0</v>
      </c>
      <c r="B56" s="247" t="s">
        <v>1094</v>
      </c>
      <c r="C56" s="248">
        <v>6.0</v>
      </c>
      <c r="D56" s="249" t="s">
        <v>1271</v>
      </c>
      <c r="E56" s="240" t="s">
        <v>25</v>
      </c>
      <c r="F56" s="240" t="s">
        <v>1272</v>
      </c>
      <c r="G56" s="240" t="s">
        <v>106</v>
      </c>
      <c r="H56" s="240">
        <v>2.17</v>
      </c>
      <c r="I56" s="240" t="s">
        <v>1191</v>
      </c>
      <c r="J56" s="241">
        <v>37869.0</v>
      </c>
      <c r="K56" s="242" t="s">
        <v>1135</v>
      </c>
      <c r="L56" s="243">
        <f t="shared" si="1"/>
        <v>22.85479452</v>
      </c>
      <c r="M56" s="244"/>
      <c r="N56" s="244"/>
      <c r="O56" s="245" t="s">
        <v>1273</v>
      </c>
      <c r="P56" s="240">
        <v>36.0</v>
      </c>
      <c r="Q56" s="240">
        <v>30.6</v>
      </c>
      <c r="R56" s="240">
        <v>44.5</v>
      </c>
      <c r="S56" s="240">
        <v>13.5</v>
      </c>
      <c r="T56" s="240">
        <v>7.6</v>
      </c>
      <c r="U56" s="240">
        <v>3.1</v>
      </c>
      <c r="V56" s="240">
        <v>3.3</v>
      </c>
      <c r="W56" s="240">
        <v>1.2</v>
      </c>
      <c r="X56" s="240">
        <v>0.8</v>
      </c>
      <c r="Y56" s="240">
        <v>0.5</v>
      </c>
      <c r="Z56" s="240">
        <v>0.7</v>
      </c>
      <c r="AA56" s="246">
        <v>84.7</v>
      </c>
    </row>
    <row r="57">
      <c r="A57" s="239">
        <v>55.0</v>
      </c>
      <c r="B57" s="9">
        <v>10.0</v>
      </c>
      <c r="C57" s="240">
        <v>7.0</v>
      </c>
      <c r="D57" s="249" t="s">
        <v>1274</v>
      </c>
      <c r="E57" s="240" t="s">
        <v>267</v>
      </c>
      <c r="F57" s="240" t="s">
        <v>1275</v>
      </c>
      <c r="G57" s="252" t="s">
        <v>26</v>
      </c>
      <c r="H57" s="252">
        <v>2.18</v>
      </c>
      <c r="I57" s="240" t="s">
        <v>1224</v>
      </c>
      <c r="J57" s="253">
        <v>37742.0</v>
      </c>
      <c r="K57" s="254" t="s">
        <v>1135</v>
      </c>
      <c r="L57" s="250">
        <f t="shared" si="1"/>
        <v>23.20273973</v>
      </c>
      <c r="M57" s="251"/>
      <c r="N57" s="251"/>
      <c r="O57" s="255" t="s">
        <v>1276</v>
      </c>
      <c r="P57" s="240">
        <v>23.0</v>
      </c>
      <c r="Q57" s="240">
        <v>29.1</v>
      </c>
      <c r="R57" s="240">
        <v>54.2</v>
      </c>
      <c r="S57" s="240">
        <v>12.3</v>
      </c>
      <c r="T57" s="240">
        <v>2.1</v>
      </c>
      <c r="U57" s="240">
        <v>0.5</v>
      </c>
      <c r="V57" s="240">
        <v>8.5</v>
      </c>
      <c r="W57" s="240">
        <v>0.6</v>
      </c>
      <c r="X57" s="240">
        <v>0.3</v>
      </c>
      <c r="Y57" s="240">
        <v>1.1</v>
      </c>
      <c r="Z57" s="240">
        <v>1.8</v>
      </c>
      <c r="AA57" s="246">
        <v>76.3</v>
      </c>
    </row>
    <row r="58">
      <c r="A58" s="239">
        <v>56.0</v>
      </c>
      <c r="B58" s="9">
        <v>5.0</v>
      </c>
      <c r="C58" s="240"/>
      <c r="D58" s="240" t="s">
        <v>1261</v>
      </c>
      <c r="E58" s="240" t="s">
        <v>36</v>
      </c>
      <c r="F58" s="240" t="s">
        <v>1262</v>
      </c>
      <c r="G58" s="240" t="s">
        <v>176</v>
      </c>
      <c r="H58" s="240">
        <v>2.24</v>
      </c>
      <c r="I58" s="240" t="s">
        <v>1263</v>
      </c>
      <c r="J58" s="241">
        <v>38128.0</v>
      </c>
      <c r="K58" s="242" t="s">
        <v>1135</v>
      </c>
      <c r="L58" s="243">
        <f t="shared" si="1"/>
        <v>22.14626095</v>
      </c>
      <c r="M58" s="244"/>
      <c r="N58" s="244"/>
      <c r="O58" s="245" t="s">
        <v>1333</v>
      </c>
      <c r="P58" s="240">
        <v>33.0</v>
      </c>
      <c r="Q58" s="240">
        <v>29.5</v>
      </c>
      <c r="R58" s="240">
        <v>42.7</v>
      </c>
      <c r="S58" s="240">
        <v>12.7</v>
      </c>
      <c r="T58" s="240">
        <v>5.1</v>
      </c>
      <c r="U58" s="240">
        <v>1.7</v>
      </c>
      <c r="V58" s="240">
        <v>5.7</v>
      </c>
      <c r="W58" s="240">
        <v>1.1</v>
      </c>
      <c r="X58" s="240">
        <v>1.2</v>
      </c>
      <c r="Y58" s="240">
        <v>1.0</v>
      </c>
      <c r="Z58" s="240">
        <v>1.0</v>
      </c>
      <c r="AA58" s="246">
        <v>76.3</v>
      </c>
    </row>
    <row r="59">
      <c r="A59" s="239">
        <v>57.0</v>
      </c>
      <c r="B59" s="247">
        <v>-20.0</v>
      </c>
      <c r="C59" s="248">
        <v>5.0</v>
      </c>
      <c r="D59" s="249" t="s">
        <v>1282</v>
      </c>
      <c r="E59" s="240" t="s">
        <v>14</v>
      </c>
      <c r="F59" s="240" t="s">
        <v>1283</v>
      </c>
      <c r="G59" s="240" t="s">
        <v>55</v>
      </c>
      <c r="H59" s="240" t="s">
        <v>1255</v>
      </c>
      <c r="I59" s="240" t="s">
        <v>1224</v>
      </c>
      <c r="J59" s="241">
        <v>37868.0</v>
      </c>
      <c r="K59" s="242" t="s">
        <v>1135</v>
      </c>
      <c r="L59" s="243">
        <f t="shared" si="1"/>
        <v>22.85753425</v>
      </c>
      <c r="M59" s="251"/>
      <c r="N59" s="251"/>
      <c r="O59" s="245" t="s">
        <v>1284</v>
      </c>
      <c r="P59" s="240">
        <v>34.0</v>
      </c>
      <c r="Q59" s="240">
        <v>28.9</v>
      </c>
      <c r="R59" s="240">
        <v>49.4</v>
      </c>
      <c r="S59" s="240">
        <v>13.9</v>
      </c>
      <c r="T59" s="240">
        <v>1.7</v>
      </c>
      <c r="U59" s="240">
        <v>0.7</v>
      </c>
      <c r="V59" s="240">
        <v>3.6</v>
      </c>
      <c r="W59" s="240">
        <v>6.5</v>
      </c>
      <c r="X59" s="240">
        <v>1.8</v>
      </c>
      <c r="Y59" s="240">
        <v>0.1</v>
      </c>
      <c r="Z59" s="240">
        <v>2.8</v>
      </c>
      <c r="AA59" s="246">
        <v>77.5</v>
      </c>
    </row>
    <row r="60">
      <c r="A60" s="239">
        <v>58.0</v>
      </c>
      <c r="B60" s="247">
        <v>-12.0</v>
      </c>
      <c r="C60" s="248">
        <v>6.0</v>
      </c>
      <c r="D60" s="249" t="s">
        <v>1277</v>
      </c>
      <c r="E60" s="240" t="s">
        <v>21</v>
      </c>
      <c r="F60" s="240" t="s">
        <v>1278</v>
      </c>
      <c r="G60" s="240" t="s">
        <v>213</v>
      </c>
      <c r="H60" s="240" t="s">
        <v>1255</v>
      </c>
      <c r="I60" s="240" t="s">
        <v>1220</v>
      </c>
      <c r="J60" s="241">
        <v>37710.0</v>
      </c>
      <c r="K60" s="242" t="s">
        <v>1135</v>
      </c>
      <c r="L60" s="250">
        <f t="shared" si="1"/>
        <v>23.29041096</v>
      </c>
      <c r="M60" s="244"/>
      <c r="N60" s="244"/>
      <c r="O60" s="245" t="s">
        <v>1279</v>
      </c>
      <c r="P60" s="240">
        <v>29.0</v>
      </c>
      <c r="Q60" s="240">
        <v>27.3</v>
      </c>
      <c r="R60" s="240">
        <v>62.7</v>
      </c>
      <c r="S60" s="240">
        <v>15.3</v>
      </c>
      <c r="T60" s="240">
        <v>0.0</v>
      </c>
      <c r="U60" s="240">
        <v>0.0</v>
      </c>
      <c r="V60" s="240">
        <v>9.1</v>
      </c>
      <c r="W60" s="240">
        <v>1.7</v>
      </c>
      <c r="X60" s="240">
        <v>1.8</v>
      </c>
      <c r="Y60" s="240">
        <v>1.7</v>
      </c>
      <c r="Z60" s="240">
        <v>1.9</v>
      </c>
      <c r="AA60" s="246">
        <v>66.1</v>
      </c>
    </row>
    <row r="61">
      <c r="A61" s="239">
        <v>59.0</v>
      </c>
      <c r="B61" s="247">
        <v>19.0</v>
      </c>
      <c r="C61" s="257"/>
      <c r="D61" s="249" t="s">
        <v>1287</v>
      </c>
      <c r="E61" s="35" t="s">
        <v>267</v>
      </c>
      <c r="F61" s="35" t="s">
        <v>1288</v>
      </c>
      <c r="G61" s="36" t="s">
        <v>37</v>
      </c>
      <c r="H61" s="36">
        <v>2.29</v>
      </c>
      <c r="I61" s="36" t="s">
        <v>1191</v>
      </c>
      <c r="J61" s="48">
        <v>37487.0</v>
      </c>
      <c r="K61" s="258" t="s">
        <v>1135</v>
      </c>
      <c r="L61" s="250">
        <f t="shared" si="1"/>
        <v>23.90136986</v>
      </c>
      <c r="M61" s="259"/>
      <c r="N61" s="259"/>
      <c r="O61" s="59" t="s">
        <v>1289</v>
      </c>
      <c r="P61" s="35">
        <v>37.0</v>
      </c>
      <c r="Q61" s="260">
        <v>28.1</v>
      </c>
      <c r="R61" s="261">
        <v>57.8</v>
      </c>
      <c r="S61" s="262">
        <v>14.2</v>
      </c>
      <c r="T61" s="263">
        <v>0.4</v>
      </c>
      <c r="U61" s="264">
        <v>0.1</v>
      </c>
      <c r="V61" s="265">
        <v>8.3</v>
      </c>
      <c r="W61" s="266">
        <v>2.5</v>
      </c>
      <c r="X61" s="267">
        <v>0.4</v>
      </c>
      <c r="Y61" s="268">
        <v>0.2</v>
      </c>
      <c r="Z61" s="269">
        <v>1.4</v>
      </c>
      <c r="AA61" s="270">
        <v>63.6</v>
      </c>
    </row>
    <row r="62">
      <c r="A62" s="239">
        <v>60.0</v>
      </c>
      <c r="B62" s="9">
        <v>2.0</v>
      </c>
      <c r="C62" s="240"/>
      <c r="D62" s="249" t="s">
        <v>1290</v>
      </c>
      <c r="E62" s="240" t="s">
        <v>573</v>
      </c>
      <c r="F62" s="240" t="s">
        <v>1262</v>
      </c>
      <c r="G62" s="252" t="s">
        <v>114</v>
      </c>
      <c r="H62" s="252">
        <v>2.28</v>
      </c>
      <c r="I62" s="252" t="s">
        <v>1191</v>
      </c>
      <c r="J62" s="253">
        <v>37449.0</v>
      </c>
      <c r="K62" s="254" t="s">
        <v>1135</v>
      </c>
      <c r="L62" s="243">
        <f t="shared" si="1"/>
        <v>24.00547945</v>
      </c>
      <c r="M62" s="251"/>
      <c r="N62" s="251"/>
      <c r="O62" s="245" t="s">
        <v>1291</v>
      </c>
      <c r="P62" s="240">
        <v>34.0</v>
      </c>
      <c r="Q62" s="240">
        <v>33.2</v>
      </c>
      <c r="R62" s="240">
        <v>46.2</v>
      </c>
      <c r="S62" s="240">
        <v>17.6</v>
      </c>
      <c r="T62" s="240">
        <v>6.4</v>
      </c>
      <c r="U62" s="240">
        <v>2.4</v>
      </c>
      <c r="V62" s="240">
        <v>4.9</v>
      </c>
      <c r="W62" s="240">
        <v>2.1</v>
      </c>
      <c r="X62" s="240">
        <v>1.0</v>
      </c>
      <c r="Y62" s="240">
        <v>0.4</v>
      </c>
      <c r="Z62" s="240">
        <v>1.9</v>
      </c>
      <c r="AA62" s="246">
        <v>75.8</v>
      </c>
    </row>
    <row r="63">
      <c r="A63" s="239">
        <v>61.0</v>
      </c>
      <c r="B63" s="9">
        <v>-8.0</v>
      </c>
      <c r="C63" s="248">
        <v>7.0</v>
      </c>
      <c r="D63" s="249" t="s">
        <v>1298</v>
      </c>
      <c r="E63" s="240" t="s">
        <v>573</v>
      </c>
      <c r="F63" s="240" t="s">
        <v>1299</v>
      </c>
      <c r="G63" s="240" t="s">
        <v>176</v>
      </c>
      <c r="H63" s="240" t="s">
        <v>1255</v>
      </c>
      <c r="I63" s="240" t="s">
        <v>1224</v>
      </c>
      <c r="J63" s="241">
        <v>37987.0</v>
      </c>
      <c r="K63" s="242" t="s">
        <v>1135</v>
      </c>
      <c r="L63" s="243">
        <f t="shared" si="1"/>
        <v>22.53150685</v>
      </c>
      <c r="M63" s="251"/>
      <c r="N63" s="251"/>
      <c r="O63" s="255" t="s">
        <v>1334</v>
      </c>
      <c r="P63" s="240">
        <v>33.0</v>
      </c>
      <c r="Q63" s="240">
        <v>31.1</v>
      </c>
      <c r="R63" s="240">
        <v>54.6</v>
      </c>
      <c r="S63" s="240">
        <v>14.8</v>
      </c>
      <c r="T63" s="240">
        <v>2.9</v>
      </c>
      <c r="U63" s="240">
        <v>1.2</v>
      </c>
      <c r="V63" s="240">
        <v>4.6</v>
      </c>
      <c r="W63" s="240">
        <v>4.0</v>
      </c>
      <c r="X63" s="240">
        <v>1.3</v>
      </c>
      <c r="Y63" s="240">
        <v>0.4</v>
      </c>
      <c r="Z63" s="240">
        <v>1.9</v>
      </c>
      <c r="AA63" s="246">
        <v>73.4</v>
      </c>
    </row>
    <row r="64">
      <c r="A64" s="239">
        <v>62.0</v>
      </c>
      <c r="B64" s="247">
        <v>-12.0</v>
      </c>
      <c r="C64" s="248">
        <v>6.0</v>
      </c>
      <c r="D64" s="249" t="s">
        <v>1301</v>
      </c>
      <c r="E64" s="240" t="s">
        <v>183</v>
      </c>
      <c r="F64" s="240" t="s">
        <v>1302</v>
      </c>
      <c r="G64" s="240" t="s">
        <v>90</v>
      </c>
      <c r="H64" s="240" t="s">
        <v>1255</v>
      </c>
      <c r="I64" s="240" t="s">
        <v>1224</v>
      </c>
      <c r="J64" s="241">
        <v>38460.0</v>
      </c>
      <c r="K64" s="242" t="s">
        <v>1135</v>
      </c>
      <c r="L64" s="243">
        <f t="shared" si="1"/>
        <v>21.23835616</v>
      </c>
      <c r="M64" s="251"/>
      <c r="N64" s="251"/>
      <c r="O64" s="245" t="s">
        <v>1303</v>
      </c>
      <c r="P64" s="240">
        <v>30.0</v>
      </c>
      <c r="Q64" s="240">
        <v>30.0</v>
      </c>
      <c r="R64" s="240">
        <v>44.4</v>
      </c>
      <c r="S64" s="240">
        <v>12.3</v>
      </c>
      <c r="T64" s="240">
        <v>3.8</v>
      </c>
      <c r="U64" s="240">
        <v>1.2</v>
      </c>
      <c r="V64" s="240">
        <v>4.0</v>
      </c>
      <c r="W64" s="240">
        <v>3.0</v>
      </c>
      <c r="X64" s="240">
        <v>0.7</v>
      </c>
      <c r="Y64" s="240">
        <v>0.0</v>
      </c>
      <c r="Z64" s="240">
        <v>1.1</v>
      </c>
      <c r="AA64" s="246">
        <v>78.1</v>
      </c>
    </row>
    <row r="65">
      <c r="A65" s="239">
        <v>63.0</v>
      </c>
      <c r="B65" s="9">
        <v>-6.0</v>
      </c>
      <c r="C65" s="240">
        <v>7.0</v>
      </c>
      <c r="D65" s="249" t="s">
        <v>1295</v>
      </c>
      <c r="E65" s="240" t="s">
        <v>36</v>
      </c>
      <c r="F65" s="240" t="s">
        <v>1296</v>
      </c>
      <c r="G65" s="252" t="s">
        <v>128</v>
      </c>
      <c r="H65" s="252" t="s">
        <v>1255</v>
      </c>
      <c r="I65" s="252" t="s">
        <v>1256</v>
      </c>
      <c r="J65" s="253">
        <v>37720.0</v>
      </c>
      <c r="K65" s="254" t="s">
        <v>1135</v>
      </c>
      <c r="L65" s="250">
        <f t="shared" si="1"/>
        <v>23.2630137</v>
      </c>
      <c r="M65" s="251"/>
      <c r="N65" s="251"/>
      <c r="O65" s="245" t="s">
        <v>1297</v>
      </c>
      <c r="P65" s="240">
        <v>36.0</v>
      </c>
      <c r="Q65" s="240">
        <v>33.6</v>
      </c>
      <c r="R65" s="240">
        <v>45.1</v>
      </c>
      <c r="S65" s="240">
        <v>19.3</v>
      </c>
      <c r="T65" s="240">
        <v>4.7</v>
      </c>
      <c r="U65" s="240">
        <v>1.8</v>
      </c>
      <c r="V65" s="240">
        <v>7.1</v>
      </c>
      <c r="W65" s="240">
        <v>2.6</v>
      </c>
      <c r="X65" s="240">
        <v>0.7</v>
      </c>
      <c r="Y65" s="240">
        <v>0.6</v>
      </c>
      <c r="Z65" s="240">
        <v>2.5</v>
      </c>
      <c r="AA65" s="246">
        <v>85.7</v>
      </c>
    </row>
    <row r="66">
      <c r="A66" s="239">
        <v>64.0</v>
      </c>
      <c r="B66" s="247">
        <v>3.0</v>
      </c>
      <c r="C66" s="271"/>
      <c r="D66" s="272" t="s">
        <v>1304</v>
      </c>
      <c r="E66" s="240" t="s">
        <v>573</v>
      </c>
      <c r="F66" s="240"/>
      <c r="G66" s="252" t="s">
        <v>87</v>
      </c>
      <c r="H66" s="252" t="s">
        <v>1255</v>
      </c>
      <c r="I66" s="240" t="s">
        <v>1224</v>
      </c>
      <c r="J66" s="253">
        <v>37775.0</v>
      </c>
      <c r="K66" s="254" t="s">
        <v>1135</v>
      </c>
      <c r="L66" s="250">
        <f t="shared" si="1"/>
        <v>23.11232877</v>
      </c>
      <c r="M66" s="251"/>
      <c r="N66" s="251"/>
      <c r="O66" s="245" t="s">
        <v>1305</v>
      </c>
      <c r="P66" s="240">
        <v>33.0</v>
      </c>
      <c r="Q66" s="240">
        <v>30.0</v>
      </c>
      <c r="R66" s="240">
        <v>47.3</v>
      </c>
      <c r="S66" s="240">
        <v>18.3</v>
      </c>
      <c r="T66" s="240">
        <v>5.6</v>
      </c>
      <c r="U66" s="240">
        <v>2.4</v>
      </c>
      <c r="V66" s="240">
        <v>4.2</v>
      </c>
      <c r="W66" s="240">
        <v>1.6</v>
      </c>
      <c r="X66" s="240">
        <v>0.9</v>
      </c>
      <c r="Y66" s="240">
        <v>0.2</v>
      </c>
      <c r="Z66" s="240">
        <v>1.8</v>
      </c>
      <c r="AA66" s="246">
        <v>85.9</v>
      </c>
    </row>
    <row r="67">
      <c r="A67" s="239">
        <v>65.0</v>
      </c>
      <c r="B67" s="247">
        <v>-23.0</v>
      </c>
      <c r="C67" s="248">
        <v>6.0</v>
      </c>
      <c r="D67" s="249" t="s">
        <v>1292</v>
      </c>
      <c r="E67" s="240" t="s">
        <v>21</v>
      </c>
      <c r="F67" s="240" t="s">
        <v>1293</v>
      </c>
      <c r="G67" s="240" t="s">
        <v>52</v>
      </c>
      <c r="H67" s="240" t="s">
        <v>1255</v>
      </c>
      <c r="I67" s="240" t="s">
        <v>1256</v>
      </c>
      <c r="J67" s="241">
        <v>37775.0</v>
      </c>
      <c r="K67" s="242" t="s">
        <v>1135</v>
      </c>
      <c r="L67" s="250">
        <f t="shared" si="1"/>
        <v>23.11232877</v>
      </c>
      <c r="M67" s="251"/>
      <c r="N67" s="251"/>
      <c r="O67" s="245" t="s">
        <v>1294</v>
      </c>
      <c r="P67" s="240">
        <v>25.0</v>
      </c>
      <c r="Q67" s="240">
        <v>31.1</v>
      </c>
      <c r="R67" s="240">
        <v>46.5</v>
      </c>
      <c r="S67" s="240">
        <v>16.8</v>
      </c>
      <c r="T67" s="240">
        <v>4.5</v>
      </c>
      <c r="U67" s="240">
        <v>1.4</v>
      </c>
      <c r="V67" s="240">
        <v>6.9</v>
      </c>
      <c r="W67" s="240">
        <v>2.6</v>
      </c>
      <c r="X67" s="240">
        <v>0.9</v>
      </c>
      <c r="Y67" s="240">
        <v>1.8</v>
      </c>
      <c r="Z67" s="240">
        <v>2.2</v>
      </c>
      <c r="AA67" s="246">
        <v>73.2</v>
      </c>
    </row>
    <row r="68">
      <c r="A68" s="239">
        <v>66.0</v>
      </c>
      <c r="B68" s="247" t="s">
        <v>371</v>
      </c>
      <c r="C68" s="248"/>
      <c r="D68" s="256" t="s">
        <v>1312</v>
      </c>
      <c r="E68" s="240" t="s">
        <v>36</v>
      </c>
      <c r="F68" s="240"/>
      <c r="G68" s="252" t="s">
        <v>87</v>
      </c>
      <c r="H68" s="252" t="s">
        <v>1255</v>
      </c>
      <c r="I68" s="252" t="s">
        <v>1256</v>
      </c>
      <c r="J68" s="253">
        <v>37860.0</v>
      </c>
      <c r="K68" s="254"/>
      <c r="L68" s="250">
        <f t="shared" si="1"/>
        <v>22.87945205</v>
      </c>
      <c r="M68" s="244"/>
      <c r="N68" s="244"/>
      <c r="O68" s="245" t="s">
        <v>1313</v>
      </c>
      <c r="P68" s="240">
        <v>34.0</v>
      </c>
      <c r="Q68" s="240">
        <v>34.6</v>
      </c>
      <c r="R68" s="240">
        <v>46.3</v>
      </c>
      <c r="S68" s="240">
        <v>13.5</v>
      </c>
      <c r="T68" s="240">
        <v>8.4</v>
      </c>
      <c r="U68" s="240">
        <v>3.8</v>
      </c>
      <c r="V68" s="240">
        <v>3.2</v>
      </c>
      <c r="W68" s="240">
        <v>0.8</v>
      </c>
      <c r="X68" s="240">
        <v>1.2</v>
      </c>
      <c r="Y68" s="240">
        <v>0.1</v>
      </c>
      <c r="Z68" s="240">
        <v>0.4</v>
      </c>
      <c r="AA68" s="246">
        <v>84.1</v>
      </c>
    </row>
    <row r="69">
      <c r="A69" s="239">
        <v>67.0</v>
      </c>
      <c r="B69" s="9">
        <v>-9.0</v>
      </c>
      <c r="C69" s="240">
        <v>7.0</v>
      </c>
      <c r="D69" s="249" t="s">
        <v>1306</v>
      </c>
      <c r="E69" s="240" t="s">
        <v>183</v>
      </c>
      <c r="F69" s="240" t="s">
        <v>1307</v>
      </c>
      <c r="G69" s="252" t="s">
        <v>176</v>
      </c>
      <c r="H69" s="252" t="s">
        <v>1255</v>
      </c>
      <c r="I69" s="252" t="s">
        <v>1256</v>
      </c>
      <c r="J69" s="253">
        <v>37004.0</v>
      </c>
      <c r="K69" s="254" t="s">
        <v>1135</v>
      </c>
      <c r="L69" s="243">
        <f t="shared" si="1"/>
        <v>25.22465753</v>
      </c>
      <c r="M69" s="244"/>
      <c r="N69" s="244"/>
      <c r="O69" s="245" t="s">
        <v>1335</v>
      </c>
      <c r="P69" s="240">
        <v>35.0</v>
      </c>
      <c r="Q69" s="240">
        <v>31.9</v>
      </c>
      <c r="R69" s="240">
        <v>48.0</v>
      </c>
      <c r="S69" s="240">
        <v>20.7</v>
      </c>
      <c r="T69" s="240">
        <v>4.8</v>
      </c>
      <c r="U69" s="240">
        <v>1.7</v>
      </c>
      <c r="V69" s="240">
        <v>3.8</v>
      </c>
      <c r="W69" s="240">
        <v>4.3</v>
      </c>
      <c r="X69" s="240">
        <v>1.0</v>
      </c>
      <c r="Y69" s="240">
        <v>0.0</v>
      </c>
      <c r="Z69" s="240">
        <v>1.7</v>
      </c>
      <c r="AA69" s="246">
        <v>83.0</v>
      </c>
    </row>
    <row r="70">
      <c r="A70" s="239">
        <v>68.0</v>
      </c>
      <c r="B70" s="9" t="s">
        <v>371</v>
      </c>
      <c r="C70" s="240">
        <v>7.0</v>
      </c>
      <c r="D70" s="289" t="s">
        <v>1336</v>
      </c>
      <c r="E70" s="240" t="s">
        <v>14</v>
      </c>
      <c r="F70" s="240" t="s">
        <v>1310</v>
      </c>
      <c r="G70" s="252" t="s">
        <v>128</v>
      </c>
      <c r="H70" s="252" t="s">
        <v>1255</v>
      </c>
      <c r="I70" s="240" t="s">
        <v>1224</v>
      </c>
      <c r="J70" s="253">
        <v>37966.0</v>
      </c>
      <c r="K70" s="254" t="s">
        <v>1135</v>
      </c>
      <c r="L70" s="243">
        <f t="shared" si="1"/>
        <v>22.5890411</v>
      </c>
      <c r="M70" s="244"/>
      <c r="N70" s="244"/>
      <c r="O70" s="245" t="s">
        <v>1337</v>
      </c>
      <c r="P70" s="240">
        <v>35.0</v>
      </c>
      <c r="Q70" s="240">
        <v>34.0</v>
      </c>
      <c r="R70" s="240">
        <v>45.4</v>
      </c>
      <c r="S70" s="240">
        <v>16.4</v>
      </c>
      <c r="T70" s="240">
        <v>4.8</v>
      </c>
      <c r="U70" s="240">
        <v>1.7</v>
      </c>
      <c r="V70" s="240">
        <v>3.6</v>
      </c>
      <c r="W70" s="240">
        <v>5.7</v>
      </c>
      <c r="X70" s="240">
        <v>1.4</v>
      </c>
      <c r="Y70" s="240">
        <v>0.2</v>
      </c>
      <c r="Z70" s="240">
        <v>2.1</v>
      </c>
      <c r="AA70" s="246">
        <v>76.6</v>
      </c>
    </row>
    <row r="71">
      <c r="A71" s="239">
        <v>69.0</v>
      </c>
      <c r="B71" s="9">
        <v>1.0</v>
      </c>
      <c r="C71" s="282"/>
      <c r="D71" s="240" t="s">
        <v>1338</v>
      </c>
      <c r="E71" s="240" t="s">
        <v>14</v>
      </c>
      <c r="F71" s="240"/>
      <c r="G71" s="252" t="s">
        <v>18</v>
      </c>
      <c r="H71" s="252" t="s">
        <v>1255</v>
      </c>
      <c r="I71" s="252" t="s">
        <v>1256</v>
      </c>
      <c r="J71" s="253">
        <v>37525.0</v>
      </c>
      <c r="K71" s="254" t="s">
        <v>1135</v>
      </c>
      <c r="L71" s="250">
        <f t="shared" si="1"/>
        <v>23.79726027</v>
      </c>
      <c r="M71" s="251"/>
      <c r="N71" s="251"/>
      <c r="O71" s="245" t="s">
        <v>1339</v>
      </c>
      <c r="P71" s="240">
        <v>33.0</v>
      </c>
      <c r="Q71" s="240">
        <v>28.9</v>
      </c>
      <c r="R71" s="240">
        <v>45.8</v>
      </c>
      <c r="S71" s="240">
        <v>16.3</v>
      </c>
      <c r="T71" s="240">
        <v>4.2</v>
      </c>
      <c r="U71" s="240">
        <v>1.5</v>
      </c>
      <c r="V71" s="240">
        <v>3.8</v>
      </c>
      <c r="W71" s="240">
        <v>6.1</v>
      </c>
      <c r="X71" s="240">
        <v>1.3</v>
      </c>
      <c r="Y71" s="240">
        <v>0.5</v>
      </c>
      <c r="Z71" s="240">
        <v>3.6</v>
      </c>
      <c r="AA71" s="246">
        <v>71.3</v>
      </c>
    </row>
    <row r="72">
      <c r="A72" s="239">
        <v>70.0</v>
      </c>
      <c r="B72" s="9">
        <v>-4.0</v>
      </c>
      <c r="C72" s="240">
        <v>7.0</v>
      </c>
      <c r="D72" s="249" t="s">
        <v>1309</v>
      </c>
      <c r="E72" s="240" t="s">
        <v>183</v>
      </c>
      <c r="F72" s="240" t="s">
        <v>1310</v>
      </c>
      <c r="G72" s="252" t="s">
        <v>46</v>
      </c>
      <c r="H72" s="252" t="s">
        <v>1255</v>
      </c>
      <c r="I72" s="252" t="s">
        <v>1256</v>
      </c>
      <c r="J72" s="253">
        <v>37797.0</v>
      </c>
      <c r="K72" s="254" t="s">
        <v>1135</v>
      </c>
      <c r="L72" s="243">
        <f t="shared" si="1"/>
        <v>23.05205479</v>
      </c>
      <c r="M72" s="244"/>
      <c r="N72" s="244"/>
      <c r="O72" s="245" t="s">
        <v>1311</v>
      </c>
      <c r="P72" s="240">
        <v>34.0</v>
      </c>
      <c r="Q72" s="240">
        <v>31.4</v>
      </c>
      <c r="R72" s="240">
        <v>45.9</v>
      </c>
      <c r="S72" s="240">
        <v>13.5</v>
      </c>
      <c r="T72" s="240">
        <v>3.9</v>
      </c>
      <c r="U72" s="240">
        <v>1.2</v>
      </c>
      <c r="V72" s="240">
        <v>3.9</v>
      </c>
      <c r="W72" s="240">
        <v>5.1</v>
      </c>
      <c r="X72" s="240">
        <v>2.3</v>
      </c>
      <c r="Y72" s="240">
        <v>0.0</v>
      </c>
      <c r="Z72" s="240">
        <v>1.5</v>
      </c>
      <c r="AA72" s="246">
        <v>65.6</v>
      </c>
    </row>
  </sheetData>
  <mergeCells count="1">
    <mergeCell ref="A1:AA1"/>
  </mergeCells>
  <conditionalFormatting sqref="N3:N72">
    <cfRule type="colorScale" priority="1">
      <colorScale>
        <cfvo type="min"/>
        <cfvo type="formula" val="0"/>
        <cfvo type="max"/>
        <color rgb="FFE67C73"/>
        <color rgb="FFFFFFFF"/>
        <color rgb="FF57BB8A"/>
      </colorScale>
    </cfRule>
  </conditionalFormatting>
  <conditionalFormatting sqref="R3:R72">
    <cfRule type="colorScale" priority="2">
      <colorScale>
        <cfvo type="min"/>
        <cfvo type="percentile" val="50"/>
        <cfvo type="max"/>
        <color rgb="FFE67C73"/>
        <color rgb="FFFFFFFF"/>
        <color rgb="FF57BB8A"/>
      </colorScale>
    </cfRule>
  </conditionalFormatting>
  <conditionalFormatting sqref="Q3:Q72">
    <cfRule type="colorScale" priority="3">
      <colorScale>
        <cfvo type="min"/>
        <cfvo type="percentile" val="50"/>
        <cfvo type="max"/>
        <color rgb="FFE67C73"/>
        <color rgb="FFFFFFFF"/>
        <color rgb="FF57BB8A"/>
      </colorScale>
    </cfRule>
  </conditionalFormatting>
  <conditionalFormatting sqref="S3:S72">
    <cfRule type="colorScale" priority="4">
      <colorScale>
        <cfvo type="min"/>
        <cfvo type="percentile" val="50"/>
        <cfvo type="max"/>
        <color rgb="FFE67C73"/>
        <color rgb="FFFFFFFF"/>
        <color rgb="FF57BB8A"/>
      </colorScale>
    </cfRule>
  </conditionalFormatting>
  <conditionalFormatting sqref="T3:T72">
    <cfRule type="colorScale" priority="5">
      <colorScale>
        <cfvo type="min"/>
        <cfvo type="percentile" val="50"/>
        <cfvo type="max"/>
        <color rgb="FFE67C73"/>
        <color rgb="FFFFFFFF"/>
        <color rgb="FF57BB8A"/>
      </colorScale>
    </cfRule>
  </conditionalFormatting>
  <conditionalFormatting sqref="U3:U72">
    <cfRule type="colorScale" priority="6">
      <colorScale>
        <cfvo type="min"/>
        <cfvo type="percentile" val="50"/>
        <cfvo type="max"/>
        <color rgb="FFE67C73"/>
        <color rgb="FFFFFFFF"/>
        <color rgb="FF57BB8A"/>
      </colorScale>
    </cfRule>
  </conditionalFormatting>
  <conditionalFormatting sqref="W3:W72">
    <cfRule type="colorScale" priority="7">
      <colorScale>
        <cfvo type="min"/>
        <cfvo type="percentile" val="50"/>
        <cfvo type="max"/>
        <color rgb="FFE67C73"/>
        <color rgb="FFFFFFFF"/>
        <color rgb="FF57BB8A"/>
      </colorScale>
    </cfRule>
  </conditionalFormatting>
  <conditionalFormatting sqref="X3:X72">
    <cfRule type="colorScale" priority="8">
      <colorScale>
        <cfvo type="min"/>
        <cfvo type="percentile" val="50"/>
        <cfvo type="max"/>
        <color rgb="FFE67C73"/>
        <color rgb="FFFFFFFF"/>
        <color rgb="FF57BB8A"/>
      </colorScale>
    </cfRule>
  </conditionalFormatting>
  <conditionalFormatting sqref="Y3:Y72">
    <cfRule type="colorScale" priority="9">
      <colorScale>
        <cfvo type="min"/>
        <cfvo type="percentile" val="50"/>
        <cfvo type="max"/>
        <color rgb="FFE67C73"/>
        <color rgb="FFFFFFFF"/>
        <color rgb="FF57BB8A"/>
      </colorScale>
    </cfRule>
  </conditionalFormatting>
  <conditionalFormatting sqref="Z3:Z72">
    <cfRule type="colorScale" priority="10">
      <colorScale>
        <cfvo type="min"/>
        <cfvo type="percentile" val="50"/>
        <cfvo type="max"/>
        <color rgb="FF57BB8A"/>
        <color rgb="FFFFFFFF"/>
        <color rgb="FFE67C73"/>
      </colorScale>
    </cfRule>
  </conditionalFormatting>
  <conditionalFormatting sqref="V3:V72">
    <cfRule type="colorScale" priority="11">
      <colorScale>
        <cfvo type="min"/>
        <cfvo type="percentile" val="50"/>
        <cfvo type="max"/>
        <color rgb="FFE67C73"/>
        <color rgb="FFFFFFFF"/>
        <color rgb="FF57BB8A"/>
      </colorScale>
    </cfRule>
  </conditionalFormatting>
  <conditionalFormatting sqref="AA3:AA72">
    <cfRule type="colorScale" priority="12">
      <colorScale>
        <cfvo type="min"/>
        <cfvo type="percentile" val="50"/>
        <cfvo type="max"/>
        <color rgb="FFE67C73"/>
        <color rgb="FFFFFFFF"/>
        <color rgb="FF57BB8A"/>
      </colorScale>
    </cfRule>
  </conditionalFormatting>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9"/>
    <hyperlink r:id="rId57" ref="D60"/>
    <hyperlink r:id="rId58" ref="D61"/>
    <hyperlink r:id="rId59" ref="D62"/>
    <hyperlink r:id="rId60" ref="D63"/>
    <hyperlink r:id="rId61" ref="D64"/>
    <hyperlink r:id="rId62" ref="D65"/>
    <hyperlink r:id="rId63" ref="D66"/>
    <hyperlink r:id="rId64" ref="D67"/>
    <hyperlink r:id="rId65" ref="D69"/>
    <hyperlink r:id="rId66" ref="D72"/>
  </hyperlinks>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6.13"/>
    <col customWidth="1" min="3" max="3" width="20.38"/>
    <col customWidth="1" min="4" max="4" width="21.88"/>
  </cols>
  <sheetData>
    <row r="1" ht="22.5" customHeight="1">
      <c r="A1" s="2" t="s">
        <v>1340</v>
      </c>
      <c r="B1" s="3" t="s">
        <v>1341</v>
      </c>
      <c r="C1" s="3" t="s">
        <v>1342</v>
      </c>
      <c r="D1" s="3" t="s">
        <v>1343</v>
      </c>
    </row>
    <row r="2">
      <c r="A2" s="290">
        <v>1.01</v>
      </c>
      <c r="B2" s="290" t="s">
        <v>1344</v>
      </c>
      <c r="C2" s="291" t="s">
        <v>1095</v>
      </c>
      <c r="D2" s="291" t="s">
        <v>1095</v>
      </c>
    </row>
    <row r="3">
      <c r="A3" s="290">
        <v>1.02</v>
      </c>
      <c r="B3" s="290" t="s">
        <v>1345</v>
      </c>
      <c r="C3" s="291" t="s">
        <v>1100</v>
      </c>
      <c r="D3" s="291" t="s">
        <v>1104</v>
      </c>
    </row>
    <row r="4">
      <c r="A4" s="290">
        <v>1.03</v>
      </c>
      <c r="B4" s="290" t="s">
        <v>1345</v>
      </c>
      <c r="C4" s="291" t="s">
        <v>1104</v>
      </c>
      <c r="D4" s="291" t="s">
        <v>1100</v>
      </c>
    </row>
    <row r="5">
      <c r="A5" s="290">
        <v>1.04</v>
      </c>
      <c r="B5" s="290" t="s">
        <v>1346</v>
      </c>
      <c r="C5" s="291" t="s">
        <v>1107</v>
      </c>
      <c r="D5" s="291" t="s">
        <v>1107</v>
      </c>
    </row>
    <row r="6">
      <c r="A6" s="290">
        <v>1.05</v>
      </c>
      <c r="B6" s="290" t="s">
        <v>1347</v>
      </c>
      <c r="C6" s="291" t="s">
        <v>1110</v>
      </c>
      <c r="D6" s="291" t="s">
        <v>1116</v>
      </c>
    </row>
    <row r="7">
      <c r="A7" s="290">
        <v>1.06</v>
      </c>
      <c r="B7" s="290" t="s">
        <v>1347</v>
      </c>
      <c r="C7" s="291" t="s">
        <v>1113</v>
      </c>
      <c r="D7" s="291" t="s">
        <v>1110</v>
      </c>
    </row>
    <row r="8">
      <c r="A8" s="290">
        <v>1.07</v>
      </c>
      <c r="B8" s="290" t="s">
        <v>1347</v>
      </c>
      <c r="C8" s="291" t="s">
        <v>1116</v>
      </c>
      <c r="D8" s="291" t="s">
        <v>1113</v>
      </c>
    </row>
    <row r="9">
      <c r="A9" s="290">
        <v>1.08</v>
      </c>
      <c r="B9" s="290" t="s">
        <v>1348</v>
      </c>
      <c r="C9" s="291" t="s">
        <v>1119</v>
      </c>
      <c r="D9" s="291" t="s">
        <v>1119</v>
      </c>
    </row>
    <row r="10">
      <c r="A10" s="290">
        <v>1.09</v>
      </c>
      <c r="B10" s="290" t="s">
        <v>1349</v>
      </c>
      <c r="C10" s="291" t="s">
        <v>1122</v>
      </c>
      <c r="D10" s="290" t="s">
        <v>1130</v>
      </c>
    </row>
    <row r="11">
      <c r="A11" s="290">
        <v>1.1</v>
      </c>
      <c r="B11" s="290" t="s">
        <v>1350</v>
      </c>
      <c r="C11" s="291" t="s">
        <v>1126</v>
      </c>
      <c r="D11" s="290" t="s">
        <v>1133</v>
      </c>
    </row>
    <row r="12">
      <c r="A12" s="290">
        <v>1.11</v>
      </c>
      <c r="B12" s="290" t="s">
        <v>1350</v>
      </c>
      <c r="C12" s="291" t="s">
        <v>1130</v>
      </c>
      <c r="D12" s="290" t="s">
        <v>1126</v>
      </c>
    </row>
    <row r="13">
      <c r="A13" s="290">
        <v>1.12</v>
      </c>
      <c r="B13" s="290" t="s">
        <v>1350</v>
      </c>
      <c r="C13" s="291" t="s">
        <v>1133</v>
      </c>
      <c r="D13" s="290" t="s">
        <v>1122</v>
      </c>
    </row>
    <row r="14">
      <c r="A14" s="290">
        <v>1.13</v>
      </c>
      <c r="B14" s="290" t="s">
        <v>1351</v>
      </c>
      <c r="C14" s="291" t="s">
        <v>1137</v>
      </c>
      <c r="D14" s="290" t="s">
        <v>1137</v>
      </c>
    </row>
    <row r="15">
      <c r="A15" s="290">
        <v>1.14</v>
      </c>
      <c r="B15" s="290" t="s">
        <v>1351</v>
      </c>
      <c r="C15" s="291" t="s">
        <v>1140</v>
      </c>
      <c r="D15" s="290" t="s">
        <v>1143</v>
      </c>
    </row>
    <row r="16">
      <c r="A16" s="290">
        <v>1.15</v>
      </c>
      <c r="B16" s="290" t="s">
        <v>1351</v>
      </c>
      <c r="C16" s="291" t="s">
        <v>1143</v>
      </c>
      <c r="D16" s="290" t="s">
        <v>1146</v>
      </c>
    </row>
    <row r="17">
      <c r="A17" s="290">
        <v>1.16</v>
      </c>
      <c r="B17" s="290" t="s">
        <v>1352</v>
      </c>
      <c r="C17" s="291" t="s">
        <v>1146</v>
      </c>
      <c r="D17" s="290" t="s">
        <v>1140</v>
      </c>
    </row>
    <row r="18">
      <c r="A18" s="290">
        <v>1.17</v>
      </c>
      <c r="B18" s="290" t="s">
        <v>1353</v>
      </c>
      <c r="C18" s="291" t="s">
        <v>1149</v>
      </c>
      <c r="D18" s="290" t="s">
        <v>1151</v>
      </c>
    </row>
    <row r="19">
      <c r="A19" s="290">
        <v>1.18</v>
      </c>
      <c r="B19" s="290" t="s">
        <v>1353</v>
      </c>
      <c r="C19" s="291" t="s">
        <v>1151</v>
      </c>
      <c r="D19" s="290" t="s">
        <v>1149</v>
      </c>
    </row>
    <row r="20">
      <c r="A20" s="290">
        <v>1.19</v>
      </c>
      <c r="B20" s="290" t="s">
        <v>1354</v>
      </c>
      <c r="C20" s="291" t="s">
        <v>1154</v>
      </c>
      <c r="D20" s="290" t="s">
        <v>1157</v>
      </c>
    </row>
    <row r="21">
      <c r="A21" s="290">
        <v>1.2</v>
      </c>
      <c r="B21" s="290" t="s">
        <v>1354</v>
      </c>
      <c r="C21" s="291" t="s">
        <v>1157</v>
      </c>
      <c r="D21" s="290" t="s">
        <v>1160</v>
      </c>
    </row>
    <row r="22">
      <c r="A22" s="290">
        <v>1.21</v>
      </c>
      <c r="B22" s="290" t="s">
        <v>1354</v>
      </c>
      <c r="C22" s="291" t="s">
        <v>1160</v>
      </c>
      <c r="D22" s="290" t="s">
        <v>1163</v>
      </c>
    </row>
    <row r="23">
      <c r="A23" s="290">
        <v>1.22</v>
      </c>
      <c r="B23" s="290" t="s">
        <v>1354</v>
      </c>
      <c r="C23" s="291" t="s">
        <v>1163</v>
      </c>
      <c r="D23" s="290" t="s">
        <v>1173</v>
      </c>
    </row>
    <row r="24">
      <c r="A24" s="290">
        <v>1.23</v>
      </c>
      <c r="B24" s="290" t="s">
        <v>1354</v>
      </c>
      <c r="C24" s="291" t="s">
        <v>1167</v>
      </c>
      <c r="D24" s="290" t="s">
        <v>1154</v>
      </c>
    </row>
    <row r="25">
      <c r="A25" s="290">
        <v>1.24</v>
      </c>
      <c r="B25" s="290" t="s">
        <v>1354</v>
      </c>
      <c r="C25" s="291" t="s">
        <v>1170</v>
      </c>
      <c r="D25" s="290" t="s">
        <v>1179</v>
      </c>
    </row>
    <row r="26">
      <c r="A26" s="290">
        <v>1.25</v>
      </c>
      <c r="B26" s="290" t="s">
        <v>1355</v>
      </c>
      <c r="C26" s="291" t="s">
        <v>1173</v>
      </c>
      <c r="D26" s="290" t="s">
        <v>1167</v>
      </c>
    </row>
    <row r="27">
      <c r="A27" s="290">
        <v>1.26</v>
      </c>
      <c r="B27" s="290" t="s">
        <v>1355</v>
      </c>
      <c r="C27" s="291" t="s">
        <v>1176</v>
      </c>
      <c r="D27" s="290" t="s">
        <v>1186</v>
      </c>
    </row>
    <row r="28">
      <c r="A28" s="290">
        <v>1.27</v>
      </c>
      <c r="B28" s="290" t="s">
        <v>1355</v>
      </c>
      <c r="C28" s="291" t="s">
        <v>1179</v>
      </c>
      <c r="D28" s="290" t="s">
        <v>1176</v>
      </c>
    </row>
    <row r="29">
      <c r="A29" s="290">
        <v>1.28</v>
      </c>
      <c r="B29" s="290" t="s">
        <v>1355</v>
      </c>
      <c r="C29" s="291" t="s">
        <v>1183</v>
      </c>
      <c r="D29" s="290" t="s">
        <v>1195</v>
      </c>
    </row>
    <row r="30">
      <c r="A30" s="290">
        <v>1.29</v>
      </c>
      <c r="B30" s="290" t="s">
        <v>1355</v>
      </c>
      <c r="C30" s="291" t="s">
        <v>1186</v>
      </c>
      <c r="D30" s="290" t="s">
        <v>1183</v>
      </c>
    </row>
    <row r="31">
      <c r="A31" s="290">
        <v>1.3</v>
      </c>
      <c r="B31" s="290" t="s">
        <v>1355</v>
      </c>
      <c r="C31" s="291" t="s">
        <v>1189</v>
      </c>
      <c r="D31" s="290" t="s">
        <v>1170</v>
      </c>
    </row>
    <row r="32">
      <c r="A32" s="290">
        <v>2.01</v>
      </c>
      <c r="B32" s="290" t="s">
        <v>1356</v>
      </c>
      <c r="C32" s="291" t="s">
        <v>1193</v>
      </c>
      <c r="D32" s="290" t="s">
        <v>1193</v>
      </c>
    </row>
    <row r="33">
      <c r="A33" s="290">
        <v>2.02</v>
      </c>
      <c r="B33" s="290" t="s">
        <v>1356</v>
      </c>
      <c r="C33" s="291" t="s">
        <v>1195</v>
      </c>
      <c r="D33" s="290" t="s">
        <v>1208</v>
      </c>
    </row>
    <row r="34">
      <c r="A34" s="290">
        <v>2.03</v>
      </c>
      <c r="B34" s="290" t="s">
        <v>1356</v>
      </c>
      <c r="C34" s="291" t="s">
        <v>1199</v>
      </c>
      <c r="D34" s="290" t="s">
        <v>1199</v>
      </c>
    </row>
    <row r="35">
      <c r="A35" s="290">
        <v>2.04</v>
      </c>
      <c r="B35" s="290" t="s">
        <v>1356</v>
      </c>
      <c r="C35" s="291" t="s">
        <v>1202</v>
      </c>
      <c r="D35" s="290" t="s">
        <v>1202</v>
      </c>
    </row>
    <row r="36">
      <c r="A36" s="290">
        <v>2.05</v>
      </c>
      <c r="B36" s="290" t="s">
        <v>1356</v>
      </c>
      <c r="C36" s="291" t="s">
        <v>1205</v>
      </c>
      <c r="D36" s="290" t="s">
        <v>1211</v>
      </c>
    </row>
    <row r="37">
      <c r="A37" s="290">
        <v>2.06</v>
      </c>
      <c r="B37" s="290" t="s">
        <v>1356</v>
      </c>
      <c r="C37" s="291" t="s">
        <v>1211</v>
      </c>
      <c r="D37" s="290" t="s">
        <v>1205</v>
      </c>
    </row>
    <row r="38">
      <c r="A38" s="290">
        <v>2.07</v>
      </c>
      <c r="B38" s="290" t="s">
        <v>1356</v>
      </c>
      <c r="C38" s="291" t="s">
        <v>1208</v>
      </c>
      <c r="D38" s="290" t="s">
        <v>1189</v>
      </c>
    </row>
    <row r="39">
      <c r="A39" s="290">
        <v>2.08</v>
      </c>
      <c r="B39" s="290" t="s">
        <v>1356</v>
      </c>
      <c r="C39" s="291" t="s">
        <v>1215</v>
      </c>
      <c r="D39" s="290" t="s">
        <v>1229</v>
      </c>
    </row>
    <row r="40">
      <c r="A40" s="290">
        <v>2.09000000000001</v>
      </c>
      <c r="B40" s="290" t="s">
        <v>1356</v>
      </c>
      <c r="C40" s="291" t="s">
        <v>1218</v>
      </c>
      <c r="D40" s="290" t="s">
        <v>1215</v>
      </c>
    </row>
    <row r="41">
      <c r="A41" s="290">
        <v>2.10000000000001</v>
      </c>
      <c r="B41" s="290" t="s">
        <v>1356</v>
      </c>
      <c r="C41" s="291" t="s">
        <v>1222</v>
      </c>
      <c r="D41" s="290" t="s">
        <v>1222</v>
      </c>
    </row>
    <row r="42">
      <c r="A42" s="290">
        <v>2.11000000000001</v>
      </c>
      <c r="B42" s="290" t="s">
        <v>1357</v>
      </c>
      <c r="C42" s="291" t="s">
        <v>1226</v>
      </c>
      <c r="D42" s="290" t="s">
        <v>1241</v>
      </c>
    </row>
    <row r="43">
      <c r="A43" s="290">
        <v>2.12000000000001</v>
      </c>
      <c r="B43" s="290" t="s">
        <v>1357</v>
      </c>
      <c r="C43" s="291" t="s">
        <v>1229</v>
      </c>
      <c r="D43" s="290" t="s">
        <v>1238</v>
      </c>
    </row>
    <row r="44">
      <c r="A44" s="290">
        <v>2.13000000000001</v>
      </c>
      <c r="B44" s="290" t="s">
        <v>1357</v>
      </c>
      <c r="C44" s="291" t="s">
        <v>1232</v>
      </c>
      <c r="D44" s="290" t="s">
        <v>1235</v>
      </c>
    </row>
    <row r="45">
      <c r="A45" s="290">
        <v>2.14000000000001</v>
      </c>
      <c r="B45" s="290" t="s">
        <v>1357</v>
      </c>
      <c r="C45" s="291" t="s">
        <v>1235</v>
      </c>
      <c r="D45" s="290" t="s">
        <v>1218</v>
      </c>
    </row>
    <row r="46">
      <c r="A46" s="290">
        <v>2.15000000000002</v>
      </c>
      <c r="B46" s="290" t="s">
        <v>1357</v>
      </c>
      <c r="C46" s="291" t="s">
        <v>1238</v>
      </c>
      <c r="D46" s="290" t="s">
        <v>1232</v>
      </c>
    </row>
    <row r="47">
      <c r="A47" s="290">
        <v>2.16000000000002</v>
      </c>
      <c r="B47" s="290" t="s">
        <v>1357</v>
      </c>
      <c r="C47" s="291" t="s">
        <v>1241</v>
      </c>
      <c r="D47" s="290" t="s">
        <v>1226</v>
      </c>
    </row>
    <row r="48">
      <c r="A48" s="290">
        <v>2.17000000000002</v>
      </c>
      <c r="B48" s="290" t="s">
        <v>1357</v>
      </c>
      <c r="C48" s="291" t="s">
        <v>1244</v>
      </c>
      <c r="D48" s="290" t="s">
        <v>1265</v>
      </c>
    </row>
    <row r="49">
      <c r="A49" s="290">
        <v>2.18000000000002</v>
      </c>
      <c r="B49" s="290" t="s">
        <v>1357</v>
      </c>
      <c r="C49" s="291" t="s">
        <v>1247</v>
      </c>
      <c r="D49" s="290" t="s">
        <v>1268</v>
      </c>
    </row>
    <row r="50">
      <c r="A50" s="290">
        <v>2.19000000000002</v>
      </c>
      <c r="B50" s="290" t="s">
        <v>1357</v>
      </c>
      <c r="C50" s="291" t="s">
        <v>1250</v>
      </c>
      <c r="D50" s="290" t="s">
        <v>1258</v>
      </c>
    </row>
    <row r="51">
      <c r="A51" s="290">
        <v>2.20000000000002</v>
      </c>
      <c r="B51" s="290" t="s">
        <v>1357</v>
      </c>
      <c r="C51" s="291" t="s">
        <v>1253</v>
      </c>
      <c r="D51" s="290" t="s">
        <v>1247</v>
      </c>
    </row>
    <row r="52">
      <c r="A52" s="290">
        <v>2.21000000000002</v>
      </c>
      <c r="B52" s="290" t="s">
        <v>1358</v>
      </c>
      <c r="C52" s="291" t="s">
        <v>1258</v>
      </c>
      <c r="D52" s="290" t="s">
        <v>1244</v>
      </c>
    </row>
    <row r="53">
      <c r="A53" s="290">
        <v>2.22000000000002</v>
      </c>
      <c r="B53" s="290" t="s">
        <v>1358</v>
      </c>
      <c r="C53" s="291" t="s">
        <v>1261</v>
      </c>
      <c r="D53" s="290" t="s">
        <v>1250</v>
      </c>
    </row>
    <row r="54">
      <c r="A54" s="290">
        <v>2.23000000000002</v>
      </c>
      <c r="B54" s="290" t="s">
        <v>1358</v>
      </c>
      <c r="C54" s="291" t="s">
        <v>1265</v>
      </c>
      <c r="D54" s="290" t="s">
        <v>1253</v>
      </c>
    </row>
    <row r="55">
      <c r="A55" s="290">
        <v>2.24000000000003</v>
      </c>
      <c r="B55" s="290" t="s">
        <v>1358</v>
      </c>
      <c r="C55" s="291" t="s">
        <v>1268</v>
      </c>
      <c r="D55" s="290" t="s">
        <v>1271</v>
      </c>
    </row>
    <row r="56">
      <c r="A56" s="290">
        <v>2.25000000000003</v>
      </c>
      <c r="B56" s="290" t="s">
        <v>1358</v>
      </c>
      <c r="C56" s="291" t="s">
        <v>1271</v>
      </c>
      <c r="D56" s="290" t="s">
        <v>1274</v>
      </c>
    </row>
    <row r="57">
      <c r="A57" s="290">
        <v>2.26000000000003</v>
      </c>
      <c r="B57" s="290" t="s">
        <v>1358</v>
      </c>
      <c r="C57" s="291" t="s">
        <v>1274</v>
      </c>
      <c r="D57" s="290" t="s">
        <v>1261</v>
      </c>
    </row>
    <row r="58">
      <c r="A58" s="290">
        <v>2.27000000000003</v>
      </c>
      <c r="B58" s="290" t="s">
        <v>1358</v>
      </c>
      <c r="C58" s="291" t="s">
        <v>1277</v>
      </c>
      <c r="D58" s="290" t="s">
        <v>1282</v>
      </c>
    </row>
    <row r="59">
      <c r="A59" s="290">
        <v>2.28000000000004</v>
      </c>
      <c r="B59" s="290" t="s">
        <v>1358</v>
      </c>
      <c r="C59" s="291" t="s">
        <v>1280</v>
      </c>
      <c r="D59" s="290" t="s">
        <v>1277</v>
      </c>
    </row>
    <row r="60">
      <c r="A60" s="290">
        <v>2.29000000000004</v>
      </c>
      <c r="B60" s="290" t="s">
        <v>1358</v>
      </c>
      <c r="C60" s="291" t="s">
        <v>1282</v>
      </c>
      <c r="D60" s="290" t="s">
        <v>1287</v>
      </c>
    </row>
    <row r="61">
      <c r="A61" s="290">
        <v>2.30000000000004</v>
      </c>
      <c r="B61" s="290" t="s">
        <v>1358</v>
      </c>
      <c r="C61" s="291" t="s">
        <v>1285</v>
      </c>
      <c r="D61" s="290" t="s">
        <v>1290</v>
      </c>
    </row>
    <row r="62">
      <c r="C62" s="292"/>
    </row>
    <row r="63">
      <c r="C63" s="292"/>
    </row>
    <row r="64">
      <c r="C64" s="292"/>
    </row>
    <row r="65">
      <c r="C65" s="292"/>
    </row>
    <row r="66">
      <c r="C66" s="292"/>
    </row>
    <row r="67">
      <c r="C67" s="292"/>
    </row>
    <row r="68">
      <c r="C68" s="292"/>
    </row>
    <row r="69">
      <c r="C69" s="292"/>
    </row>
    <row r="70">
      <c r="C70" s="292"/>
    </row>
    <row r="71">
      <c r="C71" s="292"/>
    </row>
    <row r="72">
      <c r="C72" s="292"/>
    </row>
    <row r="73">
      <c r="C73" s="292"/>
    </row>
    <row r="74">
      <c r="C74" s="292"/>
    </row>
    <row r="75">
      <c r="C75" s="292"/>
    </row>
    <row r="76">
      <c r="C76" s="292"/>
    </row>
    <row r="77">
      <c r="C77" s="292"/>
    </row>
    <row r="78">
      <c r="C78" s="292"/>
    </row>
    <row r="79">
      <c r="C79" s="292"/>
    </row>
    <row r="80">
      <c r="C80" s="292"/>
    </row>
    <row r="81">
      <c r="C81" s="292"/>
    </row>
    <row r="82">
      <c r="C82" s="292"/>
    </row>
    <row r="83">
      <c r="C83" s="292"/>
    </row>
    <row r="84">
      <c r="C84" s="292"/>
    </row>
    <row r="85">
      <c r="C85" s="292"/>
    </row>
    <row r="86">
      <c r="C86" s="292"/>
    </row>
    <row r="87">
      <c r="C87" s="292"/>
    </row>
    <row r="88">
      <c r="C88" s="292"/>
    </row>
    <row r="89">
      <c r="C89" s="292"/>
    </row>
    <row r="90">
      <c r="C90" s="292"/>
    </row>
    <row r="91">
      <c r="C91" s="292"/>
    </row>
    <row r="92">
      <c r="C92" s="292"/>
    </row>
    <row r="93">
      <c r="C93" s="292"/>
    </row>
    <row r="94">
      <c r="C94" s="292"/>
    </row>
    <row r="95">
      <c r="C95" s="292"/>
    </row>
    <row r="96">
      <c r="C96" s="292"/>
    </row>
    <row r="97">
      <c r="C97" s="292"/>
    </row>
    <row r="98">
      <c r="C98" s="292"/>
    </row>
    <row r="99">
      <c r="C99" s="292"/>
    </row>
    <row r="100">
      <c r="C100" s="292"/>
    </row>
    <row r="101">
      <c r="C101" s="292"/>
    </row>
    <row r="102">
      <c r="C102" s="292"/>
    </row>
    <row r="103">
      <c r="C103" s="292"/>
    </row>
    <row r="104">
      <c r="C104" s="292"/>
    </row>
    <row r="105">
      <c r="C105" s="292"/>
    </row>
    <row r="106">
      <c r="C106" s="292"/>
    </row>
    <row r="107">
      <c r="C107" s="292"/>
    </row>
    <row r="108">
      <c r="C108" s="292"/>
    </row>
    <row r="109">
      <c r="C109" s="292"/>
    </row>
    <row r="110">
      <c r="C110" s="292"/>
    </row>
    <row r="111">
      <c r="C111" s="292"/>
    </row>
    <row r="112">
      <c r="C112" s="292"/>
    </row>
    <row r="113">
      <c r="C113" s="292"/>
    </row>
    <row r="114">
      <c r="C114" s="292"/>
    </row>
    <row r="115">
      <c r="C115" s="292"/>
    </row>
    <row r="116">
      <c r="C116" s="292"/>
    </row>
    <row r="117">
      <c r="C117" s="292"/>
    </row>
    <row r="118">
      <c r="C118" s="292"/>
    </row>
    <row r="119">
      <c r="C119" s="292"/>
    </row>
    <row r="120">
      <c r="C120" s="292"/>
    </row>
    <row r="121">
      <c r="C121" s="292"/>
    </row>
    <row r="122">
      <c r="C122" s="292"/>
    </row>
    <row r="123">
      <c r="C123" s="292"/>
    </row>
    <row r="124">
      <c r="C124" s="292"/>
    </row>
    <row r="125">
      <c r="C125" s="292"/>
    </row>
    <row r="126">
      <c r="C126" s="292"/>
    </row>
    <row r="127">
      <c r="C127" s="292"/>
    </row>
    <row r="128">
      <c r="C128" s="292"/>
    </row>
    <row r="129">
      <c r="C129" s="292"/>
    </row>
    <row r="130">
      <c r="C130" s="292"/>
    </row>
    <row r="131">
      <c r="C131" s="292"/>
    </row>
    <row r="132">
      <c r="C132" s="292"/>
    </row>
    <row r="133">
      <c r="C133" s="292"/>
    </row>
    <row r="134">
      <c r="C134" s="292"/>
    </row>
    <row r="135">
      <c r="C135" s="292"/>
    </row>
    <row r="136">
      <c r="C136" s="292"/>
    </row>
    <row r="137">
      <c r="C137" s="292"/>
    </row>
    <row r="138">
      <c r="C138" s="292"/>
    </row>
    <row r="139">
      <c r="C139" s="292"/>
    </row>
    <row r="140">
      <c r="C140" s="292"/>
    </row>
    <row r="141">
      <c r="C141" s="292"/>
    </row>
    <row r="142">
      <c r="C142" s="292"/>
    </row>
    <row r="143">
      <c r="C143" s="292"/>
    </row>
    <row r="144">
      <c r="C144" s="292"/>
    </row>
    <row r="145">
      <c r="C145" s="292"/>
    </row>
    <row r="146">
      <c r="C146" s="292"/>
    </row>
    <row r="147">
      <c r="C147" s="292"/>
    </row>
    <row r="148">
      <c r="C148" s="292"/>
    </row>
    <row r="149">
      <c r="C149" s="292"/>
    </row>
    <row r="150">
      <c r="C150" s="292"/>
    </row>
    <row r="151">
      <c r="C151" s="292"/>
    </row>
    <row r="152">
      <c r="C152" s="292"/>
    </row>
    <row r="153">
      <c r="C153" s="292"/>
    </row>
    <row r="154">
      <c r="C154" s="292"/>
    </row>
    <row r="155">
      <c r="C155" s="292"/>
    </row>
    <row r="156">
      <c r="C156" s="292"/>
    </row>
    <row r="157">
      <c r="C157" s="292"/>
    </row>
    <row r="158">
      <c r="C158" s="292"/>
    </row>
    <row r="159">
      <c r="C159" s="292"/>
    </row>
    <row r="160">
      <c r="C160" s="292"/>
    </row>
    <row r="161">
      <c r="C161" s="292"/>
    </row>
    <row r="162">
      <c r="C162" s="292"/>
    </row>
    <row r="163">
      <c r="C163" s="292"/>
    </row>
    <row r="164">
      <c r="C164" s="292"/>
    </row>
    <row r="165">
      <c r="C165" s="292"/>
    </row>
    <row r="166">
      <c r="C166" s="292"/>
    </row>
    <row r="167">
      <c r="C167" s="292"/>
    </row>
    <row r="168">
      <c r="C168" s="292"/>
    </row>
    <row r="169">
      <c r="C169" s="292"/>
    </row>
    <row r="170">
      <c r="C170" s="292"/>
    </row>
    <row r="171">
      <c r="C171" s="292"/>
    </row>
    <row r="172">
      <c r="C172" s="292"/>
    </row>
    <row r="173">
      <c r="C173" s="292"/>
    </row>
    <row r="174">
      <c r="C174" s="292"/>
    </row>
    <row r="175">
      <c r="C175" s="292"/>
    </row>
    <row r="176">
      <c r="C176" s="292"/>
    </row>
    <row r="177">
      <c r="C177" s="292"/>
    </row>
    <row r="178">
      <c r="C178" s="292"/>
    </row>
    <row r="179">
      <c r="C179" s="292"/>
    </row>
    <row r="180">
      <c r="C180" s="292"/>
    </row>
    <row r="181">
      <c r="C181" s="292"/>
    </row>
    <row r="182">
      <c r="C182" s="292"/>
    </row>
    <row r="183">
      <c r="C183" s="292"/>
    </row>
    <row r="184">
      <c r="C184" s="292"/>
    </row>
    <row r="185">
      <c r="C185" s="292"/>
    </row>
    <row r="186">
      <c r="C186" s="292"/>
    </row>
    <row r="187">
      <c r="C187" s="292"/>
    </row>
    <row r="188">
      <c r="C188" s="292"/>
    </row>
    <row r="189">
      <c r="C189" s="292"/>
    </row>
    <row r="190">
      <c r="C190" s="292"/>
    </row>
    <row r="191">
      <c r="C191" s="292"/>
    </row>
    <row r="192">
      <c r="C192" s="292"/>
    </row>
    <row r="193">
      <c r="C193" s="292"/>
    </row>
    <row r="194">
      <c r="C194" s="292"/>
    </row>
    <row r="195">
      <c r="C195" s="292"/>
    </row>
    <row r="196">
      <c r="C196" s="292"/>
    </row>
    <row r="197">
      <c r="C197" s="292"/>
    </row>
    <row r="198">
      <c r="C198" s="292"/>
    </row>
    <row r="199">
      <c r="C199" s="292"/>
    </row>
    <row r="200">
      <c r="C200" s="292"/>
    </row>
    <row r="201">
      <c r="C201" s="292"/>
    </row>
    <row r="202">
      <c r="C202" s="292"/>
    </row>
    <row r="203">
      <c r="C203" s="292"/>
    </row>
    <row r="204">
      <c r="C204" s="292"/>
    </row>
    <row r="205">
      <c r="C205" s="292"/>
    </row>
    <row r="206">
      <c r="C206" s="292"/>
    </row>
    <row r="207">
      <c r="C207" s="292"/>
    </row>
    <row r="208">
      <c r="C208" s="292"/>
    </row>
    <row r="209">
      <c r="C209" s="292"/>
    </row>
    <row r="210">
      <c r="C210" s="292"/>
    </row>
    <row r="211">
      <c r="C211" s="292"/>
    </row>
    <row r="212">
      <c r="C212" s="292"/>
    </row>
    <row r="213">
      <c r="C213" s="292"/>
    </row>
    <row r="214">
      <c r="C214" s="292"/>
    </row>
    <row r="215">
      <c r="C215" s="292"/>
    </row>
    <row r="216">
      <c r="C216" s="292"/>
    </row>
    <row r="217">
      <c r="C217" s="292"/>
    </row>
    <row r="218">
      <c r="C218" s="292"/>
    </row>
    <row r="219">
      <c r="C219" s="292"/>
    </row>
    <row r="220">
      <c r="C220" s="292"/>
    </row>
    <row r="221">
      <c r="C221" s="292"/>
    </row>
    <row r="222">
      <c r="C222" s="292"/>
    </row>
    <row r="223">
      <c r="C223" s="292"/>
    </row>
    <row r="224">
      <c r="C224" s="292"/>
    </row>
    <row r="225">
      <c r="C225" s="292"/>
    </row>
    <row r="226">
      <c r="C226" s="292"/>
    </row>
    <row r="227">
      <c r="C227" s="292"/>
    </row>
    <row r="228">
      <c r="C228" s="292"/>
    </row>
    <row r="229">
      <c r="C229" s="292"/>
    </row>
    <row r="230">
      <c r="C230" s="292"/>
    </row>
    <row r="231">
      <c r="C231" s="292"/>
    </row>
    <row r="232">
      <c r="C232" s="292"/>
    </row>
    <row r="233">
      <c r="C233" s="292"/>
    </row>
    <row r="234">
      <c r="C234" s="292"/>
    </row>
    <row r="235">
      <c r="C235" s="292"/>
    </row>
    <row r="236">
      <c r="C236" s="292"/>
    </row>
    <row r="237">
      <c r="C237" s="292"/>
    </row>
    <row r="238">
      <c r="C238" s="292"/>
    </row>
    <row r="239">
      <c r="C239" s="292"/>
    </row>
    <row r="240">
      <c r="C240" s="292"/>
    </row>
    <row r="241">
      <c r="C241" s="292"/>
    </row>
    <row r="242">
      <c r="C242" s="292"/>
    </row>
    <row r="243">
      <c r="C243" s="292"/>
    </row>
    <row r="244">
      <c r="C244" s="292"/>
    </row>
    <row r="245">
      <c r="C245" s="292"/>
    </row>
    <row r="246">
      <c r="C246" s="292"/>
    </row>
    <row r="247">
      <c r="C247" s="292"/>
    </row>
    <row r="248">
      <c r="C248" s="292"/>
    </row>
    <row r="249">
      <c r="C249" s="292"/>
    </row>
    <row r="250">
      <c r="C250" s="292"/>
    </row>
    <row r="251">
      <c r="C251" s="292"/>
    </row>
    <row r="252">
      <c r="C252" s="292"/>
    </row>
    <row r="253">
      <c r="C253" s="292"/>
    </row>
    <row r="254">
      <c r="C254" s="292"/>
    </row>
    <row r="255">
      <c r="C255" s="292"/>
    </row>
    <row r="256">
      <c r="C256" s="292"/>
    </row>
    <row r="257">
      <c r="C257" s="292"/>
    </row>
    <row r="258">
      <c r="C258" s="292"/>
    </row>
    <row r="259">
      <c r="C259" s="292"/>
    </row>
    <row r="260">
      <c r="C260" s="292"/>
    </row>
    <row r="261">
      <c r="C261" s="292"/>
    </row>
    <row r="262">
      <c r="C262" s="292"/>
    </row>
    <row r="263">
      <c r="C263" s="292"/>
    </row>
    <row r="264">
      <c r="C264" s="292"/>
    </row>
    <row r="265">
      <c r="C265" s="292"/>
    </row>
    <row r="266">
      <c r="C266" s="292"/>
    </row>
    <row r="267">
      <c r="C267" s="292"/>
    </row>
    <row r="268">
      <c r="C268" s="292"/>
    </row>
    <row r="269">
      <c r="C269" s="292"/>
    </row>
    <row r="270">
      <c r="C270" s="292"/>
    </row>
    <row r="271">
      <c r="C271" s="292"/>
    </row>
    <row r="272">
      <c r="C272" s="292"/>
    </row>
    <row r="273">
      <c r="C273" s="292"/>
    </row>
    <row r="274">
      <c r="C274" s="292"/>
    </row>
    <row r="275">
      <c r="C275" s="292"/>
    </row>
    <row r="276">
      <c r="C276" s="292"/>
    </row>
    <row r="277">
      <c r="C277" s="292"/>
    </row>
    <row r="278">
      <c r="C278" s="292"/>
    </row>
    <row r="279">
      <c r="C279" s="292"/>
    </row>
    <row r="280">
      <c r="C280" s="292"/>
    </row>
    <row r="281">
      <c r="C281" s="292"/>
    </row>
    <row r="282">
      <c r="C282" s="292"/>
    </row>
    <row r="283">
      <c r="C283" s="292"/>
    </row>
    <row r="284">
      <c r="C284" s="292"/>
    </row>
    <row r="285">
      <c r="C285" s="292"/>
    </row>
    <row r="286">
      <c r="C286" s="292"/>
    </row>
    <row r="287">
      <c r="C287" s="292"/>
    </row>
    <row r="288">
      <c r="C288" s="292"/>
    </row>
    <row r="289">
      <c r="C289" s="292"/>
    </row>
    <row r="290">
      <c r="C290" s="292"/>
    </row>
    <row r="291">
      <c r="C291" s="292"/>
    </row>
    <row r="292">
      <c r="C292" s="292"/>
    </row>
    <row r="293">
      <c r="C293" s="292"/>
    </row>
    <row r="294">
      <c r="C294" s="292"/>
    </row>
    <row r="295">
      <c r="C295" s="292"/>
    </row>
    <row r="296">
      <c r="C296" s="292"/>
    </row>
    <row r="297">
      <c r="C297" s="292"/>
    </row>
    <row r="298">
      <c r="C298" s="292"/>
    </row>
    <row r="299">
      <c r="C299" s="292"/>
    </row>
    <row r="300">
      <c r="C300" s="292"/>
    </row>
    <row r="301">
      <c r="C301" s="292"/>
    </row>
    <row r="302">
      <c r="C302" s="292"/>
    </row>
    <row r="303">
      <c r="C303" s="292"/>
    </row>
    <row r="304">
      <c r="C304" s="292"/>
    </row>
    <row r="305">
      <c r="C305" s="292"/>
    </row>
    <row r="306">
      <c r="C306" s="292"/>
    </row>
    <row r="307">
      <c r="C307" s="292"/>
    </row>
    <row r="308">
      <c r="C308" s="292"/>
    </row>
    <row r="309">
      <c r="C309" s="292"/>
    </row>
    <row r="310">
      <c r="C310" s="292"/>
    </row>
    <row r="311">
      <c r="C311" s="292"/>
    </row>
    <row r="312">
      <c r="C312" s="292"/>
    </row>
    <row r="313">
      <c r="C313" s="292"/>
    </row>
    <row r="314">
      <c r="C314" s="292"/>
    </row>
    <row r="315">
      <c r="C315" s="292"/>
    </row>
    <row r="316">
      <c r="C316" s="292"/>
    </row>
    <row r="317">
      <c r="C317" s="292"/>
    </row>
    <row r="318">
      <c r="C318" s="292"/>
    </row>
    <row r="319">
      <c r="C319" s="292"/>
    </row>
    <row r="320">
      <c r="C320" s="292"/>
    </row>
    <row r="321">
      <c r="C321" s="292"/>
    </row>
    <row r="322">
      <c r="C322" s="292"/>
    </row>
    <row r="323">
      <c r="C323" s="292"/>
    </row>
    <row r="324">
      <c r="C324" s="292"/>
    </row>
    <row r="325">
      <c r="C325" s="292"/>
    </row>
    <row r="326">
      <c r="C326" s="292"/>
    </row>
    <row r="327">
      <c r="C327" s="292"/>
    </row>
    <row r="328">
      <c r="C328" s="292"/>
    </row>
    <row r="329">
      <c r="C329" s="292"/>
    </row>
    <row r="330">
      <c r="C330" s="292"/>
    </row>
    <row r="331">
      <c r="C331" s="292"/>
    </row>
    <row r="332">
      <c r="C332" s="292"/>
    </row>
    <row r="333">
      <c r="C333" s="292"/>
    </row>
    <row r="334">
      <c r="C334" s="292"/>
    </row>
    <row r="335">
      <c r="C335" s="292"/>
    </row>
    <row r="336">
      <c r="C336" s="292"/>
    </row>
    <row r="337">
      <c r="C337" s="292"/>
    </row>
    <row r="338">
      <c r="C338" s="292"/>
    </row>
    <row r="339">
      <c r="C339" s="292"/>
    </row>
    <row r="340">
      <c r="C340" s="292"/>
    </row>
    <row r="341">
      <c r="C341" s="292"/>
    </row>
    <row r="342">
      <c r="C342" s="292"/>
    </row>
    <row r="343">
      <c r="C343" s="292"/>
    </row>
    <row r="344">
      <c r="C344" s="292"/>
    </row>
    <row r="345">
      <c r="C345" s="292"/>
    </row>
    <row r="346">
      <c r="C346" s="292"/>
    </row>
    <row r="347">
      <c r="C347" s="292"/>
    </row>
    <row r="348">
      <c r="C348" s="292"/>
    </row>
    <row r="349">
      <c r="C349" s="292"/>
    </row>
    <row r="350">
      <c r="C350" s="292"/>
    </row>
    <row r="351">
      <c r="C351" s="292"/>
    </row>
    <row r="352">
      <c r="C352" s="292"/>
    </row>
    <row r="353">
      <c r="C353" s="292"/>
    </row>
    <row r="354">
      <c r="C354" s="292"/>
    </row>
    <row r="355">
      <c r="C355" s="292"/>
    </row>
    <row r="356">
      <c r="C356" s="292"/>
    </row>
    <row r="357">
      <c r="C357" s="292"/>
    </row>
    <row r="358">
      <c r="C358" s="292"/>
    </row>
    <row r="359">
      <c r="C359" s="292"/>
    </row>
    <row r="360">
      <c r="C360" s="292"/>
    </row>
    <row r="361">
      <c r="C361" s="292"/>
    </row>
    <row r="362">
      <c r="C362" s="292"/>
    </row>
    <row r="363">
      <c r="C363" s="292"/>
    </row>
    <row r="364">
      <c r="C364" s="292"/>
    </row>
    <row r="365">
      <c r="C365" s="292"/>
    </row>
    <row r="366">
      <c r="C366" s="292"/>
    </row>
    <row r="367">
      <c r="C367" s="292"/>
    </row>
    <row r="368">
      <c r="C368" s="292"/>
    </row>
    <row r="369">
      <c r="C369" s="292"/>
    </row>
    <row r="370">
      <c r="C370" s="292"/>
    </row>
    <row r="371">
      <c r="C371" s="292"/>
    </row>
    <row r="372">
      <c r="C372" s="292"/>
    </row>
    <row r="373">
      <c r="C373" s="292"/>
    </row>
    <row r="374">
      <c r="C374" s="292"/>
    </row>
    <row r="375">
      <c r="C375" s="292"/>
    </row>
    <row r="376">
      <c r="C376" s="292"/>
    </row>
    <row r="377">
      <c r="C377" s="292"/>
    </row>
    <row r="378">
      <c r="C378" s="292"/>
    </row>
    <row r="379">
      <c r="C379" s="292"/>
    </row>
    <row r="380">
      <c r="C380" s="292"/>
    </row>
    <row r="381">
      <c r="C381" s="292"/>
    </row>
    <row r="382">
      <c r="C382" s="292"/>
    </row>
    <row r="383">
      <c r="C383" s="292"/>
    </row>
    <row r="384">
      <c r="C384" s="292"/>
    </row>
    <row r="385">
      <c r="C385" s="292"/>
    </row>
    <row r="386">
      <c r="C386" s="292"/>
    </row>
    <row r="387">
      <c r="C387" s="292"/>
    </row>
    <row r="388">
      <c r="C388" s="292"/>
    </row>
    <row r="389">
      <c r="C389" s="292"/>
    </row>
    <row r="390">
      <c r="C390" s="292"/>
    </row>
    <row r="391">
      <c r="C391" s="292"/>
    </row>
    <row r="392">
      <c r="C392" s="292"/>
    </row>
    <row r="393">
      <c r="C393" s="292"/>
    </row>
    <row r="394">
      <c r="C394" s="292"/>
    </row>
    <row r="395">
      <c r="C395" s="292"/>
    </row>
    <row r="396">
      <c r="C396" s="292"/>
    </row>
    <row r="397">
      <c r="C397" s="292"/>
    </row>
    <row r="398">
      <c r="C398" s="292"/>
    </row>
    <row r="399">
      <c r="C399" s="292"/>
    </row>
    <row r="400">
      <c r="C400" s="292"/>
    </row>
    <row r="401">
      <c r="C401" s="292"/>
    </row>
    <row r="402">
      <c r="C402" s="292"/>
    </row>
    <row r="403">
      <c r="C403" s="292"/>
    </row>
    <row r="404">
      <c r="C404" s="292"/>
    </row>
    <row r="405">
      <c r="C405" s="292"/>
    </row>
    <row r="406">
      <c r="C406" s="292"/>
    </row>
    <row r="407">
      <c r="C407" s="292"/>
    </row>
    <row r="408">
      <c r="C408" s="292"/>
    </row>
    <row r="409">
      <c r="C409" s="292"/>
    </row>
    <row r="410">
      <c r="C410" s="292"/>
    </row>
    <row r="411">
      <c r="C411" s="292"/>
    </row>
    <row r="412">
      <c r="C412" s="292"/>
    </row>
    <row r="413">
      <c r="C413" s="292"/>
    </row>
    <row r="414">
      <c r="C414" s="292"/>
    </row>
    <row r="415">
      <c r="C415" s="292"/>
    </row>
    <row r="416">
      <c r="C416" s="292"/>
    </row>
    <row r="417">
      <c r="C417" s="292"/>
    </row>
    <row r="418">
      <c r="C418" s="292"/>
    </row>
    <row r="419">
      <c r="C419" s="292"/>
    </row>
    <row r="420">
      <c r="C420" s="292"/>
    </row>
    <row r="421">
      <c r="C421" s="292"/>
    </row>
    <row r="422">
      <c r="C422" s="292"/>
    </row>
    <row r="423">
      <c r="C423" s="292"/>
    </row>
    <row r="424">
      <c r="C424" s="292"/>
    </row>
    <row r="425">
      <c r="C425" s="292"/>
    </row>
    <row r="426">
      <c r="C426" s="292"/>
    </row>
    <row r="427">
      <c r="C427" s="292"/>
    </row>
    <row r="428">
      <c r="C428" s="292"/>
    </row>
    <row r="429">
      <c r="C429" s="292"/>
    </row>
    <row r="430">
      <c r="C430" s="292"/>
    </row>
    <row r="431">
      <c r="C431" s="292"/>
    </row>
    <row r="432">
      <c r="C432" s="292"/>
    </row>
    <row r="433">
      <c r="C433" s="292"/>
    </row>
    <row r="434">
      <c r="C434" s="292"/>
    </row>
    <row r="435">
      <c r="C435" s="292"/>
    </row>
    <row r="436">
      <c r="C436" s="292"/>
    </row>
    <row r="437">
      <c r="C437" s="292"/>
    </row>
    <row r="438">
      <c r="C438" s="292"/>
    </row>
    <row r="439">
      <c r="C439" s="292"/>
    </row>
    <row r="440">
      <c r="C440" s="292"/>
    </row>
    <row r="441">
      <c r="C441" s="292"/>
    </row>
    <row r="442">
      <c r="C442" s="292"/>
    </row>
    <row r="443">
      <c r="C443" s="292"/>
    </row>
    <row r="444">
      <c r="C444" s="292"/>
    </row>
    <row r="445">
      <c r="C445" s="292"/>
    </row>
    <row r="446">
      <c r="C446" s="292"/>
    </row>
    <row r="447">
      <c r="C447" s="292"/>
    </row>
    <row r="448">
      <c r="C448" s="292"/>
    </row>
    <row r="449">
      <c r="C449" s="292"/>
    </row>
    <row r="450">
      <c r="C450" s="292"/>
    </row>
    <row r="451">
      <c r="C451" s="292"/>
    </row>
    <row r="452">
      <c r="C452" s="292"/>
    </row>
    <row r="453">
      <c r="C453" s="292"/>
    </row>
    <row r="454">
      <c r="C454" s="292"/>
    </row>
    <row r="455">
      <c r="C455" s="292"/>
    </row>
    <row r="456">
      <c r="C456" s="292"/>
    </row>
    <row r="457">
      <c r="C457" s="292"/>
    </row>
    <row r="458">
      <c r="C458" s="292"/>
    </row>
    <row r="459">
      <c r="C459" s="292"/>
    </row>
    <row r="460">
      <c r="C460" s="292"/>
    </row>
    <row r="461">
      <c r="C461" s="292"/>
    </row>
    <row r="462">
      <c r="C462" s="292"/>
    </row>
    <row r="463">
      <c r="C463" s="292"/>
    </row>
    <row r="464">
      <c r="C464" s="292"/>
    </row>
    <row r="465">
      <c r="C465" s="292"/>
    </row>
    <row r="466">
      <c r="C466" s="292"/>
    </row>
    <row r="467">
      <c r="C467" s="292"/>
    </row>
    <row r="468">
      <c r="C468" s="292"/>
    </row>
    <row r="469">
      <c r="C469" s="292"/>
    </row>
    <row r="470">
      <c r="C470" s="292"/>
    </row>
    <row r="471">
      <c r="C471" s="292"/>
    </row>
    <row r="472">
      <c r="C472" s="292"/>
    </row>
    <row r="473">
      <c r="C473" s="292"/>
    </row>
    <row r="474">
      <c r="C474" s="292"/>
    </row>
    <row r="475">
      <c r="C475" s="292"/>
    </row>
    <row r="476">
      <c r="C476" s="292"/>
    </row>
    <row r="477">
      <c r="C477" s="292"/>
    </row>
    <row r="478">
      <c r="C478" s="292"/>
    </row>
    <row r="479">
      <c r="C479" s="292"/>
    </row>
    <row r="480">
      <c r="C480" s="292"/>
    </row>
    <row r="481">
      <c r="C481" s="292"/>
    </row>
    <row r="482">
      <c r="C482" s="292"/>
    </row>
    <row r="483">
      <c r="C483" s="292"/>
    </row>
    <row r="484">
      <c r="C484" s="292"/>
    </row>
    <row r="485">
      <c r="C485" s="292"/>
    </row>
    <row r="486">
      <c r="C486" s="292"/>
    </row>
    <row r="487">
      <c r="C487" s="292"/>
    </row>
    <row r="488">
      <c r="C488" s="292"/>
    </row>
    <row r="489">
      <c r="C489" s="292"/>
    </row>
    <row r="490">
      <c r="C490" s="292"/>
    </row>
    <row r="491">
      <c r="C491" s="292"/>
    </row>
    <row r="492">
      <c r="C492" s="292"/>
    </row>
    <row r="493">
      <c r="C493" s="292"/>
    </row>
    <row r="494">
      <c r="C494" s="292"/>
    </row>
    <row r="495">
      <c r="C495" s="292"/>
    </row>
    <row r="496">
      <c r="C496" s="292"/>
    </row>
    <row r="497">
      <c r="C497" s="292"/>
    </row>
    <row r="498">
      <c r="C498" s="292"/>
    </row>
    <row r="499">
      <c r="C499" s="292"/>
    </row>
    <row r="500">
      <c r="C500" s="292"/>
    </row>
    <row r="501">
      <c r="C501" s="292"/>
    </row>
    <row r="502">
      <c r="C502" s="292"/>
    </row>
    <row r="503">
      <c r="C503" s="292"/>
    </row>
    <row r="504">
      <c r="C504" s="292"/>
    </row>
    <row r="505">
      <c r="C505" s="292"/>
    </row>
    <row r="506">
      <c r="C506" s="292"/>
    </row>
    <row r="507">
      <c r="C507" s="292"/>
    </row>
    <row r="508">
      <c r="C508" s="292"/>
    </row>
    <row r="509">
      <c r="C509" s="292"/>
    </row>
    <row r="510">
      <c r="C510" s="292"/>
    </row>
    <row r="511">
      <c r="C511" s="292"/>
    </row>
    <row r="512">
      <c r="C512" s="292"/>
    </row>
    <row r="513">
      <c r="C513" s="292"/>
    </row>
    <row r="514">
      <c r="C514" s="292"/>
    </row>
    <row r="515">
      <c r="C515" s="292"/>
    </row>
    <row r="516">
      <c r="C516" s="292"/>
    </row>
    <row r="517">
      <c r="C517" s="292"/>
    </row>
    <row r="518">
      <c r="C518" s="292"/>
    </row>
    <row r="519">
      <c r="C519" s="292"/>
    </row>
    <row r="520">
      <c r="C520" s="292"/>
    </row>
    <row r="521">
      <c r="C521" s="292"/>
    </row>
    <row r="522">
      <c r="C522" s="292"/>
    </row>
    <row r="523">
      <c r="C523" s="292"/>
    </row>
    <row r="524">
      <c r="C524" s="292"/>
    </row>
    <row r="525">
      <c r="C525" s="292"/>
    </row>
    <row r="526">
      <c r="C526" s="292"/>
    </row>
    <row r="527">
      <c r="C527" s="292"/>
    </row>
    <row r="528">
      <c r="C528" s="292"/>
    </row>
    <row r="529">
      <c r="C529" s="292"/>
    </row>
    <row r="530">
      <c r="C530" s="292"/>
    </row>
    <row r="531">
      <c r="C531" s="292"/>
    </row>
    <row r="532">
      <c r="C532" s="292"/>
    </row>
    <row r="533">
      <c r="C533" s="292"/>
    </row>
    <row r="534">
      <c r="C534" s="292"/>
    </row>
    <row r="535">
      <c r="C535" s="292"/>
    </row>
    <row r="536">
      <c r="C536" s="292"/>
    </row>
    <row r="537">
      <c r="C537" s="292"/>
    </row>
    <row r="538">
      <c r="C538" s="292"/>
    </row>
    <row r="539">
      <c r="C539" s="292"/>
    </row>
    <row r="540">
      <c r="C540" s="292"/>
    </row>
    <row r="541">
      <c r="C541" s="292"/>
    </row>
    <row r="542">
      <c r="C542" s="292"/>
    </row>
    <row r="543">
      <c r="C543" s="292"/>
    </row>
    <row r="544">
      <c r="C544" s="292"/>
    </row>
    <row r="545">
      <c r="C545" s="292"/>
    </row>
    <row r="546">
      <c r="C546" s="292"/>
    </row>
    <row r="547">
      <c r="C547" s="292"/>
    </row>
    <row r="548">
      <c r="C548" s="292"/>
    </row>
    <row r="549">
      <c r="C549" s="292"/>
    </row>
    <row r="550">
      <c r="C550" s="292"/>
    </row>
    <row r="551">
      <c r="C551" s="292"/>
    </row>
    <row r="552">
      <c r="C552" s="292"/>
    </row>
    <row r="553">
      <c r="C553" s="292"/>
    </row>
    <row r="554">
      <c r="C554" s="292"/>
    </row>
    <row r="555">
      <c r="C555" s="292"/>
    </row>
    <row r="556">
      <c r="C556" s="292"/>
    </row>
    <row r="557">
      <c r="C557" s="292"/>
    </row>
    <row r="558">
      <c r="C558" s="292"/>
    </row>
    <row r="559">
      <c r="C559" s="292"/>
    </row>
    <row r="560">
      <c r="C560" s="292"/>
    </row>
    <row r="561">
      <c r="C561" s="292"/>
    </row>
    <row r="562">
      <c r="C562" s="292"/>
    </row>
    <row r="563">
      <c r="C563" s="292"/>
    </row>
    <row r="564">
      <c r="C564" s="292"/>
    </row>
    <row r="565">
      <c r="C565" s="292"/>
    </row>
    <row r="566">
      <c r="C566" s="292"/>
    </row>
    <row r="567">
      <c r="C567" s="292"/>
    </row>
    <row r="568">
      <c r="C568" s="292"/>
    </row>
    <row r="569">
      <c r="C569" s="292"/>
    </row>
    <row r="570">
      <c r="C570" s="292"/>
    </row>
    <row r="571">
      <c r="C571" s="292"/>
    </row>
    <row r="572">
      <c r="C572" s="292"/>
    </row>
    <row r="573">
      <c r="C573" s="292"/>
    </row>
    <row r="574">
      <c r="C574" s="292"/>
    </row>
    <row r="575">
      <c r="C575" s="292"/>
    </row>
    <row r="576">
      <c r="C576" s="292"/>
    </row>
    <row r="577">
      <c r="C577" s="292"/>
    </row>
    <row r="578">
      <c r="C578" s="292"/>
    </row>
    <row r="579">
      <c r="C579" s="292"/>
    </row>
    <row r="580">
      <c r="C580" s="292"/>
    </row>
    <row r="581">
      <c r="C581" s="292"/>
    </row>
    <row r="582">
      <c r="C582" s="292"/>
    </row>
    <row r="583">
      <c r="C583" s="292"/>
    </row>
    <row r="584">
      <c r="C584" s="292"/>
    </row>
    <row r="585">
      <c r="C585" s="292"/>
    </row>
    <row r="586">
      <c r="C586" s="292"/>
    </row>
    <row r="587">
      <c r="C587" s="292"/>
    </row>
    <row r="588">
      <c r="C588" s="292"/>
    </row>
    <row r="589">
      <c r="C589" s="292"/>
    </row>
    <row r="590">
      <c r="C590" s="292"/>
    </row>
    <row r="591">
      <c r="C591" s="292"/>
    </row>
    <row r="592">
      <c r="C592" s="292"/>
    </row>
    <row r="593">
      <c r="C593" s="292"/>
    </row>
    <row r="594">
      <c r="C594" s="292"/>
    </row>
    <row r="595">
      <c r="C595" s="292"/>
    </row>
    <row r="596">
      <c r="C596" s="292"/>
    </row>
    <row r="597">
      <c r="C597" s="292"/>
    </row>
    <row r="598">
      <c r="C598" s="292"/>
    </row>
    <row r="599">
      <c r="C599" s="292"/>
    </row>
    <row r="600">
      <c r="C600" s="292"/>
    </row>
    <row r="601">
      <c r="C601" s="292"/>
    </row>
    <row r="602">
      <c r="C602" s="292"/>
    </row>
    <row r="603">
      <c r="C603" s="292"/>
    </row>
    <row r="604">
      <c r="C604" s="292"/>
    </row>
    <row r="605">
      <c r="C605" s="292"/>
    </row>
    <row r="606">
      <c r="C606" s="292"/>
    </row>
    <row r="607">
      <c r="C607" s="292"/>
    </row>
    <row r="608">
      <c r="C608" s="292"/>
    </row>
    <row r="609">
      <c r="C609" s="292"/>
    </row>
    <row r="610">
      <c r="C610" s="292"/>
    </row>
    <row r="611">
      <c r="C611" s="292"/>
    </row>
    <row r="612">
      <c r="C612" s="292"/>
    </row>
    <row r="613">
      <c r="C613" s="292"/>
    </row>
    <row r="614">
      <c r="C614" s="292"/>
    </row>
    <row r="615">
      <c r="C615" s="292"/>
    </row>
    <row r="616">
      <c r="C616" s="292"/>
    </row>
    <row r="617">
      <c r="C617" s="292"/>
    </row>
    <row r="618">
      <c r="C618" s="292"/>
    </row>
    <row r="619">
      <c r="C619" s="292"/>
    </row>
    <row r="620">
      <c r="C620" s="292"/>
    </row>
    <row r="621">
      <c r="C621" s="292"/>
    </row>
    <row r="622">
      <c r="C622" s="292"/>
    </row>
    <row r="623">
      <c r="C623" s="292"/>
    </row>
    <row r="624">
      <c r="C624" s="292"/>
    </row>
    <row r="625">
      <c r="C625" s="292"/>
    </row>
    <row r="626">
      <c r="C626" s="292"/>
    </row>
    <row r="627">
      <c r="C627" s="292"/>
    </row>
    <row r="628">
      <c r="C628" s="292"/>
    </row>
    <row r="629">
      <c r="C629" s="292"/>
    </row>
    <row r="630">
      <c r="C630" s="292"/>
    </row>
    <row r="631">
      <c r="C631" s="292"/>
    </row>
    <row r="632">
      <c r="C632" s="292"/>
    </row>
    <row r="633">
      <c r="C633" s="292"/>
    </row>
    <row r="634">
      <c r="C634" s="292"/>
    </row>
    <row r="635">
      <c r="C635" s="292"/>
    </row>
    <row r="636">
      <c r="C636" s="292"/>
    </row>
    <row r="637">
      <c r="C637" s="292"/>
    </row>
    <row r="638">
      <c r="C638" s="292"/>
    </row>
    <row r="639">
      <c r="C639" s="292"/>
    </row>
    <row r="640">
      <c r="C640" s="292"/>
    </row>
    <row r="641">
      <c r="C641" s="292"/>
    </row>
    <row r="642">
      <c r="C642" s="292"/>
    </row>
    <row r="643">
      <c r="C643" s="292"/>
    </row>
    <row r="644">
      <c r="C644" s="292"/>
    </row>
    <row r="645">
      <c r="C645" s="292"/>
    </row>
    <row r="646">
      <c r="C646" s="292"/>
    </row>
    <row r="647">
      <c r="C647" s="292"/>
    </row>
    <row r="648">
      <c r="C648" s="292"/>
    </row>
    <row r="649">
      <c r="C649" s="292"/>
    </row>
    <row r="650">
      <c r="C650" s="292"/>
    </row>
    <row r="651">
      <c r="C651" s="292"/>
    </row>
    <row r="652">
      <c r="C652" s="292"/>
    </row>
    <row r="653">
      <c r="C653" s="292"/>
    </row>
    <row r="654">
      <c r="C654" s="292"/>
    </row>
    <row r="655">
      <c r="C655" s="292"/>
    </row>
    <row r="656">
      <c r="C656" s="292"/>
    </row>
    <row r="657">
      <c r="C657" s="292"/>
    </row>
    <row r="658">
      <c r="C658" s="292"/>
    </row>
    <row r="659">
      <c r="C659" s="292"/>
    </row>
    <row r="660">
      <c r="C660" s="292"/>
    </row>
    <row r="661">
      <c r="C661" s="292"/>
    </row>
    <row r="662">
      <c r="C662" s="292"/>
    </row>
    <row r="663">
      <c r="C663" s="292"/>
    </row>
    <row r="664">
      <c r="C664" s="292"/>
    </row>
    <row r="665">
      <c r="C665" s="292"/>
    </row>
    <row r="666">
      <c r="C666" s="292"/>
    </row>
    <row r="667">
      <c r="C667" s="292"/>
    </row>
    <row r="668">
      <c r="C668" s="292"/>
    </row>
    <row r="669">
      <c r="C669" s="292"/>
    </row>
    <row r="670">
      <c r="C670" s="292"/>
    </row>
    <row r="671">
      <c r="C671" s="292"/>
    </row>
    <row r="672">
      <c r="C672" s="292"/>
    </row>
    <row r="673">
      <c r="C673" s="292"/>
    </row>
    <row r="674">
      <c r="C674" s="292"/>
    </row>
    <row r="675">
      <c r="C675" s="292"/>
    </row>
    <row r="676">
      <c r="C676" s="292"/>
    </row>
    <row r="677">
      <c r="C677" s="292"/>
    </row>
    <row r="678">
      <c r="C678" s="292"/>
    </row>
    <row r="679">
      <c r="C679" s="292"/>
    </row>
    <row r="680">
      <c r="C680" s="292"/>
    </row>
    <row r="681">
      <c r="C681" s="292"/>
    </row>
    <row r="682">
      <c r="C682" s="292"/>
    </row>
    <row r="683">
      <c r="C683" s="292"/>
    </row>
    <row r="684">
      <c r="C684" s="292"/>
    </row>
    <row r="685">
      <c r="C685" s="292"/>
    </row>
    <row r="686">
      <c r="C686" s="292"/>
    </row>
    <row r="687">
      <c r="C687" s="292"/>
    </row>
    <row r="688">
      <c r="C688" s="292"/>
    </row>
    <row r="689">
      <c r="C689" s="292"/>
    </row>
    <row r="690">
      <c r="C690" s="292"/>
    </row>
    <row r="691">
      <c r="C691" s="292"/>
    </row>
    <row r="692">
      <c r="C692" s="292"/>
    </row>
    <row r="693">
      <c r="C693" s="292"/>
    </row>
    <row r="694">
      <c r="C694" s="292"/>
    </row>
    <row r="695">
      <c r="C695" s="292"/>
    </row>
    <row r="696">
      <c r="C696" s="292"/>
    </row>
    <row r="697">
      <c r="C697" s="292"/>
    </row>
    <row r="698">
      <c r="C698" s="292"/>
    </row>
    <row r="699">
      <c r="C699" s="292"/>
    </row>
    <row r="700">
      <c r="C700" s="292"/>
    </row>
    <row r="701">
      <c r="C701" s="292"/>
    </row>
    <row r="702">
      <c r="C702" s="292"/>
    </row>
    <row r="703">
      <c r="C703" s="292"/>
    </row>
    <row r="704">
      <c r="C704" s="292"/>
    </row>
    <row r="705">
      <c r="C705" s="292"/>
    </row>
    <row r="706">
      <c r="C706" s="292"/>
    </row>
    <row r="707">
      <c r="C707" s="292"/>
    </row>
    <row r="708">
      <c r="C708" s="292"/>
    </row>
    <row r="709">
      <c r="C709" s="292"/>
    </row>
    <row r="710">
      <c r="C710" s="292"/>
    </row>
    <row r="711">
      <c r="C711" s="292"/>
    </row>
    <row r="712">
      <c r="C712" s="292"/>
    </row>
    <row r="713">
      <c r="C713" s="292"/>
    </row>
    <row r="714">
      <c r="C714" s="292"/>
    </row>
    <row r="715">
      <c r="C715" s="292"/>
    </row>
    <row r="716">
      <c r="C716" s="292"/>
    </row>
    <row r="717">
      <c r="C717" s="292"/>
    </row>
    <row r="718">
      <c r="C718" s="292"/>
    </row>
    <row r="719">
      <c r="C719" s="292"/>
    </row>
    <row r="720">
      <c r="C720" s="292"/>
    </row>
    <row r="721">
      <c r="C721" s="292"/>
    </row>
    <row r="722">
      <c r="C722" s="292"/>
    </row>
    <row r="723">
      <c r="C723" s="292"/>
    </row>
    <row r="724">
      <c r="C724" s="292"/>
    </row>
    <row r="725">
      <c r="C725" s="292"/>
    </row>
    <row r="726">
      <c r="C726" s="292"/>
    </row>
    <row r="727">
      <c r="C727" s="292"/>
    </row>
    <row r="728">
      <c r="C728" s="292"/>
    </row>
    <row r="729">
      <c r="C729" s="292"/>
    </row>
    <row r="730">
      <c r="C730" s="292"/>
    </row>
    <row r="731">
      <c r="C731" s="292"/>
    </row>
    <row r="732">
      <c r="C732" s="292"/>
    </row>
    <row r="733">
      <c r="C733" s="292"/>
    </row>
    <row r="734">
      <c r="C734" s="292"/>
    </row>
    <row r="735">
      <c r="C735" s="292"/>
    </row>
    <row r="736">
      <c r="C736" s="292"/>
    </row>
    <row r="737">
      <c r="C737" s="292"/>
    </row>
    <row r="738">
      <c r="C738" s="292"/>
    </row>
    <row r="739">
      <c r="C739" s="292"/>
    </row>
    <row r="740">
      <c r="C740" s="292"/>
    </row>
    <row r="741">
      <c r="C741" s="292"/>
    </row>
    <row r="742">
      <c r="C742" s="292"/>
    </row>
    <row r="743">
      <c r="C743" s="292"/>
    </row>
    <row r="744">
      <c r="C744" s="292"/>
    </row>
    <row r="745">
      <c r="C745" s="292"/>
    </row>
    <row r="746">
      <c r="C746" s="292"/>
    </row>
    <row r="747">
      <c r="C747" s="292"/>
    </row>
    <row r="748">
      <c r="C748" s="292"/>
    </row>
    <row r="749">
      <c r="C749" s="292"/>
    </row>
    <row r="750">
      <c r="C750" s="292"/>
    </row>
    <row r="751">
      <c r="C751" s="292"/>
    </row>
    <row r="752">
      <c r="C752" s="292"/>
    </row>
    <row r="753">
      <c r="C753" s="292"/>
    </row>
    <row r="754">
      <c r="C754" s="292"/>
    </row>
    <row r="755">
      <c r="C755" s="292"/>
    </row>
    <row r="756">
      <c r="C756" s="292"/>
    </row>
    <row r="757">
      <c r="C757" s="292"/>
    </row>
    <row r="758">
      <c r="C758" s="292"/>
    </row>
    <row r="759">
      <c r="C759" s="292"/>
    </row>
    <row r="760">
      <c r="C760" s="292"/>
    </row>
    <row r="761">
      <c r="C761" s="292"/>
    </row>
    <row r="762">
      <c r="C762" s="292"/>
    </row>
    <row r="763">
      <c r="C763" s="292"/>
    </row>
    <row r="764">
      <c r="C764" s="292"/>
    </row>
    <row r="765">
      <c r="C765" s="292"/>
    </row>
    <row r="766">
      <c r="C766" s="292"/>
    </row>
    <row r="767">
      <c r="C767" s="292"/>
    </row>
    <row r="768">
      <c r="C768" s="292"/>
    </row>
    <row r="769">
      <c r="C769" s="292"/>
    </row>
    <row r="770">
      <c r="C770" s="292"/>
    </row>
    <row r="771">
      <c r="C771" s="292"/>
    </row>
    <row r="772">
      <c r="C772" s="292"/>
    </row>
    <row r="773">
      <c r="C773" s="292"/>
    </row>
    <row r="774">
      <c r="C774" s="292"/>
    </row>
    <row r="775">
      <c r="C775" s="292"/>
    </row>
    <row r="776">
      <c r="C776" s="292"/>
    </row>
    <row r="777">
      <c r="C777" s="292"/>
    </row>
    <row r="778">
      <c r="C778" s="292"/>
    </row>
    <row r="779">
      <c r="C779" s="292"/>
    </row>
    <row r="780">
      <c r="C780" s="292"/>
    </row>
    <row r="781">
      <c r="C781" s="292"/>
    </row>
    <row r="782">
      <c r="C782" s="292"/>
    </row>
    <row r="783">
      <c r="C783" s="292"/>
    </row>
    <row r="784">
      <c r="C784" s="292"/>
    </row>
    <row r="785">
      <c r="C785" s="292"/>
    </row>
    <row r="786">
      <c r="C786" s="292"/>
    </row>
    <row r="787">
      <c r="C787" s="292"/>
    </row>
    <row r="788">
      <c r="C788" s="292"/>
    </row>
    <row r="789">
      <c r="C789" s="292"/>
    </row>
    <row r="790">
      <c r="C790" s="292"/>
    </row>
    <row r="791">
      <c r="C791" s="292"/>
    </row>
    <row r="792">
      <c r="C792" s="292"/>
    </row>
    <row r="793">
      <c r="C793" s="292"/>
    </row>
    <row r="794">
      <c r="C794" s="292"/>
    </row>
    <row r="795">
      <c r="C795" s="292"/>
    </row>
    <row r="796">
      <c r="C796" s="292"/>
    </row>
    <row r="797">
      <c r="C797" s="292"/>
    </row>
    <row r="798">
      <c r="C798" s="292"/>
    </row>
    <row r="799">
      <c r="C799" s="292"/>
    </row>
    <row r="800">
      <c r="C800" s="292"/>
    </row>
    <row r="801">
      <c r="C801" s="292"/>
    </row>
    <row r="802">
      <c r="C802" s="292"/>
    </row>
    <row r="803">
      <c r="C803" s="292"/>
    </row>
    <row r="804">
      <c r="C804" s="292"/>
    </row>
    <row r="805">
      <c r="C805" s="292"/>
    </row>
    <row r="806">
      <c r="C806" s="292"/>
    </row>
    <row r="807">
      <c r="C807" s="292"/>
    </row>
    <row r="808">
      <c r="C808" s="292"/>
    </row>
    <row r="809">
      <c r="C809" s="292"/>
    </row>
    <row r="810">
      <c r="C810" s="292"/>
    </row>
    <row r="811">
      <c r="C811" s="292"/>
    </row>
    <row r="812">
      <c r="C812" s="292"/>
    </row>
    <row r="813">
      <c r="C813" s="292"/>
    </row>
    <row r="814">
      <c r="C814" s="292"/>
    </row>
    <row r="815">
      <c r="C815" s="292"/>
    </row>
    <row r="816">
      <c r="C816" s="292"/>
    </row>
    <row r="817">
      <c r="C817" s="292"/>
    </row>
    <row r="818">
      <c r="C818" s="292"/>
    </row>
    <row r="819">
      <c r="C819" s="292"/>
    </row>
    <row r="820">
      <c r="C820" s="292"/>
    </row>
    <row r="821">
      <c r="C821" s="292"/>
    </row>
    <row r="822">
      <c r="C822" s="292"/>
    </row>
    <row r="823">
      <c r="C823" s="292"/>
    </row>
    <row r="824">
      <c r="C824" s="292"/>
    </row>
    <row r="825">
      <c r="C825" s="292"/>
    </row>
    <row r="826">
      <c r="C826" s="292"/>
    </row>
    <row r="827">
      <c r="C827" s="292"/>
    </row>
    <row r="828">
      <c r="C828" s="292"/>
    </row>
    <row r="829">
      <c r="C829" s="292"/>
    </row>
    <row r="830">
      <c r="C830" s="292"/>
    </row>
    <row r="831">
      <c r="C831" s="292"/>
    </row>
    <row r="832">
      <c r="C832" s="292"/>
    </row>
    <row r="833">
      <c r="C833" s="292"/>
    </row>
    <row r="834">
      <c r="C834" s="292"/>
    </row>
    <row r="835">
      <c r="C835" s="292"/>
    </row>
    <row r="836">
      <c r="C836" s="292"/>
    </row>
    <row r="837">
      <c r="C837" s="292"/>
    </row>
    <row r="838">
      <c r="C838" s="292"/>
    </row>
    <row r="839">
      <c r="C839" s="292"/>
    </row>
    <row r="840">
      <c r="C840" s="292"/>
    </row>
    <row r="841">
      <c r="C841" s="292"/>
    </row>
    <row r="842">
      <c r="C842" s="292"/>
    </row>
    <row r="843">
      <c r="C843" s="292"/>
    </row>
    <row r="844">
      <c r="C844" s="292"/>
    </row>
    <row r="845">
      <c r="C845" s="292"/>
    </row>
    <row r="846">
      <c r="C846" s="292"/>
    </row>
    <row r="847">
      <c r="C847" s="292"/>
    </row>
    <row r="848">
      <c r="C848" s="292"/>
    </row>
    <row r="849">
      <c r="C849" s="292"/>
    </row>
    <row r="850">
      <c r="C850" s="292"/>
    </row>
    <row r="851">
      <c r="C851" s="292"/>
    </row>
    <row r="852">
      <c r="C852" s="292"/>
    </row>
    <row r="853">
      <c r="C853" s="292"/>
    </row>
    <row r="854">
      <c r="C854" s="292"/>
    </row>
    <row r="855">
      <c r="C855" s="292"/>
    </row>
    <row r="856">
      <c r="C856" s="292"/>
    </row>
    <row r="857">
      <c r="C857" s="292"/>
    </row>
    <row r="858">
      <c r="C858" s="292"/>
    </row>
    <row r="859">
      <c r="C859" s="292"/>
    </row>
    <row r="860">
      <c r="C860" s="292"/>
    </row>
    <row r="861">
      <c r="C861" s="292"/>
    </row>
    <row r="862">
      <c r="C862" s="292"/>
    </row>
    <row r="863">
      <c r="C863" s="292"/>
    </row>
    <row r="864">
      <c r="C864" s="292"/>
    </row>
    <row r="865">
      <c r="C865" s="292"/>
    </row>
    <row r="866">
      <c r="C866" s="292"/>
    </row>
    <row r="867">
      <c r="C867" s="292"/>
    </row>
    <row r="868">
      <c r="C868" s="292"/>
    </row>
    <row r="869">
      <c r="C869" s="292"/>
    </row>
    <row r="870">
      <c r="C870" s="292"/>
    </row>
    <row r="871">
      <c r="C871" s="292"/>
    </row>
    <row r="872">
      <c r="C872" s="292"/>
    </row>
    <row r="873">
      <c r="C873" s="292"/>
    </row>
    <row r="874">
      <c r="C874" s="292"/>
    </row>
    <row r="875">
      <c r="C875" s="292"/>
    </row>
    <row r="876">
      <c r="C876" s="292"/>
    </row>
    <row r="877">
      <c r="C877" s="292"/>
    </row>
    <row r="878">
      <c r="C878" s="292"/>
    </row>
    <row r="879">
      <c r="C879" s="292"/>
    </row>
    <row r="880">
      <c r="C880" s="292"/>
    </row>
    <row r="881">
      <c r="C881" s="292"/>
    </row>
    <row r="882">
      <c r="C882" s="292"/>
    </row>
    <row r="883">
      <c r="C883" s="292"/>
    </row>
    <row r="884">
      <c r="C884" s="292"/>
    </row>
    <row r="885">
      <c r="C885" s="292"/>
    </row>
    <row r="886">
      <c r="C886" s="292"/>
    </row>
    <row r="887">
      <c r="C887" s="292"/>
    </row>
    <row r="888">
      <c r="C888" s="292"/>
    </row>
    <row r="889">
      <c r="C889" s="292"/>
    </row>
    <row r="890">
      <c r="C890" s="292"/>
    </row>
    <row r="891">
      <c r="C891" s="292"/>
    </row>
    <row r="892">
      <c r="C892" s="292"/>
    </row>
    <row r="893">
      <c r="C893" s="292"/>
    </row>
    <row r="894">
      <c r="C894" s="292"/>
    </row>
    <row r="895">
      <c r="C895" s="292"/>
    </row>
    <row r="896">
      <c r="C896" s="292"/>
    </row>
    <row r="897">
      <c r="C897" s="292"/>
    </row>
    <row r="898">
      <c r="C898" s="292"/>
    </row>
    <row r="899">
      <c r="C899" s="292"/>
    </row>
    <row r="900">
      <c r="C900" s="292"/>
    </row>
    <row r="901">
      <c r="C901" s="292"/>
    </row>
    <row r="902">
      <c r="C902" s="292"/>
    </row>
    <row r="903">
      <c r="C903" s="292"/>
    </row>
    <row r="904">
      <c r="C904" s="292"/>
    </row>
    <row r="905">
      <c r="C905" s="292"/>
    </row>
    <row r="906">
      <c r="C906" s="292"/>
    </row>
    <row r="907">
      <c r="C907" s="292"/>
    </row>
    <row r="908">
      <c r="C908" s="292"/>
    </row>
    <row r="909">
      <c r="C909" s="292"/>
    </row>
    <row r="910">
      <c r="C910" s="292"/>
    </row>
    <row r="911">
      <c r="C911" s="292"/>
    </row>
    <row r="912">
      <c r="C912" s="292"/>
    </row>
    <row r="913">
      <c r="C913" s="292"/>
    </row>
    <row r="914">
      <c r="C914" s="292"/>
    </row>
    <row r="915">
      <c r="C915" s="292"/>
    </row>
    <row r="916">
      <c r="C916" s="292"/>
    </row>
    <row r="917">
      <c r="C917" s="292"/>
    </row>
    <row r="918">
      <c r="C918" s="292"/>
    </row>
    <row r="919">
      <c r="C919" s="292"/>
    </row>
    <row r="920">
      <c r="C920" s="292"/>
    </row>
    <row r="921">
      <c r="C921" s="292"/>
    </row>
    <row r="922">
      <c r="C922" s="292"/>
    </row>
    <row r="923">
      <c r="C923" s="292"/>
    </row>
    <row r="924">
      <c r="C924" s="292"/>
    </row>
    <row r="925">
      <c r="C925" s="292"/>
    </row>
    <row r="926">
      <c r="C926" s="292"/>
    </row>
    <row r="927">
      <c r="C927" s="292"/>
    </row>
    <row r="928">
      <c r="C928" s="292"/>
    </row>
    <row r="929">
      <c r="C929" s="292"/>
    </row>
    <row r="930">
      <c r="C930" s="292"/>
    </row>
    <row r="931">
      <c r="C931" s="292"/>
    </row>
    <row r="932">
      <c r="C932" s="292"/>
    </row>
    <row r="933">
      <c r="C933" s="292"/>
    </row>
    <row r="934">
      <c r="C934" s="292"/>
    </row>
    <row r="935">
      <c r="C935" s="292"/>
    </row>
    <row r="936">
      <c r="C936" s="292"/>
    </row>
    <row r="937">
      <c r="C937" s="292"/>
    </row>
    <row r="938">
      <c r="C938" s="292"/>
    </row>
    <row r="939">
      <c r="C939" s="292"/>
    </row>
    <row r="940">
      <c r="C940" s="292"/>
    </row>
    <row r="941">
      <c r="C941" s="292"/>
    </row>
    <row r="942">
      <c r="C942" s="292"/>
    </row>
    <row r="943">
      <c r="C943" s="292"/>
    </row>
    <row r="944">
      <c r="C944" s="292"/>
    </row>
    <row r="945">
      <c r="C945" s="292"/>
    </row>
    <row r="946">
      <c r="C946" s="292"/>
    </row>
    <row r="947">
      <c r="C947" s="292"/>
    </row>
    <row r="948">
      <c r="C948" s="292"/>
    </row>
    <row r="949">
      <c r="C949" s="292"/>
    </row>
    <row r="950">
      <c r="C950" s="292"/>
    </row>
    <row r="951">
      <c r="C951" s="292"/>
    </row>
    <row r="952">
      <c r="C952" s="292"/>
    </row>
    <row r="953">
      <c r="C953" s="292"/>
    </row>
    <row r="954">
      <c r="C954" s="292"/>
    </row>
    <row r="955">
      <c r="C955" s="292"/>
    </row>
    <row r="956">
      <c r="C956" s="292"/>
    </row>
    <row r="957">
      <c r="C957" s="292"/>
    </row>
    <row r="958">
      <c r="C958" s="292"/>
    </row>
    <row r="959">
      <c r="C959" s="292"/>
    </row>
    <row r="960">
      <c r="C960" s="292"/>
    </row>
    <row r="961">
      <c r="C961" s="292"/>
    </row>
    <row r="962">
      <c r="C962" s="292"/>
    </row>
    <row r="963">
      <c r="C963" s="292"/>
    </row>
    <row r="964">
      <c r="C964" s="292"/>
    </row>
    <row r="965">
      <c r="C965" s="292"/>
    </row>
    <row r="966">
      <c r="C966" s="292"/>
    </row>
    <row r="967">
      <c r="C967" s="292"/>
    </row>
    <row r="968">
      <c r="C968" s="292"/>
    </row>
    <row r="969">
      <c r="C969" s="292"/>
    </row>
    <row r="970">
      <c r="C970" s="292"/>
    </row>
    <row r="971">
      <c r="C971" s="292"/>
    </row>
    <row r="972">
      <c r="C972" s="292"/>
    </row>
    <row r="973">
      <c r="C973" s="292"/>
    </row>
    <row r="974">
      <c r="C974" s="292"/>
    </row>
    <row r="975">
      <c r="C975" s="292"/>
    </row>
    <row r="976">
      <c r="C976" s="292"/>
    </row>
    <row r="977">
      <c r="C977" s="292"/>
    </row>
    <row r="978">
      <c r="C978" s="292"/>
    </row>
    <row r="979">
      <c r="C979" s="292"/>
    </row>
    <row r="980">
      <c r="C980" s="292"/>
    </row>
    <row r="981">
      <c r="C981" s="292"/>
    </row>
    <row r="982">
      <c r="C982" s="292"/>
    </row>
    <row r="983">
      <c r="C983" s="292"/>
    </row>
    <row r="984">
      <c r="C984" s="292"/>
    </row>
    <row r="985">
      <c r="C985" s="292"/>
    </row>
    <row r="986">
      <c r="C986" s="292"/>
    </row>
    <row r="987">
      <c r="C987" s="292"/>
    </row>
    <row r="988">
      <c r="C988" s="292"/>
    </row>
    <row r="989">
      <c r="C989" s="292"/>
    </row>
    <row r="990">
      <c r="C990" s="292"/>
    </row>
    <row r="991">
      <c r="C991" s="292"/>
    </row>
    <row r="992">
      <c r="C992" s="292"/>
    </row>
    <row r="993">
      <c r="C993" s="292"/>
    </row>
    <row r="994">
      <c r="C994" s="292"/>
    </row>
    <row r="995">
      <c r="C995" s="292"/>
    </row>
    <row r="996">
      <c r="C996" s="292"/>
    </row>
    <row r="997">
      <c r="C997" s="292"/>
    </row>
    <row r="998">
      <c r="C998" s="292"/>
    </row>
    <row r="999">
      <c r="C999" s="292"/>
    </row>
    <row r="1000">
      <c r="C1000" s="292"/>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11.0"/>
    <col customWidth="1" min="6" max="6" width="10.0"/>
    <col customWidth="1" min="7" max="7" width="10.25"/>
    <col customWidth="1" min="8" max="8" width="11.25"/>
    <col customWidth="1" min="9" max="9" width="10.38"/>
    <col customWidth="1" min="10" max="10" width="70.5"/>
    <col customWidth="1" min="11" max="11" width="1.75"/>
  </cols>
  <sheetData>
    <row r="1" ht="8.25" customHeight="1">
      <c r="A1" s="293"/>
      <c r="B1" s="1"/>
    </row>
    <row r="2">
      <c r="B2" s="294" t="s">
        <v>0</v>
      </c>
      <c r="C2" s="295" t="s">
        <v>1</v>
      </c>
      <c r="D2" s="295" t="s">
        <v>2</v>
      </c>
      <c r="E2" s="295" t="s">
        <v>3</v>
      </c>
      <c r="F2" s="296" t="s">
        <v>4</v>
      </c>
      <c r="G2" s="297" t="s">
        <v>1359</v>
      </c>
      <c r="H2" s="296" t="s">
        <v>1080</v>
      </c>
      <c r="I2" s="296" t="s">
        <v>7</v>
      </c>
      <c r="J2" s="298" t="s">
        <v>1360</v>
      </c>
      <c r="K2" s="299"/>
    </row>
    <row r="3">
      <c r="B3" s="5">
        <f t="array" ref="B3:B456">SEQUENCE(COUNTA(C3:C533),1)</f>
        <v>1</v>
      </c>
      <c r="C3" s="6" t="s">
        <v>9</v>
      </c>
      <c r="D3" s="6" t="s">
        <v>10</v>
      </c>
      <c r="E3" s="6" t="s">
        <v>11</v>
      </c>
      <c r="F3" s="12">
        <v>37990.0</v>
      </c>
      <c r="G3" s="8">
        <f t="shared" ref="G3:G152" si="1">YEARFRAC(F3, TODAY(),1)</f>
        <v>22.52331013</v>
      </c>
      <c r="H3" s="49">
        <v>1.0</v>
      </c>
      <c r="I3" s="49">
        <v>0.0</v>
      </c>
      <c r="J3" s="53" t="s">
        <v>1361</v>
      </c>
    </row>
    <row r="4">
      <c r="B4" s="5">
        <v>2.0</v>
      </c>
      <c r="C4" s="11" t="s">
        <v>13</v>
      </c>
      <c r="D4" s="11" t="s">
        <v>14</v>
      </c>
      <c r="E4" s="11" t="s">
        <v>15</v>
      </c>
      <c r="F4" s="12">
        <v>35988.0</v>
      </c>
      <c r="G4" s="8">
        <f t="shared" si="1"/>
        <v>28.00547945</v>
      </c>
      <c r="H4" s="49">
        <v>2.0</v>
      </c>
      <c r="I4" s="49">
        <v>0.0</v>
      </c>
      <c r="J4" s="53" t="s">
        <v>1362</v>
      </c>
    </row>
    <row r="5">
      <c r="B5" s="5">
        <v>3.0</v>
      </c>
      <c r="C5" s="11" t="s">
        <v>17</v>
      </c>
      <c r="D5" s="11" t="s">
        <v>14</v>
      </c>
      <c r="E5" s="6" t="s">
        <v>18</v>
      </c>
      <c r="F5" s="12">
        <v>36219.0</v>
      </c>
      <c r="G5" s="8">
        <f t="shared" si="1"/>
        <v>27.37260274</v>
      </c>
      <c r="H5" s="49">
        <v>4.0</v>
      </c>
      <c r="I5" s="49">
        <v>0.0</v>
      </c>
      <c r="J5" s="53" t="s">
        <v>1363</v>
      </c>
    </row>
    <row r="6">
      <c r="B6" s="5">
        <v>4.0</v>
      </c>
      <c r="C6" s="11" t="s">
        <v>20</v>
      </c>
      <c r="D6" s="11" t="s">
        <v>21</v>
      </c>
      <c r="E6" s="11" t="s">
        <v>22</v>
      </c>
      <c r="F6" s="12">
        <v>34749.0</v>
      </c>
      <c r="G6" s="8">
        <f t="shared" si="1"/>
        <v>31.39726027</v>
      </c>
      <c r="H6" s="49">
        <v>3.0</v>
      </c>
      <c r="I6" s="49">
        <v>0.0</v>
      </c>
      <c r="J6" s="53" t="s">
        <v>23</v>
      </c>
    </row>
    <row r="7">
      <c r="B7" s="5">
        <v>5.0</v>
      </c>
      <c r="C7" s="34" t="s">
        <v>24</v>
      </c>
      <c r="D7" s="29" t="s">
        <v>25</v>
      </c>
      <c r="E7" s="34" t="s">
        <v>26</v>
      </c>
      <c r="F7" s="30">
        <v>39072.0</v>
      </c>
      <c r="G7" s="31">
        <f t="shared" si="1"/>
        <v>19.56164384</v>
      </c>
      <c r="H7" s="49">
        <v>5.0</v>
      </c>
      <c r="I7" s="49">
        <v>0.0</v>
      </c>
      <c r="J7" s="300" t="s">
        <v>27</v>
      </c>
    </row>
    <row r="8">
      <c r="B8" s="5">
        <v>6.0</v>
      </c>
      <c r="C8" s="11" t="s">
        <v>28</v>
      </c>
      <c r="D8" s="11" t="s">
        <v>14</v>
      </c>
      <c r="E8" s="11" t="s">
        <v>29</v>
      </c>
      <c r="F8" s="12">
        <v>37159.0</v>
      </c>
      <c r="G8" s="8">
        <f t="shared" si="1"/>
        <v>24.8</v>
      </c>
      <c r="H8" s="49">
        <v>6.0</v>
      </c>
      <c r="I8" s="49">
        <v>0.0</v>
      </c>
      <c r="J8" s="53" t="s">
        <v>1364</v>
      </c>
    </row>
    <row r="9">
      <c r="B9" s="5">
        <v>7.0</v>
      </c>
      <c r="C9" s="6" t="s">
        <v>39</v>
      </c>
      <c r="D9" s="6" t="s">
        <v>14</v>
      </c>
      <c r="E9" s="6" t="s">
        <v>40</v>
      </c>
      <c r="F9" s="12">
        <v>36834.0</v>
      </c>
      <c r="G9" s="8">
        <f t="shared" si="1"/>
        <v>25.68997679</v>
      </c>
      <c r="H9" s="49">
        <v>7.0</v>
      </c>
      <c r="I9" s="49">
        <v>0.0</v>
      </c>
      <c r="J9" s="53" t="s">
        <v>1365</v>
      </c>
    </row>
    <row r="10">
      <c r="B10" s="5">
        <v>8.0</v>
      </c>
      <c r="C10" s="11" t="s">
        <v>35</v>
      </c>
      <c r="D10" s="11" t="s">
        <v>36</v>
      </c>
      <c r="E10" s="11" t="s">
        <v>37</v>
      </c>
      <c r="F10" s="12">
        <v>37108.0</v>
      </c>
      <c r="G10" s="8">
        <f t="shared" si="1"/>
        <v>24.93972603</v>
      </c>
      <c r="H10" s="49">
        <v>8.0</v>
      </c>
      <c r="I10" s="49">
        <v>0.0</v>
      </c>
      <c r="J10" s="53" t="s">
        <v>1366</v>
      </c>
    </row>
    <row r="11">
      <c r="B11" s="5">
        <v>9.0</v>
      </c>
      <c r="C11" s="6" t="s">
        <v>42</v>
      </c>
      <c r="D11" s="6" t="s">
        <v>25</v>
      </c>
      <c r="E11" s="6" t="s">
        <v>43</v>
      </c>
      <c r="F11" s="12">
        <v>37243.0</v>
      </c>
      <c r="G11" s="8">
        <f t="shared" si="1"/>
        <v>24.56986301</v>
      </c>
      <c r="H11" s="49">
        <v>9.0</v>
      </c>
      <c r="I11" s="49">
        <v>0.0</v>
      </c>
      <c r="J11" s="53" t="s">
        <v>1367</v>
      </c>
    </row>
    <row r="12">
      <c r="B12" s="5">
        <v>10.0</v>
      </c>
      <c r="C12" s="6" t="s">
        <v>31</v>
      </c>
      <c r="D12" s="11" t="s">
        <v>25</v>
      </c>
      <c r="E12" s="6" t="s">
        <v>32</v>
      </c>
      <c r="F12" s="12">
        <v>35857.0</v>
      </c>
      <c r="G12" s="8">
        <f t="shared" si="1"/>
        <v>28.36438356</v>
      </c>
      <c r="H12" s="49">
        <v>16.0</v>
      </c>
      <c r="I12" s="301">
        <v>4.0</v>
      </c>
      <c r="J12" s="53" t="s">
        <v>1368</v>
      </c>
    </row>
    <row r="13">
      <c r="B13" s="5">
        <v>11.0</v>
      </c>
      <c r="C13" s="34" t="s">
        <v>1095</v>
      </c>
      <c r="D13" s="34" t="s">
        <v>10</v>
      </c>
      <c r="E13" s="34" t="s">
        <v>1369</v>
      </c>
      <c r="F13" s="30">
        <v>39281.0</v>
      </c>
      <c r="G13" s="31">
        <f t="shared" si="1"/>
        <v>18.9890411</v>
      </c>
      <c r="H13" s="49">
        <v>18.0</v>
      </c>
      <c r="I13" s="302">
        <v>-1.0</v>
      </c>
      <c r="J13" s="300" t="s">
        <v>1370</v>
      </c>
    </row>
    <row r="14">
      <c r="B14" s="5">
        <v>12.0</v>
      </c>
      <c r="C14" s="11" t="s">
        <v>60</v>
      </c>
      <c r="D14" s="11" t="s">
        <v>10</v>
      </c>
      <c r="E14" s="11" t="s">
        <v>15</v>
      </c>
      <c r="F14" s="12">
        <v>37377.0</v>
      </c>
      <c r="G14" s="8">
        <f t="shared" si="1"/>
        <v>24.20273973</v>
      </c>
      <c r="H14" s="49">
        <v>12.0</v>
      </c>
      <c r="I14" s="49">
        <v>0.0</v>
      </c>
      <c r="J14" s="53" t="s">
        <v>1371</v>
      </c>
    </row>
    <row r="15">
      <c r="B15" s="5">
        <v>13.0</v>
      </c>
      <c r="C15" s="11" t="s">
        <v>45</v>
      </c>
      <c r="D15" s="11" t="s">
        <v>14</v>
      </c>
      <c r="E15" s="11" t="s">
        <v>46</v>
      </c>
      <c r="F15" s="12">
        <v>36585.0</v>
      </c>
      <c r="G15" s="8">
        <f t="shared" si="1"/>
        <v>26.37030466</v>
      </c>
      <c r="H15" s="49">
        <v>15.0</v>
      </c>
      <c r="I15" s="303">
        <v>2.0</v>
      </c>
      <c r="J15" s="53" t="s">
        <v>1372</v>
      </c>
    </row>
    <row r="16">
      <c r="B16" s="5">
        <v>14.0</v>
      </c>
      <c r="C16" s="11" t="s">
        <v>54</v>
      </c>
      <c r="D16" s="11" t="s">
        <v>21</v>
      </c>
      <c r="E16" s="11" t="s">
        <v>55</v>
      </c>
      <c r="F16" s="12">
        <v>37462.0</v>
      </c>
      <c r="G16" s="8">
        <f t="shared" si="1"/>
        <v>23.96986301</v>
      </c>
      <c r="H16" s="49">
        <v>11.0</v>
      </c>
      <c r="I16" s="304">
        <v>-3.0</v>
      </c>
      <c r="J16" s="53" t="s">
        <v>1373</v>
      </c>
    </row>
    <row r="17">
      <c r="B17" s="5">
        <v>15.0</v>
      </c>
      <c r="C17" s="11" t="s">
        <v>76</v>
      </c>
      <c r="D17" s="11" t="s">
        <v>77</v>
      </c>
      <c r="E17" s="11" t="s">
        <v>15</v>
      </c>
      <c r="F17" s="12">
        <v>36995.0</v>
      </c>
      <c r="G17" s="8">
        <f t="shared" si="1"/>
        <v>25.24931507</v>
      </c>
      <c r="H17" s="49">
        <v>10.0</v>
      </c>
      <c r="I17" s="305">
        <v>3.0</v>
      </c>
      <c r="J17" s="53" t="s">
        <v>1374</v>
      </c>
    </row>
    <row r="18">
      <c r="B18" s="5">
        <v>16.0</v>
      </c>
      <c r="C18" s="6" t="s">
        <v>68</v>
      </c>
      <c r="D18" s="6" t="s">
        <v>10</v>
      </c>
      <c r="E18" s="6" t="s">
        <v>69</v>
      </c>
      <c r="F18" s="12">
        <v>37060.0</v>
      </c>
      <c r="G18" s="8">
        <f t="shared" si="1"/>
        <v>25.07123288</v>
      </c>
      <c r="H18" s="49">
        <v>13.0</v>
      </c>
      <c r="I18" s="304">
        <v>-3.0</v>
      </c>
      <c r="J18" s="53" t="s">
        <v>1375</v>
      </c>
    </row>
    <row r="19">
      <c r="B19" s="5">
        <v>17.0</v>
      </c>
      <c r="C19" s="11" t="s">
        <v>51</v>
      </c>
      <c r="D19" s="11" t="s">
        <v>25</v>
      </c>
      <c r="E19" s="11" t="s">
        <v>52</v>
      </c>
      <c r="F19" s="12">
        <v>37104.0</v>
      </c>
      <c r="G19" s="8">
        <f t="shared" si="1"/>
        <v>24.95068493</v>
      </c>
      <c r="H19" s="49">
        <v>17.0</v>
      </c>
      <c r="I19" s="49">
        <v>0.0</v>
      </c>
      <c r="J19" s="53" t="s">
        <v>1376</v>
      </c>
    </row>
    <row r="20">
      <c r="B20" s="5">
        <v>18.0</v>
      </c>
      <c r="C20" s="11" t="s">
        <v>62</v>
      </c>
      <c r="D20" s="6" t="s">
        <v>10</v>
      </c>
      <c r="E20" s="11" t="s">
        <v>213</v>
      </c>
      <c r="F20" s="12">
        <v>34674.0</v>
      </c>
      <c r="G20" s="8">
        <f t="shared" si="1"/>
        <v>31.60273973</v>
      </c>
      <c r="H20" s="49">
        <v>17.0</v>
      </c>
      <c r="I20" s="303">
        <v>2.0</v>
      </c>
      <c r="J20" s="53" t="s">
        <v>1377</v>
      </c>
    </row>
    <row r="21">
      <c r="B21" s="5">
        <v>19.0</v>
      </c>
      <c r="C21" s="29" t="s">
        <v>1100</v>
      </c>
      <c r="D21" s="29" t="s">
        <v>14</v>
      </c>
      <c r="E21" s="29" t="s">
        <v>1378</v>
      </c>
      <c r="F21" s="30">
        <v>39099.0</v>
      </c>
      <c r="G21" s="31">
        <f t="shared" si="1"/>
        <v>19.48767123</v>
      </c>
      <c r="H21" s="49">
        <v>19.0</v>
      </c>
      <c r="I21" s="304">
        <v>-3.0</v>
      </c>
      <c r="J21" s="300" t="s">
        <v>1379</v>
      </c>
    </row>
    <row r="22">
      <c r="B22" s="5">
        <v>20.0</v>
      </c>
      <c r="C22" s="11" t="s">
        <v>73</v>
      </c>
      <c r="D22" s="11" t="s">
        <v>74</v>
      </c>
      <c r="E22" s="11" t="s">
        <v>55</v>
      </c>
      <c r="F22" s="12">
        <v>37651.0</v>
      </c>
      <c r="G22" s="8">
        <f t="shared" si="1"/>
        <v>23.45205479</v>
      </c>
      <c r="H22" s="49">
        <v>14.0</v>
      </c>
      <c r="I22" s="302">
        <v>-1.0</v>
      </c>
      <c r="J22" s="53" t="s">
        <v>75</v>
      </c>
    </row>
    <row r="23">
      <c r="B23" s="5">
        <v>21.0</v>
      </c>
      <c r="C23" s="6" t="s">
        <v>79</v>
      </c>
      <c r="D23" s="6" t="s">
        <v>14</v>
      </c>
      <c r="E23" s="6" t="s">
        <v>18</v>
      </c>
      <c r="F23" s="12">
        <v>35944.0</v>
      </c>
      <c r="G23" s="8">
        <f t="shared" si="1"/>
        <v>28.1260274</v>
      </c>
      <c r="H23" s="49">
        <v>24.0</v>
      </c>
      <c r="I23" s="306">
        <v>1.0</v>
      </c>
      <c r="J23" s="53" t="s">
        <v>1380</v>
      </c>
    </row>
    <row r="24">
      <c r="B24" s="5">
        <v>22.0</v>
      </c>
      <c r="C24" s="11" t="s">
        <v>84</v>
      </c>
      <c r="D24" s="11" t="s">
        <v>14</v>
      </c>
      <c r="E24" s="11" t="s">
        <v>69</v>
      </c>
      <c r="F24" s="12">
        <v>35315.0</v>
      </c>
      <c r="G24" s="8">
        <f t="shared" si="1"/>
        <v>29.84844674</v>
      </c>
      <c r="H24" s="49">
        <v>23.0</v>
      </c>
      <c r="I24" s="306">
        <v>1.0</v>
      </c>
      <c r="J24" s="53" t="s">
        <v>1381</v>
      </c>
    </row>
    <row r="25">
      <c r="B25" s="5">
        <v>23.0</v>
      </c>
      <c r="C25" s="11" t="s">
        <v>81</v>
      </c>
      <c r="D25" s="11" t="s">
        <v>77</v>
      </c>
      <c r="E25" s="11" t="s">
        <v>82</v>
      </c>
      <c r="F25" s="12">
        <v>37130.0</v>
      </c>
      <c r="G25" s="8">
        <f t="shared" si="1"/>
        <v>24.87945205</v>
      </c>
      <c r="H25" s="49">
        <v>21.0</v>
      </c>
      <c r="I25" s="307">
        <v>-2.0</v>
      </c>
      <c r="J25" s="53" t="s">
        <v>1382</v>
      </c>
    </row>
    <row r="26">
      <c r="B26" s="5">
        <v>24.0</v>
      </c>
      <c r="C26" s="11" t="s">
        <v>94</v>
      </c>
      <c r="D26" s="11" t="s">
        <v>25</v>
      </c>
      <c r="E26" s="6" t="s">
        <v>95</v>
      </c>
      <c r="F26" s="12">
        <v>36894.0</v>
      </c>
      <c r="G26" s="8">
        <f t="shared" si="1"/>
        <v>25.5260274</v>
      </c>
      <c r="H26" s="49">
        <v>29.0</v>
      </c>
      <c r="I26" s="303">
        <v>2.0</v>
      </c>
      <c r="J26" s="53" t="s">
        <v>1383</v>
      </c>
    </row>
    <row r="27">
      <c r="B27" s="5">
        <v>25.0</v>
      </c>
      <c r="C27" s="29" t="s">
        <v>1104</v>
      </c>
      <c r="D27" s="29" t="s">
        <v>36</v>
      </c>
      <c r="E27" s="29" t="s">
        <v>1384</v>
      </c>
      <c r="F27" s="30">
        <v>39111.0</v>
      </c>
      <c r="G27" s="31">
        <f t="shared" si="1"/>
        <v>19.45479452</v>
      </c>
      <c r="H27" s="49">
        <v>28.0</v>
      </c>
      <c r="I27" s="303">
        <v>2.0</v>
      </c>
      <c r="J27" s="300" t="s">
        <v>1385</v>
      </c>
    </row>
    <row r="28">
      <c r="B28" s="5">
        <v>26.0</v>
      </c>
      <c r="C28" s="6" t="s">
        <v>125</v>
      </c>
      <c r="D28" s="6" t="s">
        <v>14</v>
      </c>
      <c r="E28" s="6" t="s">
        <v>66</v>
      </c>
      <c r="F28" s="12">
        <v>36057.0</v>
      </c>
      <c r="G28" s="8">
        <f t="shared" si="1"/>
        <v>27.81643836</v>
      </c>
      <c r="H28" s="49">
        <v>22.0</v>
      </c>
      <c r="I28" s="307">
        <v>-2.0</v>
      </c>
      <c r="J28" s="53" t="s">
        <v>1386</v>
      </c>
    </row>
    <row r="29">
      <c r="B29" s="5">
        <v>27.0</v>
      </c>
      <c r="C29" s="6" t="s">
        <v>110</v>
      </c>
      <c r="D29" s="6" t="s">
        <v>36</v>
      </c>
      <c r="E29" s="6" t="s">
        <v>111</v>
      </c>
      <c r="F29" s="12">
        <v>35368.0</v>
      </c>
      <c r="G29" s="8">
        <f t="shared" si="1"/>
        <v>29.703638</v>
      </c>
      <c r="H29" s="49">
        <v>25.0</v>
      </c>
      <c r="I29" s="306">
        <v>1.0</v>
      </c>
      <c r="J29" s="53" t="s">
        <v>1387</v>
      </c>
    </row>
    <row r="30">
      <c r="B30" s="5">
        <v>28.0</v>
      </c>
      <c r="C30" s="11" t="s">
        <v>105</v>
      </c>
      <c r="D30" s="11" t="s">
        <v>14</v>
      </c>
      <c r="E30" s="11" t="s">
        <v>106</v>
      </c>
      <c r="F30" s="12">
        <v>35308.0</v>
      </c>
      <c r="G30" s="8">
        <f t="shared" si="1"/>
        <v>29.86757242</v>
      </c>
      <c r="H30" s="49">
        <v>26.0</v>
      </c>
      <c r="I30" s="304">
        <v>-3.0</v>
      </c>
      <c r="J30" s="53" t="s">
        <v>1388</v>
      </c>
    </row>
    <row r="31">
      <c r="B31" s="5">
        <v>29.0</v>
      </c>
      <c r="C31" s="6" t="s">
        <v>102</v>
      </c>
      <c r="D31" s="6" t="s">
        <v>14</v>
      </c>
      <c r="E31" s="6" t="s">
        <v>90</v>
      </c>
      <c r="F31" s="12">
        <v>37125.0</v>
      </c>
      <c r="G31" s="8">
        <f t="shared" si="1"/>
        <v>24.89315068</v>
      </c>
      <c r="H31" s="49">
        <v>31.0</v>
      </c>
      <c r="I31" s="303">
        <v>2.0</v>
      </c>
      <c r="J31" s="53" t="s">
        <v>1389</v>
      </c>
    </row>
    <row r="32">
      <c r="B32" s="5">
        <v>30.0</v>
      </c>
      <c r="C32" s="11" t="s">
        <v>86</v>
      </c>
      <c r="D32" s="6" t="s">
        <v>74</v>
      </c>
      <c r="E32" s="6" t="s">
        <v>87</v>
      </c>
      <c r="F32" s="12">
        <v>37539.0</v>
      </c>
      <c r="G32" s="8">
        <f t="shared" si="1"/>
        <v>23.75890411</v>
      </c>
      <c r="H32" s="49">
        <v>30.0</v>
      </c>
      <c r="I32" s="49">
        <v>0.0</v>
      </c>
      <c r="J32" s="53" t="s">
        <v>1390</v>
      </c>
    </row>
    <row r="33">
      <c r="B33" s="5">
        <v>31.0</v>
      </c>
      <c r="C33" s="29" t="s">
        <v>89</v>
      </c>
      <c r="D33" s="29" t="s">
        <v>36</v>
      </c>
      <c r="E33" s="29" t="s">
        <v>90</v>
      </c>
      <c r="F33" s="30">
        <v>38567.0</v>
      </c>
      <c r="G33" s="31">
        <f t="shared" si="1"/>
        <v>20.94520548</v>
      </c>
      <c r="H33" s="49">
        <v>43.0</v>
      </c>
      <c r="I33" s="308">
        <v>6.0</v>
      </c>
      <c r="J33" s="300" t="s">
        <v>1391</v>
      </c>
    </row>
    <row r="34">
      <c r="B34" s="5">
        <v>32.0</v>
      </c>
      <c r="C34" s="29" t="s">
        <v>71</v>
      </c>
      <c r="D34" s="29" t="s">
        <v>14</v>
      </c>
      <c r="E34" s="29" t="s">
        <v>11</v>
      </c>
      <c r="F34" s="30">
        <v>38778.0</v>
      </c>
      <c r="G34" s="31">
        <f t="shared" si="1"/>
        <v>20.36712329</v>
      </c>
      <c r="H34" s="49">
        <v>27.0</v>
      </c>
      <c r="I34" s="304">
        <v>-3.0</v>
      </c>
      <c r="J34" s="300" t="s">
        <v>1392</v>
      </c>
    </row>
    <row r="35">
      <c r="B35" s="5">
        <v>33.0</v>
      </c>
      <c r="C35" s="11" t="s">
        <v>113</v>
      </c>
      <c r="D35" s="11" t="s">
        <v>77</v>
      </c>
      <c r="E35" s="11" t="s">
        <v>114</v>
      </c>
      <c r="F35" s="12">
        <v>36695.0</v>
      </c>
      <c r="G35" s="8">
        <f t="shared" si="1"/>
        <v>26.06975822</v>
      </c>
      <c r="H35" s="49">
        <v>35.0</v>
      </c>
      <c r="I35" s="49">
        <v>0.0</v>
      </c>
      <c r="J35" s="53" t="s">
        <v>1393</v>
      </c>
    </row>
    <row r="36">
      <c r="B36" s="5">
        <v>34.0</v>
      </c>
      <c r="C36" s="11" t="s">
        <v>118</v>
      </c>
      <c r="D36" s="11" t="s">
        <v>25</v>
      </c>
      <c r="E36" s="11" t="s">
        <v>82</v>
      </c>
      <c r="F36" s="12">
        <v>37572.0</v>
      </c>
      <c r="G36" s="8">
        <f t="shared" si="1"/>
        <v>23.66849315</v>
      </c>
      <c r="H36" s="49">
        <v>32.0</v>
      </c>
      <c r="I36" s="306">
        <v>1.0</v>
      </c>
      <c r="J36" s="53" t="s">
        <v>1394</v>
      </c>
    </row>
    <row r="37">
      <c r="B37" s="5">
        <v>35.0</v>
      </c>
      <c r="C37" s="15" t="s">
        <v>108</v>
      </c>
      <c r="D37" s="11" t="s">
        <v>21</v>
      </c>
      <c r="E37" s="11" t="s">
        <v>29</v>
      </c>
      <c r="F37" s="46">
        <v>37943.0</v>
      </c>
      <c r="G37" s="8">
        <f t="shared" si="1"/>
        <v>22.65205479</v>
      </c>
      <c r="H37" s="49">
        <v>36.0</v>
      </c>
      <c r="I37" s="302">
        <v>-1.0</v>
      </c>
      <c r="J37" s="53" t="s">
        <v>1395</v>
      </c>
    </row>
    <row r="38">
      <c r="B38" s="5">
        <v>36.0</v>
      </c>
      <c r="C38" s="6" t="s">
        <v>138</v>
      </c>
      <c r="D38" s="11" t="s">
        <v>10</v>
      </c>
      <c r="E38" s="6" t="s">
        <v>66</v>
      </c>
      <c r="F38" s="12">
        <v>38468.0</v>
      </c>
      <c r="G38" s="8">
        <f t="shared" si="1"/>
        <v>21.21643836</v>
      </c>
      <c r="H38" s="49">
        <v>34.0</v>
      </c>
      <c r="I38" s="49">
        <v>0.0</v>
      </c>
      <c r="J38" s="53" t="s">
        <v>1396</v>
      </c>
    </row>
    <row r="39">
      <c r="B39" s="5">
        <v>37.0</v>
      </c>
      <c r="C39" s="6" t="s">
        <v>100</v>
      </c>
      <c r="D39" s="6" t="s">
        <v>14</v>
      </c>
      <c r="E39" s="6" t="s">
        <v>22</v>
      </c>
      <c r="F39" s="12">
        <v>35484.0</v>
      </c>
      <c r="G39" s="8">
        <f t="shared" si="1"/>
        <v>29.38630137</v>
      </c>
      <c r="H39" s="49">
        <v>40.0</v>
      </c>
      <c r="I39" s="303">
        <v>2.0</v>
      </c>
      <c r="J39" s="53" t="s">
        <v>1397</v>
      </c>
    </row>
    <row r="40">
      <c r="B40" s="5">
        <v>38.0</v>
      </c>
      <c r="C40" s="29" t="s">
        <v>1107</v>
      </c>
      <c r="D40" s="29" t="s">
        <v>25</v>
      </c>
      <c r="E40" s="29" t="s">
        <v>1398</v>
      </c>
      <c r="F40" s="30">
        <v>38916.0</v>
      </c>
      <c r="G40" s="31">
        <f t="shared" si="1"/>
        <v>19.9890411</v>
      </c>
      <c r="H40" s="49">
        <v>56.0</v>
      </c>
      <c r="I40" s="309">
        <v>13.0</v>
      </c>
      <c r="J40" s="300" t="s">
        <v>1399</v>
      </c>
    </row>
    <row r="41">
      <c r="B41" s="5">
        <v>39.0</v>
      </c>
      <c r="C41" s="11" t="s">
        <v>97</v>
      </c>
      <c r="D41" s="11" t="s">
        <v>14</v>
      </c>
      <c r="E41" s="11" t="s">
        <v>98</v>
      </c>
      <c r="F41" s="12">
        <v>36551.0</v>
      </c>
      <c r="G41" s="8">
        <f t="shared" si="1"/>
        <v>26.46320084</v>
      </c>
      <c r="H41" s="49">
        <v>37.0</v>
      </c>
      <c r="I41" s="310">
        <v>-7.0</v>
      </c>
      <c r="J41" s="53" t="s">
        <v>1400</v>
      </c>
    </row>
    <row r="42">
      <c r="B42" s="5">
        <v>40.0</v>
      </c>
      <c r="C42" s="11" t="s">
        <v>120</v>
      </c>
      <c r="D42" s="11" t="s">
        <v>10</v>
      </c>
      <c r="E42" s="6" t="s">
        <v>58</v>
      </c>
      <c r="F42" s="12">
        <v>36418.0</v>
      </c>
      <c r="G42" s="8">
        <f t="shared" si="1"/>
        <v>26.82739726</v>
      </c>
      <c r="H42" s="49">
        <v>39.0</v>
      </c>
      <c r="I42" s="302">
        <v>-1.0</v>
      </c>
      <c r="J42" s="53" t="s">
        <v>1401</v>
      </c>
    </row>
    <row r="43">
      <c r="B43" s="5">
        <v>41.0</v>
      </c>
      <c r="C43" s="29" t="s">
        <v>130</v>
      </c>
      <c r="D43" s="29" t="s">
        <v>14</v>
      </c>
      <c r="E43" s="34" t="s">
        <v>40</v>
      </c>
      <c r="F43" s="30">
        <v>38563.0</v>
      </c>
      <c r="G43" s="31">
        <f t="shared" si="1"/>
        <v>20.95616438</v>
      </c>
      <c r="H43" s="49">
        <v>47.0</v>
      </c>
      <c r="I43" s="301">
        <v>4.0</v>
      </c>
      <c r="J43" s="300" t="s">
        <v>1402</v>
      </c>
    </row>
    <row r="44">
      <c r="B44" s="5">
        <v>42.0</v>
      </c>
      <c r="C44" s="6" t="s">
        <v>116</v>
      </c>
      <c r="D44" s="6" t="s">
        <v>10</v>
      </c>
      <c r="E44" s="6" t="s">
        <v>106</v>
      </c>
      <c r="F44" s="12">
        <v>35018.0</v>
      </c>
      <c r="G44" s="8">
        <f t="shared" si="1"/>
        <v>30.66027397</v>
      </c>
      <c r="H44" s="49">
        <v>33.0</v>
      </c>
      <c r="I44" s="311">
        <v>-4.0</v>
      </c>
      <c r="J44" s="53" t="s">
        <v>1403</v>
      </c>
    </row>
    <row r="45">
      <c r="B45" s="5">
        <v>43.0</v>
      </c>
      <c r="C45" s="11" t="s">
        <v>127</v>
      </c>
      <c r="D45" s="11" t="s">
        <v>10</v>
      </c>
      <c r="E45" s="11" t="s">
        <v>128</v>
      </c>
      <c r="F45" s="12">
        <v>35629.0</v>
      </c>
      <c r="G45" s="8">
        <f t="shared" si="1"/>
        <v>28.9890411</v>
      </c>
      <c r="H45" s="49">
        <v>41.0</v>
      </c>
      <c r="I45" s="49">
        <v>0.0</v>
      </c>
      <c r="J45" s="53" t="s">
        <v>1404</v>
      </c>
    </row>
    <row r="46">
      <c r="B46" s="5">
        <v>44.0</v>
      </c>
      <c r="C46" s="11" t="s">
        <v>122</v>
      </c>
      <c r="D46" s="11" t="s">
        <v>36</v>
      </c>
      <c r="E46" s="6" t="s">
        <v>32</v>
      </c>
      <c r="F46" s="12">
        <v>35362.0</v>
      </c>
      <c r="G46" s="8">
        <f t="shared" si="1"/>
        <v>29.72003144</v>
      </c>
      <c r="H46" s="49">
        <v>42.0</v>
      </c>
      <c r="I46" s="307">
        <v>-2.0</v>
      </c>
      <c r="J46" s="53" t="s">
        <v>1405</v>
      </c>
    </row>
    <row r="47">
      <c r="B47" s="5">
        <v>45.0</v>
      </c>
      <c r="C47" s="6" t="s">
        <v>173</v>
      </c>
      <c r="D47" s="6" t="s">
        <v>14</v>
      </c>
      <c r="E47" s="6" t="s">
        <v>11</v>
      </c>
      <c r="F47" s="12">
        <v>35784.0</v>
      </c>
      <c r="G47" s="8">
        <f t="shared" si="1"/>
        <v>28.56438356</v>
      </c>
      <c r="H47" s="49">
        <v>38.0</v>
      </c>
      <c r="I47" s="312">
        <v>-5.0</v>
      </c>
      <c r="J47" s="53" t="s">
        <v>1406</v>
      </c>
    </row>
    <row r="48">
      <c r="B48" s="5">
        <v>46.0</v>
      </c>
      <c r="C48" s="29" t="s">
        <v>1119</v>
      </c>
      <c r="D48" s="29" t="s">
        <v>14</v>
      </c>
      <c r="E48" s="29" t="s">
        <v>1407</v>
      </c>
      <c r="F48" s="30">
        <v>39085.0</v>
      </c>
      <c r="G48" s="31">
        <f t="shared" si="1"/>
        <v>19.5260274</v>
      </c>
      <c r="H48" s="49">
        <v>57.0</v>
      </c>
      <c r="I48" s="313">
        <v>10.0</v>
      </c>
      <c r="J48" s="300" t="s">
        <v>1408</v>
      </c>
    </row>
    <row r="49">
      <c r="B49" s="5">
        <v>47.0</v>
      </c>
      <c r="C49" s="11" t="s">
        <v>144</v>
      </c>
      <c r="D49" s="11" t="s">
        <v>36</v>
      </c>
      <c r="E49" s="6" t="s">
        <v>82</v>
      </c>
      <c r="F49" s="12">
        <v>35971.0</v>
      </c>
      <c r="G49" s="8">
        <f t="shared" si="1"/>
        <v>28.05205479</v>
      </c>
      <c r="H49" s="49">
        <v>48.0</v>
      </c>
      <c r="I49" s="304">
        <v>-3.0</v>
      </c>
      <c r="J49" s="53" t="s">
        <v>145</v>
      </c>
    </row>
    <row r="50">
      <c r="B50" s="5">
        <v>48.0</v>
      </c>
      <c r="C50" s="11" t="s">
        <v>140</v>
      </c>
      <c r="D50" s="11" t="s">
        <v>25</v>
      </c>
      <c r="E50" s="6" t="s">
        <v>58</v>
      </c>
      <c r="F50" s="12">
        <v>35572.0</v>
      </c>
      <c r="G50" s="8">
        <f t="shared" si="1"/>
        <v>29.14520548</v>
      </c>
      <c r="H50" s="49">
        <v>49.0</v>
      </c>
      <c r="I50" s="303">
        <v>2.0</v>
      </c>
      <c r="J50" s="53" t="s">
        <v>141</v>
      </c>
    </row>
    <row r="51">
      <c r="B51" s="5">
        <v>49.0</v>
      </c>
      <c r="C51" s="11" t="s">
        <v>169</v>
      </c>
      <c r="D51" s="11" t="s">
        <v>14</v>
      </c>
      <c r="E51" s="11" t="s">
        <v>69</v>
      </c>
      <c r="F51" s="39">
        <v>32746.0</v>
      </c>
      <c r="G51" s="8">
        <f t="shared" si="1"/>
        <v>36.88219178</v>
      </c>
      <c r="H51" s="49">
        <v>51.0</v>
      </c>
      <c r="I51" s="307">
        <v>-2.0</v>
      </c>
      <c r="J51" s="53" t="s">
        <v>1409</v>
      </c>
    </row>
    <row r="52">
      <c r="B52" s="5">
        <v>50.0</v>
      </c>
      <c r="C52" s="11" t="s">
        <v>166</v>
      </c>
      <c r="D52" s="11" t="s">
        <v>10</v>
      </c>
      <c r="E52" s="11" t="s">
        <v>167</v>
      </c>
      <c r="F52" s="12">
        <v>35188.0</v>
      </c>
      <c r="G52" s="8">
        <f t="shared" si="1"/>
        <v>30.19544128</v>
      </c>
      <c r="H52" s="49">
        <v>45.0</v>
      </c>
      <c r="I52" s="311">
        <v>-4.0</v>
      </c>
      <c r="J52" s="53" t="s">
        <v>1410</v>
      </c>
    </row>
    <row r="53">
      <c r="B53" s="5">
        <v>51.0</v>
      </c>
      <c r="C53" s="6" t="s">
        <v>171</v>
      </c>
      <c r="D53" s="6" t="s">
        <v>25</v>
      </c>
      <c r="E53" s="6" t="s">
        <v>55</v>
      </c>
      <c r="F53" s="12">
        <v>32415.0</v>
      </c>
      <c r="G53" s="8">
        <f t="shared" si="1"/>
        <v>37.78833745</v>
      </c>
      <c r="H53" s="49">
        <v>50.0</v>
      </c>
      <c r="I53" s="304">
        <v>-3.0</v>
      </c>
      <c r="J53" s="53" t="s">
        <v>1411</v>
      </c>
    </row>
    <row r="54">
      <c r="B54" s="5">
        <v>52.0</v>
      </c>
      <c r="C54" s="6" t="s">
        <v>175</v>
      </c>
      <c r="D54" s="6" t="s">
        <v>14</v>
      </c>
      <c r="E54" s="6" t="s">
        <v>176</v>
      </c>
      <c r="F54" s="12">
        <v>32216.0</v>
      </c>
      <c r="G54" s="8">
        <f t="shared" si="1"/>
        <v>38.3320533</v>
      </c>
      <c r="H54" s="49">
        <v>53.0</v>
      </c>
      <c r="I54" s="305">
        <v>3.0</v>
      </c>
      <c r="J54" s="53" t="s">
        <v>1412</v>
      </c>
    </row>
    <row r="55">
      <c r="B55" s="5">
        <v>53.0</v>
      </c>
      <c r="C55" s="14" t="s">
        <v>195</v>
      </c>
      <c r="D55" s="6" t="s">
        <v>14</v>
      </c>
      <c r="E55" s="6" t="s">
        <v>128</v>
      </c>
      <c r="F55" s="12">
        <v>36545.0</v>
      </c>
      <c r="G55" s="8">
        <f t="shared" si="1"/>
        <v>26.47959428</v>
      </c>
      <c r="H55" s="49">
        <v>44.0</v>
      </c>
      <c r="I55" s="311">
        <v>-4.0</v>
      </c>
      <c r="J55" s="53" t="s">
        <v>1413</v>
      </c>
    </row>
    <row r="56">
      <c r="B56" s="5">
        <v>54.0</v>
      </c>
      <c r="C56" s="11" t="s">
        <v>178</v>
      </c>
      <c r="D56" s="11" t="s">
        <v>10</v>
      </c>
      <c r="E56" s="6" t="s">
        <v>66</v>
      </c>
      <c r="F56" s="12">
        <v>34039.0</v>
      </c>
      <c r="G56" s="8">
        <f t="shared" si="1"/>
        <v>33.34246575</v>
      </c>
      <c r="H56" s="49">
        <v>46.0</v>
      </c>
      <c r="I56" s="314">
        <v>-6.0</v>
      </c>
      <c r="J56" s="53" t="s">
        <v>1414</v>
      </c>
    </row>
    <row r="57">
      <c r="B57" s="5">
        <v>55.0</v>
      </c>
      <c r="C57" s="11" t="s">
        <v>134</v>
      </c>
      <c r="D57" s="11" t="s">
        <v>25</v>
      </c>
      <c r="E57" s="6" t="s">
        <v>90</v>
      </c>
      <c r="F57" s="12">
        <v>37582.0</v>
      </c>
      <c r="G57" s="8">
        <f t="shared" si="1"/>
        <v>23.64109589</v>
      </c>
      <c r="H57" s="49">
        <v>54.0</v>
      </c>
      <c r="I57" s="307">
        <v>-2.0</v>
      </c>
      <c r="J57" s="53" t="s">
        <v>1415</v>
      </c>
    </row>
    <row r="58">
      <c r="B58" s="5">
        <v>56.0</v>
      </c>
      <c r="C58" s="6" t="s">
        <v>146</v>
      </c>
      <c r="D58" s="6" t="s">
        <v>14</v>
      </c>
      <c r="E58" s="6" t="s">
        <v>58</v>
      </c>
      <c r="F58" s="12">
        <v>37933.0</v>
      </c>
      <c r="G58" s="8">
        <f t="shared" si="1"/>
        <v>22.67945205</v>
      </c>
      <c r="H58" s="49">
        <v>82.0</v>
      </c>
      <c r="I58" s="315">
        <v>21.0</v>
      </c>
      <c r="J58" s="53" t="s">
        <v>1416</v>
      </c>
    </row>
    <row r="59">
      <c r="B59" s="5">
        <v>57.0</v>
      </c>
      <c r="C59" s="11" t="s">
        <v>155</v>
      </c>
      <c r="D59" s="11" t="s">
        <v>21</v>
      </c>
      <c r="E59" s="11" t="s">
        <v>46</v>
      </c>
      <c r="F59" s="12">
        <v>35507.0</v>
      </c>
      <c r="G59" s="8">
        <f t="shared" si="1"/>
        <v>29.32328767</v>
      </c>
      <c r="H59" s="50">
        <v>55.0</v>
      </c>
      <c r="I59" s="316">
        <v>3.0</v>
      </c>
      <c r="J59" s="55" t="s">
        <v>1417</v>
      </c>
    </row>
    <row r="60">
      <c r="B60" s="5">
        <v>58.0</v>
      </c>
      <c r="C60" s="14" t="s">
        <v>142</v>
      </c>
      <c r="D60" s="14" t="s">
        <v>21</v>
      </c>
      <c r="E60" s="14" t="s">
        <v>49</v>
      </c>
      <c r="F60" s="16">
        <v>37390.0</v>
      </c>
      <c r="G60" s="17">
        <f t="shared" si="1"/>
        <v>24.16712329</v>
      </c>
      <c r="H60" s="49">
        <v>52.0</v>
      </c>
      <c r="I60" s="314">
        <v>-6.0</v>
      </c>
      <c r="J60" s="51" t="s">
        <v>1418</v>
      </c>
    </row>
    <row r="61">
      <c r="B61" s="5">
        <v>59.0</v>
      </c>
      <c r="C61" s="6" t="s">
        <v>132</v>
      </c>
      <c r="D61" s="6" t="s">
        <v>74</v>
      </c>
      <c r="E61" s="6" t="s">
        <v>11</v>
      </c>
      <c r="F61" s="12">
        <v>38292.0</v>
      </c>
      <c r="G61" s="8">
        <f t="shared" si="1"/>
        <v>21.69817352</v>
      </c>
      <c r="H61" s="49">
        <v>59.0</v>
      </c>
      <c r="I61" s="302">
        <v>-1.0</v>
      </c>
      <c r="J61" s="53" t="s">
        <v>1419</v>
      </c>
    </row>
    <row r="62">
      <c r="B62" s="5">
        <v>60.0</v>
      </c>
      <c r="C62" s="14" t="s">
        <v>185</v>
      </c>
      <c r="D62" s="6" t="s">
        <v>14</v>
      </c>
      <c r="E62" s="6" t="s">
        <v>32</v>
      </c>
      <c r="F62" s="12">
        <v>34517.0</v>
      </c>
      <c r="G62" s="8">
        <f t="shared" si="1"/>
        <v>32.03287671</v>
      </c>
      <c r="H62" s="49">
        <v>72.0</v>
      </c>
      <c r="I62" s="317">
        <v>5.0</v>
      </c>
      <c r="J62" s="53" t="s">
        <v>1420</v>
      </c>
    </row>
    <row r="63">
      <c r="B63" s="5">
        <v>61.0</v>
      </c>
      <c r="C63" s="6" t="s">
        <v>136</v>
      </c>
      <c r="D63" s="6" t="s">
        <v>21</v>
      </c>
      <c r="E63" s="6" t="s">
        <v>95</v>
      </c>
      <c r="F63" s="12">
        <v>38040.0</v>
      </c>
      <c r="G63" s="8">
        <f t="shared" si="1"/>
        <v>22.38669811</v>
      </c>
      <c r="H63" s="49">
        <v>91.0</v>
      </c>
      <c r="I63" s="309">
        <v>13.0</v>
      </c>
      <c r="J63" s="53" t="s">
        <v>1421</v>
      </c>
    </row>
    <row r="64">
      <c r="B64" s="5">
        <v>62.0</v>
      </c>
      <c r="C64" s="6" t="s">
        <v>150</v>
      </c>
      <c r="D64" s="6" t="s">
        <v>10</v>
      </c>
      <c r="E64" s="6" t="s">
        <v>43</v>
      </c>
      <c r="F64" s="12">
        <v>36871.0</v>
      </c>
      <c r="G64" s="8">
        <f t="shared" si="1"/>
        <v>25.5888839</v>
      </c>
      <c r="H64" s="49">
        <v>66.0</v>
      </c>
      <c r="I64" s="317">
        <v>5.0</v>
      </c>
      <c r="J64" s="53" t="s">
        <v>1422</v>
      </c>
    </row>
    <row r="65">
      <c r="B65" s="5">
        <v>63.0</v>
      </c>
      <c r="C65" s="6" t="s">
        <v>191</v>
      </c>
      <c r="D65" s="11" t="s">
        <v>10</v>
      </c>
      <c r="E65" s="6" t="s">
        <v>46</v>
      </c>
      <c r="F65" s="12">
        <v>34426.0</v>
      </c>
      <c r="G65" s="8">
        <f t="shared" si="1"/>
        <v>32.28219178</v>
      </c>
      <c r="H65" s="49">
        <v>58.0</v>
      </c>
      <c r="I65" s="302">
        <v>-1.0</v>
      </c>
      <c r="J65" s="53" t="s">
        <v>1423</v>
      </c>
    </row>
    <row r="66">
      <c r="B66" s="5">
        <v>64.0</v>
      </c>
      <c r="C66" s="29" t="s">
        <v>232</v>
      </c>
      <c r="D66" s="29" t="s">
        <v>10</v>
      </c>
      <c r="E66" s="29" t="s">
        <v>114</v>
      </c>
      <c r="F66" s="30">
        <v>38348.0</v>
      </c>
      <c r="G66" s="31">
        <f t="shared" si="1"/>
        <v>21.54516805</v>
      </c>
      <c r="H66" s="49">
        <v>61.0</v>
      </c>
      <c r="I66" s="312">
        <v>-5.0</v>
      </c>
      <c r="J66" s="300" t="s">
        <v>1424</v>
      </c>
    </row>
    <row r="67">
      <c r="B67" s="5">
        <v>65.0</v>
      </c>
      <c r="C67" s="6" t="s">
        <v>163</v>
      </c>
      <c r="D67" s="6" t="s">
        <v>21</v>
      </c>
      <c r="E67" s="6" t="s">
        <v>128</v>
      </c>
      <c r="F67" s="12">
        <v>38097.0</v>
      </c>
      <c r="G67" s="8">
        <f t="shared" si="1"/>
        <v>22.2309604</v>
      </c>
      <c r="H67" s="49">
        <v>62.0</v>
      </c>
      <c r="I67" s="307">
        <v>-2.0</v>
      </c>
      <c r="J67" s="53" t="s">
        <v>1425</v>
      </c>
    </row>
    <row r="68">
      <c r="B68" s="5">
        <v>66.0</v>
      </c>
      <c r="C68" s="11" t="s">
        <v>217</v>
      </c>
      <c r="D68" s="11" t="s">
        <v>14</v>
      </c>
      <c r="E68" s="11" t="s">
        <v>49</v>
      </c>
      <c r="F68" s="12">
        <v>36382.0</v>
      </c>
      <c r="G68" s="8">
        <f t="shared" si="1"/>
        <v>26.9260274</v>
      </c>
      <c r="H68" s="49">
        <v>64.0</v>
      </c>
      <c r="I68" s="49">
        <v>0.0</v>
      </c>
      <c r="J68" s="53" t="s">
        <v>1426</v>
      </c>
    </row>
    <row r="69">
      <c r="B69" s="5">
        <v>67.0</v>
      </c>
      <c r="C69" s="6" t="s">
        <v>189</v>
      </c>
      <c r="D69" s="6" t="s">
        <v>10</v>
      </c>
      <c r="E69" s="6" t="s">
        <v>114</v>
      </c>
      <c r="F69" s="12">
        <v>36713.0</v>
      </c>
      <c r="G69" s="8">
        <f t="shared" si="1"/>
        <v>26.02057789</v>
      </c>
      <c r="H69" s="49">
        <v>63.0</v>
      </c>
      <c r="I69" s="304">
        <v>-3.0</v>
      </c>
      <c r="J69" s="53" t="s">
        <v>1427</v>
      </c>
    </row>
    <row r="70">
      <c r="B70" s="5">
        <v>68.0</v>
      </c>
      <c r="C70" s="29" t="s">
        <v>1110</v>
      </c>
      <c r="D70" s="29" t="s">
        <v>14</v>
      </c>
      <c r="E70" s="34" t="s">
        <v>1428</v>
      </c>
      <c r="F70" s="30">
        <v>39116.0</v>
      </c>
      <c r="G70" s="31">
        <f t="shared" si="1"/>
        <v>19.44109589</v>
      </c>
      <c r="H70" s="318" t="s">
        <v>371</v>
      </c>
      <c r="I70" s="319">
        <v>7.0</v>
      </c>
      <c r="J70" s="300" t="s">
        <v>1429</v>
      </c>
    </row>
    <row r="71">
      <c r="B71" s="5">
        <v>69.0</v>
      </c>
      <c r="C71" s="6" t="s">
        <v>152</v>
      </c>
      <c r="D71" s="6" t="s">
        <v>21</v>
      </c>
      <c r="E71" s="6" t="s">
        <v>58</v>
      </c>
      <c r="F71" s="12">
        <v>37098.0</v>
      </c>
      <c r="G71" s="8">
        <f t="shared" si="1"/>
        <v>24.96712329</v>
      </c>
      <c r="H71" s="49">
        <v>76.0</v>
      </c>
      <c r="I71" s="305">
        <v>3.0</v>
      </c>
      <c r="J71" s="53" t="s">
        <v>1430</v>
      </c>
    </row>
    <row r="72">
      <c r="B72" s="5">
        <v>70.0</v>
      </c>
      <c r="C72" s="6" t="s">
        <v>203</v>
      </c>
      <c r="D72" s="6" t="s">
        <v>14</v>
      </c>
      <c r="E72" s="6" t="s">
        <v>43</v>
      </c>
      <c r="F72" s="12">
        <v>37697.0</v>
      </c>
      <c r="G72" s="8">
        <f t="shared" si="1"/>
        <v>23.3260274</v>
      </c>
      <c r="H72" s="49">
        <v>60.0</v>
      </c>
      <c r="I72" s="320">
        <v>-9.0</v>
      </c>
      <c r="J72" s="53" t="s">
        <v>1431</v>
      </c>
    </row>
    <row r="73">
      <c r="B73" s="5">
        <v>71.0</v>
      </c>
      <c r="C73" s="6" t="s">
        <v>199</v>
      </c>
      <c r="D73" s="11" t="s">
        <v>14</v>
      </c>
      <c r="E73" s="11" t="s">
        <v>82</v>
      </c>
      <c r="F73" s="12">
        <v>37045.0</v>
      </c>
      <c r="G73" s="8">
        <f t="shared" si="1"/>
        <v>25.11232877</v>
      </c>
      <c r="H73" s="49">
        <v>89.0</v>
      </c>
      <c r="I73" s="321">
        <v>18.0</v>
      </c>
      <c r="J73" s="53" t="s">
        <v>1432</v>
      </c>
    </row>
    <row r="74">
      <c r="B74" s="5">
        <v>72.0</v>
      </c>
      <c r="C74" s="11" t="s">
        <v>180</v>
      </c>
      <c r="D74" s="11" t="s">
        <v>77</v>
      </c>
      <c r="E74" s="11" t="s">
        <v>106</v>
      </c>
      <c r="F74" s="12">
        <v>35628.0</v>
      </c>
      <c r="G74" s="8">
        <f t="shared" si="1"/>
        <v>28.99178082</v>
      </c>
      <c r="H74" s="49">
        <v>68.0</v>
      </c>
      <c r="I74" s="311">
        <v>-4.0</v>
      </c>
      <c r="J74" s="53" t="s">
        <v>181</v>
      </c>
    </row>
    <row r="75">
      <c r="B75" s="5">
        <v>73.0</v>
      </c>
      <c r="C75" s="11" t="s">
        <v>187</v>
      </c>
      <c r="D75" s="11" t="s">
        <v>25</v>
      </c>
      <c r="E75" s="11" t="s">
        <v>87</v>
      </c>
      <c r="F75" s="12">
        <v>38263.0</v>
      </c>
      <c r="G75" s="8">
        <f t="shared" si="1"/>
        <v>21.77740849</v>
      </c>
      <c r="H75" s="49">
        <v>67.0</v>
      </c>
      <c r="I75" s="311">
        <v>-4.0</v>
      </c>
      <c r="J75" s="53" t="s">
        <v>1433</v>
      </c>
    </row>
    <row r="76">
      <c r="B76" s="5">
        <v>74.0</v>
      </c>
      <c r="C76" s="6" t="s">
        <v>226</v>
      </c>
      <c r="D76" s="11" t="s">
        <v>14</v>
      </c>
      <c r="E76" s="6" t="s">
        <v>55</v>
      </c>
      <c r="F76" s="12">
        <v>38162.0</v>
      </c>
      <c r="G76" s="8">
        <f t="shared" si="1"/>
        <v>22.05336477</v>
      </c>
      <c r="H76" s="49">
        <v>74.0</v>
      </c>
      <c r="I76" s="301">
        <v>4.0</v>
      </c>
      <c r="J76" s="53" t="s">
        <v>1434</v>
      </c>
    </row>
    <row r="77">
      <c r="B77" s="5">
        <v>75.0</v>
      </c>
      <c r="C77" s="14" t="s">
        <v>228</v>
      </c>
      <c r="D77" s="14" t="s">
        <v>21</v>
      </c>
      <c r="E77" s="14" t="s">
        <v>15</v>
      </c>
      <c r="F77" s="16">
        <v>35920.0</v>
      </c>
      <c r="G77" s="17">
        <f t="shared" si="1"/>
        <v>28.19178082</v>
      </c>
      <c r="H77" s="49">
        <v>70.0</v>
      </c>
      <c r="I77" s="312">
        <v>-5.0</v>
      </c>
      <c r="J77" s="51" t="s">
        <v>1435</v>
      </c>
    </row>
    <row r="78">
      <c r="B78" s="5">
        <v>76.0</v>
      </c>
      <c r="C78" s="6" t="s">
        <v>201</v>
      </c>
      <c r="D78" s="6" t="s">
        <v>14</v>
      </c>
      <c r="E78" s="6" t="s">
        <v>26</v>
      </c>
      <c r="F78" s="12">
        <v>33686.0</v>
      </c>
      <c r="G78" s="8">
        <f t="shared" si="1"/>
        <v>34.30746313</v>
      </c>
      <c r="H78" s="49">
        <v>71.0</v>
      </c>
      <c r="I78" s="306">
        <v>1.0</v>
      </c>
      <c r="J78" s="53" t="s">
        <v>1436</v>
      </c>
    </row>
    <row r="79">
      <c r="B79" s="5">
        <v>77.0</v>
      </c>
      <c r="C79" s="34" t="s">
        <v>1113</v>
      </c>
      <c r="D79" s="34" t="s">
        <v>14</v>
      </c>
      <c r="E79" s="34" t="s">
        <v>1437</v>
      </c>
      <c r="F79" s="30">
        <v>38810.0</v>
      </c>
      <c r="G79" s="31">
        <f t="shared" si="1"/>
        <v>20.27945205</v>
      </c>
      <c r="H79" s="49">
        <v>69.0</v>
      </c>
      <c r="I79" s="302">
        <v>-1.0</v>
      </c>
      <c r="J79" s="300" t="s">
        <v>159</v>
      </c>
    </row>
    <row r="80">
      <c r="B80" s="5">
        <v>78.0</v>
      </c>
      <c r="C80" s="6" t="s">
        <v>205</v>
      </c>
      <c r="D80" s="6" t="s">
        <v>36</v>
      </c>
      <c r="E80" s="6" t="s">
        <v>98</v>
      </c>
      <c r="F80" s="12">
        <v>33418.0</v>
      </c>
      <c r="G80" s="8">
        <f t="shared" si="1"/>
        <v>35.04109589</v>
      </c>
      <c r="H80" s="49">
        <v>102.0</v>
      </c>
      <c r="I80" s="322">
        <v>20.0</v>
      </c>
      <c r="J80" s="53" t="s">
        <v>1438</v>
      </c>
    </row>
    <row r="81">
      <c r="B81" s="5">
        <v>79.0</v>
      </c>
      <c r="C81" s="11" t="s">
        <v>222</v>
      </c>
      <c r="D81" s="11" t="s">
        <v>21</v>
      </c>
      <c r="E81" s="6" t="s">
        <v>69</v>
      </c>
      <c r="F81" s="12">
        <v>35906.0</v>
      </c>
      <c r="G81" s="8">
        <f t="shared" si="1"/>
        <v>28.23013699</v>
      </c>
      <c r="H81" s="49">
        <v>81.0</v>
      </c>
      <c r="I81" s="323">
        <v>12.0</v>
      </c>
      <c r="J81" s="53" t="s">
        <v>1439</v>
      </c>
    </row>
    <row r="82">
      <c r="B82" s="5">
        <v>80.0</v>
      </c>
      <c r="C82" s="6" t="s">
        <v>220</v>
      </c>
      <c r="D82" s="6" t="s">
        <v>36</v>
      </c>
      <c r="E82" s="6" t="s">
        <v>66</v>
      </c>
      <c r="F82" s="46">
        <v>37967.0</v>
      </c>
      <c r="G82" s="8">
        <f t="shared" si="1"/>
        <v>22.58630137</v>
      </c>
      <c r="H82" s="49">
        <v>83.0</v>
      </c>
      <c r="I82" s="319">
        <v>7.0</v>
      </c>
      <c r="J82" s="53" t="s">
        <v>1440</v>
      </c>
    </row>
    <row r="83">
      <c r="B83" s="5">
        <v>81.0</v>
      </c>
      <c r="C83" s="34" t="s">
        <v>210</v>
      </c>
      <c r="D83" s="34" t="s">
        <v>36</v>
      </c>
      <c r="E83" s="34" t="s">
        <v>49</v>
      </c>
      <c r="F83" s="30">
        <v>37875.0</v>
      </c>
      <c r="G83" s="31">
        <f t="shared" si="1"/>
        <v>22.83835616</v>
      </c>
      <c r="H83" s="49">
        <v>86.0</v>
      </c>
      <c r="I83" s="301">
        <v>4.0</v>
      </c>
      <c r="J83" s="300" t="s">
        <v>211</v>
      </c>
    </row>
    <row r="84">
      <c r="B84" s="5">
        <v>82.0</v>
      </c>
      <c r="C84" s="29" t="s">
        <v>242</v>
      </c>
      <c r="D84" s="29" t="s">
        <v>25</v>
      </c>
      <c r="E84" s="34" t="s">
        <v>58</v>
      </c>
      <c r="F84" s="30">
        <v>38942.0</v>
      </c>
      <c r="G84" s="31">
        <f t="shared" si="1"/>
        <v>19.91780822</v>
      </c>
      <c r="H84" s="49">
        <v>75.0</v>
      </c>
      <c r="I84" s="307">
        <v>-2.0</v>
      </c>
      <c r="J84" s="300" t="s">
        <v>1441</v>
      </c>
    </row>
    <row r="85">
      <c r="B85" s="5">
        <v>83.0</v>
      </c>
      <c r="C85" s="11" t="s">
        <v>224</v>
      </c>
      <c r="D85" s="11" t="s">
        <v>36</v>
      </c>
      <c r="E85" s="6" t="s">
        <v>29</v>
      </c>
      <c r="F85" s="12">
        <v>37651.0</v>
      </c>
      <c r="G85" s="8">
        <f t="shared" si="1"/>
        <v>23.45205479</v>
      </c>
      <c r="H85" s="49">
        <v>65.0</v>
      </c>
      <c r="I85" s="324">
        <v>-12.0</v>
      </c>
      <c r="J85" s="53" t="s">
        <v>1442</v>
      </c>
    </row>
    <row r="86">
      <c r="B86" s="5">
        <v>84.0</v>
      </c>
      <c r="C86" s="11" t="s">
        <v>160</v>
      </c>
      <c r="D86" s="11" t="s">
        <v>25</v>
      </c>
      <c r="E86" s="11" t="s">
        <v>52</v>
      </c>
      <c r="F86" s="12">
        <v>35675.0</v>
      </c>
      <c r="G86" s="8">
        <f t="shared" si="1"/>
        <v>28.8630137</v>
      </c>
      <c r="H86" s="49">
        <v>78.0</v>
      </c>
      <c r="I86" s="307">
        <v>-2.0</v>
      </c>
      <c r="J86" s="53" t="s">
        <v>1443</v>
      </c>
    </row>
    <row r="87">
      <c r="B87" s="5">
        <v>85.0</v>
      </c>
      <c r="C87" s="6" t="s">
        <v>234</v>
      </c>
      <c r="D87" s="11" t="s">
        <v>36</v>
      </c>
      <c r="E87" s="11" t="s">
        <v>106</v>
      </c>
      <c r="F87" s="12">
        <v>35307.0</v>
      </c>
      <c r="G87" s="8">
        <f t="shared" si="1"/>
        <v>29.87030466</v>
      </c>
      <c r="H87" s="49">
        <v>73.0</v>
      </c>
      <c r="I87" s="314">
        <v>-6.0</v>
      </c>
      <c r="J87" s="53" t="s">
        <v>1444</v>
      </c>
    </row>
    <row r="88">
      <c r="B88" s="5">
        <v>86.0</v>
      </c>
      <c r="C88" s="6" t="s">
        <v>215</v>
      </c>
      <c r="D88" s="6" t="s">
        <v>21</v>
      </c>
      <c r="E88" s="6" t="s">
        <v>40</v>
      </c>
      <c r="F88" s="12">
        <v>34409.0</v>
      </c>
      <c r="G88" s="8">
        <f t="shared" si="1"/>
        <v>32.32876712</v>
      </c>
      <c r="H88" s="49">
        <v>87.0</v>
      </c>
      <c r="I88" s="307">
        <v>-2.0</v>
      </c>
      <c r="J88" s="53" t="s">
        <v>1445</v>
      </c>
    </row>
    <row r="89">
      <c r="B89" s="5">
        <v>87.0</v>
      </c>
      <c r="C89" s="34" t="s">
        <v>1170</v>
      </c>
      <c r="D89" s="34" t="s">
        <v>10</v>
      </c>
      <c r="E89" s="34" t="s">
        <v>1446</v>
      </c>
      <c r="F89" s="30">
        <v>39274.0</v>
      </c>
      <c r="G89" s="31">
        <f t="shared" si="1"/>
        <v>19.00821918</v>
      </c>
      <c r="H89" s="49">
        <v>80.0</v>
      </c>
      <c r="I89" s="306">
        <v>1.0</v>
      </c>
      <c r="J89" s="300" t="s">
        <v>1447</v>
      </c>
    </row>
    <row r="90">
      <c r="B90" s="5">
        <v>88.0</v>
      </c>
      <c r="C90" s="34" t="s">
        <v>1130</v>
      </c>
      <c r="D90" s="34" t="s">
        <v>14</v>
      </c>
      <c r="E90" s="34" t="s">
        <v>1448</v>
      </c>
      <c r="F90" s="30">
        <v>38613.0</v>
      </c>
      <c r="G90" s="31">
        <f t="shared" si="1"/>
        <v>20.81917808</v>
      </c>
      <c r="H90" s="49" t="s">
        <v>371</v>
      </c>
      <c r="I90" s="325">
        <v>43.0</v>
      </c>
      <c r="J90" s="300" t="s">
        <v>273</v>
      </c>
    </row>
    <row r="91">
      <c r="B91" s="5">
        <v>89.0</v>
      </c>
      <c r="C91" s="6" t="s">
        <v>240</v>
      </c>
      <c r="D91" s="6" t="s">
        <v>14</v>
      </c>
      <c r="E91" s="6" t="s">
        <v>95</v>
      </c>
      <c r="F91" s="12">
        <v>38020.0</v>
      </c>
      <c r="G91" s="8">
        <f t="shared" si="1"/>
        <v>22.44134291</v>
      </c>
      <c r="H91" s="49">
        <v>77.0</v>
      </c>
      <c r="I91" s="314">
        <v>-6.0</v>
      </c>
      <c r="J91" s="53" t="s">
        <v>1449</v>
      </c>
    </row>
    <row r="92">
      <c r="B92" s="5">
        <v>90.0</v>
      </c>
      <c r="C92" s="11" t="s">
        <v>197</v>
      </c>
      <c r="D92" s="11" t="s">
        <v>25</v>
      </c>
      <c r="E92" s="11" t="s">
        <v>37</v>
      </c>
      <c r="F92" s="12">
        <v>36798.0</v>
      </c>
      <c r="G92" s="8">
        <f t="shared" si="1"/>
        <v>25.78833745</v>
      </c>
      <c r="H92" s="49">
        <v>88.0</v>
      </c>
      <c r="I92" s="49">
        <v>0.0</v>
      </c>
      <c r="J92" s="53" t="s">
        <v>198</v>
      </c>
    </row>
    <row r="93">
      <c r="B93" s="5">
        <v>91.0</v>
      </c>
      <c r="C93" s="6" t="s">
        <v>258</v>
      </c>
      <c r="D93" s="6" t="s">
        <v>14</v>
      </c>
      <c r="E93" s="6" t="s">
        <v>52</v>
      </c>
      <c r="F93" s="12">
        <v>36328.0</v>
      </c>
      <c r="G93" s="8">
        <f t="shared" si="1"/>
        <v>27.0739726</v>
      </c>
      <c r="H93" s="49">
        <v>84.0</v>
      </c>
      <c r="I93" s="312">
        <v>-5.0</v>
      </c>
      <c r="J93" s="53" t="s">
        <v>259</v>
      </c>
    </row>
    <row r="94">
      <c r="B94" s="5">
        <v>92.0</v>
      </c>
      <c r="C94" s="6" t="s">
        <v>249</v>
      </c>
      <c r="D94" s="6" t="s">
        <v>25</v>
      </c>
      <c r="E94" s="6" t="s">
        <v>158</v>
      </c>
      <c r="F94" s="12">
        <v>35975.0</v>
      </c>
      <c r="G94" s="8">
        <f t="shared" si="1"/>
        <v>28.04109589</v>
      </c>
      <c r="H94" s="49">
        <v>95.0</v>
      </c>
      <c r="I94" s="304">
        <v>-3.0</v>
      </c>
      <c r="J94" s="53" t="s">
        <v>1450</v>
      </c>
    </row>
    <row r="95">
      <c r="B95" s="5">
        <v>93.0</v>
      </c>
      <c r="C95" s="29" t="s">
        <v>1116</v>
      </c>
      <c r="D95" s="34" t="s">
        <v>183</v>
      </c>
      <c r="E95" s="34" t="s">
        <v>1451</v>
      </c>
      <c r="F95" s="30">
        <v>39037.0</v>
      </c>
      <c r="G95" s="31">
        <f t="shared" si="1"/>
        <v>19.65753425</v>
      </c>
      <c r="H95" s="49" t="s">
        <v>371</v>
      </c>
      <c r="I95" s="321">
        <v>18.0</v>
      </c>
      <c r="J95" s="300" t="s">
        <v>184</v>
      </c>
    </row>
    <row r="96">
      <c r="B96" s="5">
        <v>94.0</v>
      </c>
      <c r="C96" s="34" t="s">
        <v>276</v>
      </c>
      <c r="D96" s="34" t="s">
        <v>14</v>
      </c>
      <c r="E96" s="34" t="s">
        <v>114</v>
      </c>
      <c r="F96" s="30">
        <v>39004.0</v>
      </c>
      <c r="G96" s="31">
        <f t="shared" si="1"/>
        <v>19.74794521</v>
      </c>
      <c r="H96" s="49">
        <v>79.0</v>
      </c>
      <c r="I96" s="326">
        <v>-13.0</v>
      </c>
      <c r="J96" s="300" t="s">
        <v>1452</v>
      </c>
    </row>
    <row r="97">
      <c r="B97" s="5">
        <v>95.0</v>
      </c>
      <c r="C97" s="6" t="s">
        <v>246</v>
      </c>
      <c r="D97" s="6" t="s">
        <v>21</v>
      </c>
      <c r="E97" s="6" t="s">
        <v>158</v>
      </c>
      <c r="F97" s="12">
        <v>36267.0</v>
      </c>
      <c r="G97" s="8">
        <f t="shared" si="1"/>
        <v>27.24109589</v>
      </c>
      <c r="H97" s="49">
        <v>101.0</v>
      </c>
      <c r="I97" s="327">
        <v>9.0</v>
      </c>
      <c r="J97" s="53" t="s">
        <v>1453</v>
      </c>
    </row>
    <row r="98">
      <c r="B98" s="5">
        <v>96.0</v>
      </c>
      <c r="C98" s="34" t="s">
        <v>193</v>
      </c>
      <c r="D98" s="34" t="s">
        <v>10</v>
      </c>
      <c r="E98" s="34" t="s">
        <v>52</v>
      </c>
      <c r="F98" s="30">
        <v>38513.0</v>
      </c>
      <c r="G98" s="31">
        <f t="shared" si="1"/>
        <v>21.09315068</v>
      </c>
      <c r="H98" s="49">
        <v>120.0</v>
      </c>
      <c r="I98" s="305">
        <v>3.0</v>
      </c>
      <c r="J98" s="300" t="s">
        <v>1454</v>
      </c>
    </row>
    <row r="99">
      <c r="B99" s="5">
        <v>97.0</v>
      </c>
      <c r="C99" s="6" t="s">
        <v>254</v>
      </c>
      <c r="D99" s="6" t="s">
        <v>25</v>
      </c>
      <c r="E99" s="6" t="s">
        <v>55</v>
      </c>
      <c r="F99" s="12">
        <v>37021.0</v>
      </c>
      <c r="G99" s="8">
        <f t="shared" si="1"/>
        <v>25.17808219</v>
      </c>
      <c r="H99" s="49">
        <v>92.0</v>
      </c>
      <c r="I99" s="49">
        <v>0.0</v>
      </c>
      <c r="J99" s="53" t="s">
        <v>1455</v>
      </c>
    </row>
    <row r="100">
      <c r="B100" s="5">
        <v>98.0</v>
      </c>
      <c r="C100" s="11" t="s">
        <v>238</v>
      </c>
      <c r="D100" s="11" t="s">
        <v>14</v>
      </c>
      <c r="E100" s="11" t="s">
        <v>90</v>
      </c>
      <c r="F100" s="12">
        <v>36572.0</v>
      </c>
      <c r="G100" s="8">
        <f t="shared" si="1"/>
        <v>26.40582379</v>
      </c>
      <c r="H100" s="49">
        <v>90.0</v>
      </c>
      <c r="I100" s="314">
        <v>-6.0</v>
      </c>
      <c r="J100" s="53" t="s">
        <v>1456</v>
      </c>
    </row>
    <row r="101">
      <c r="B101" s="5">
        <v>99.0</v>
      </c>
      <c r="C101" s="6" t="s">
        <v>266</v>
      </c>
      <c r="D101" s="6" t="s">
        <v>267</v>
      </c>
      <c r="E101" s="6" t="s">
        <v>37</v>
      </c>
      <c r="F101" s="12">
        <v>34667.0</v>
      </c>
      <c r="G101" s="8">
        <f t="shared" si="1"/>
        <v>31.62191781</v>
      </c>
      <c r="H101" s="49">
        <v>93.0</v>
      </c>
      <c r="I101" s="314">
        <v>-6.0</v>
      </c>
      <c r="J101" s="53" t="s">
        <v>1457</v>
      </c>
    </row>
    <row r="102">
      <c r="B102" s="5">
        <v>100.0</v>
      </c>
      <c r="C102" s="6" t="s">
        <v>212</v>
      </c>
      <c r="D102" s="6" t="s">
        <v>14</v>
      </c>
      <c r="E102" s="6" t="s">
        <v>213</v>
      </c>
      <c r="F102" s="12">
        <v>37440.0</v>
      </c>
      <c r="G102" s="8">
        <f t="shared" si="1"/>
        <v>24.03013699</v>
      </c>
      <c r="H102" s="49">
        <v>107.0</v>
      </c>
      <c r="I102" s="317">
        <v>5.0</v>
      </c>
      <c r="J102" s="53" t="s">
        <v>1458</v>
      </c>
    </row>
    <row r="103">
      <c r="B103" s="5">
        <v>101.0</v>
      </c>
      <c r="C103" s="6" t="s">
        <v>270</v>
      </c>
      <c r="D103" s="6" t="s">
        <v>74</v>
      </c>
      <c r="E103" s="6" t="s">
        <v>82</v>
      </c>
      <c r="F103" s="12">
        <v>38006.0</v>
      </c>
      <c r="G103" s="8">
        <f t="shared" si="1"/>
        <v>22.47959428</v>
      </c>
      <c r="H103" s="49">
        <v>129.0</v>
      </c>
      <c r="I103" s="327">
        <v>9.0</v>
      </c>
      <c r="J103" s="53" t="s">
        <v>1459</v>
      </c>
    </row>
    <row r="104">
      <c r="B104" s="5">
        <v>102.0</v>
      </c>
      <c r="C104" s="11" t="s">
        <v>322</v>
      </c>
      <c r="D104" s="11" t="s">
        <v>36</v>
      </c>
      <c r="E104" s="11" t="s">
        <v>95</v>
      </c>
      <c r="F104" s="12">
        <v>37771.0</v>
      </c>
      <c r="G104" s="8">
        <f t="shared" si="1"/>
        <v>23.12328767</v>
      </c>
      <c r="H104" s="49">
        <v>99.0</v>
      </c>
      <c r="I104" s="314">
        <v>-6.0</v>
      </c>
      <c r="J104" s="53" t="s">
        <v>323</v>
      </c>
    </row>
    <row r="105">
      <c r="B105" s="5">
        <v>103.0</v>
      </c>
      <c r="C105" s="6" t="s">
        <v>230</v>
      </c>
      <c r="D105" s="6" t="s">
        <v>36</v>
      </c>
      <c r="E105" s="6" t="s">
        <v>43</v>
      </c>
      <c r="F105" s="12">
        <v>36040.0</v>
      </c>
      <c r="G105" s="8">
        <f t="shared" si="1"/>
        <v>27.8630137</v>
      </c>
      <c r="H105" s="49">
        <v>140.0</v>
      </c>
      <c r="I105" s="328">
        <v>11.0</v>
      </c>
      <c r="J105" s="53" t="s">
        <v>1460</v>
      </c>
    </row>
    <row r="106">
      <c r="B106" s="5">
        <v>104.0</v>
      </c>
      <c r="C106" s="11" t="s">
        <v>286</v>
      </c>
      <c r="D106" s="6" t="s">
        <v>14</v>
      </c>
      <c r="E106" s="11" t="s">
        <v>114</v>
      </c>
      <c r="F106" s="12">
        <v>35327.0</v>
      </c>
      <c r="G106" s="8">
        <f t="shared" si="1"/>
        <v>29.81565985</v>
      </c>
      <c r="H106" s="49">
        <v>132.0</v>
      </c>
      <c r="I106" s="329">
        <v>29.0</v>
      </c>
      <c r="J106" s="53" t="s">
        <v>287</v>
      </c>
    </row>
    <row r="107">
      <c r="B107" s="5">
        <v>105.0</v>
      </c>
      <c r="C107" s="6" t="s">
        <v>280</v>
      </c>
      <c r="D107" s="6" t="s">
        <v>21</v>
      </c>
      <c r="E107" s="6" t="s">
        <v>111</v>
      </c>
      <c r="F107" s="12">
        <v>37241.0</v>
      </c>
      <c r="G107" s="8">
        <f t="shared" si="1"/>
        <v>24.57534247</v>
      </c>
      <c r="H107" s="49">
        <v>94.0</v>
      </c>
      <c r="I107" s="330">
        <v>-11.0</v>
      </c>
      <c r="J107" s="53" t="s">
        <v>1461</v>
      </c>
    </row>
    <row r="108">
      <c r="B108" s="5">
        <v>106.0</v>
      </c>
      <c r="C108" s="11" t="s">
        <v>293</v>
      </c>
      <c r="D108" s="11" t="s">
        <v>36</v>
      </c>
      <c r="E108" s="6" t="s">
        <v>167</v>
      </c>
      <c r="F108" s="12">
        <v>34768.0</v>
      </c>
      <c r="G108" s="8">
        <f t="shared" si="1"/>
        <v>31.34520548</v>
      </c>
      <c r="H108" s="49">
        <v>103.0</v>
      </c>
      <c r="I108" s="49">
        <v>0.0</v>
      </c>
      <c r="J108" s="53" t="s">
        <v>294</v>
      </c>
    </row>
    <row r="109">
      <c r="B109" s="5">
        <v>107.0</v>
      </c>
      <c r="C109" s="6" t="s">
        <v>284</v>
      </c>
      <c r="D109" s="6" t="s">
        <v>267</v>
      </c>
      <c r="E109" s="6" t="s">
        <v>55</v>
      </c>
      <c r="F109" s="12">
        <v>37754.0</v>
      </c>
      <c r="G109" s="8">
        <f t="shared" si="1"/>
        <v>23.16986301</v>
      </c>
      <c r="H109" s="49">
        <v>110.0</v>
      </c>
      <c r="I109" s="322">
        <v>20.0</v>
      </c>
      <c r="J109" s="53" t="s">
        <v>1462</v>
      </c>
    </row>
    <row r="110">
      <c r="B110" s="5">
        <v>108.0</v>
      </c>
      <c r="C110" s="14" t="s">
        <v>327</v>
      </c>
      <c r="D110" s="14" t="s">
        <v>21</v>
      </c>
      <c r="E110" s="14" t="s">
        <v>52</v>
      </c>
      <c r="F110" s="16">
        <v>34987.0</v>
      </c>
      <c r="G110" s="17">
        <f t="shared" si="1"/>
        <v>30.74520548</v>
      </c>
      <c r="H110" s="49">
        <v>97.0</v>
      </c>
      <c r="I110" s="314">
        <v>-6.0</v>
      </c>
      <c r="J110" s="51" t="s">
        <v>1463</v>
      </c>
    </row>
    <row r="111">
      <c r="B111" s="5">
        <v>109.0</v>
      </c>
      <c r="C111" s="6" t="s">
        <v>244</v>
      </c>
      <c r="D111" s="6" t="s">
        <v>14</v>
      </c>
      <c r="E111" s="6" t="s">
        <v>32</v>
      </c>
      <c r="F111" s="12">
        <v>35823.0</v>
      </c>
      <c r="G111" s="8">
        <f t="shared" si="1"/>
        <v>28.45753425</v>
      </c>
      <c r="H111" s="49">
        <v>111.0</v>
      </c>
      <c r="I111" s="301">
        <v>4.0</v>
      </c>
      <c r="J111" s="53" t="s">
        <v>1464</v>
      </c>
    </row>
    <row r="112">
      <c r="B112" s="5">
        <v>110.0</v>
      </c>
      <c r="C112" s="11" t="s">
        <v>274</v>
      </c>
      <c r="D112" s="11" t="s">
        <v>14</v>
      </c>
      <c r="E112" s="11" t="s">
        <v>111</v>
      </c>
      <c r="F112" s="12">
        <v>37296.0</v>
      </c>
      <c r="G112" s="8">
        <f t="shared" si="1"/>
        <v>24.42465753</v>
      </c>
      <c r="H112" s="49">
        <v>98.0</v>
      </c>
      <c r="I112" s="310">
        <v>-7.0</v>
      </c>
      <c r="J112" s="53" t="s">
        <v>1465</v>
      </c>
    </row>
    <row r="113">
      <c r="B113" s="5">
        <v>111.0</v>
      </c>
      <c r="C113" s="6" t="s">
        <v>305</v>
      </c>
      <c r="D113" s="6" t="s">
        <v>21</v>
      </c>
      <c r="E113" s="6" t="s">
        <v>213</v>
      </c>
      <c r="F113" s="12">
        <v>35148.0</v>
      </c>
      <c r="G113" s="8">
        <f t="shared" si="1"/>
        <v>30.30473089</v>
      </c>
      <c r="H113" s="49">
        <v>85.0</v>
      </c>
      <c r="I113" s="331">
        <v>-10.0</v>
      </c>
      <c r="J113" s="53" t="s">
        <v>306</v>
      </c>
    </row>
    <row r="114">
      <c r="B114" s="5">
        <v>112.0</v>
      </c>
      <c r="C114" s="6" t="s">
        <v>282</v>
      </c>
      <c r="D114" s="6" t="s">
        <v>25</v>
      </c>
      <c r="E114" s="6" t="s">
        <v>167</v>
      </c>
      <c r="F114" s="12">
        <v>36757.0</v>
      </c>
      <c r="G114" s="8">
        <f t="shared" si="1"/>
        <v>25.90035931</v>
      </c>
      <c r="H114" s="49">
        <v>109.0</v>
      </c>
      <c r="I114" s="304">
        <v>-3.0</v>
      </c>
      <c r="J114" s="53" t="s">
        <v>283</v>
      </c>
    </row>
    <row r="115">
      <c r="B115" s="5">
        <v>113.0</v>
      </c>
      <c r="C115" s="34" t="s">
        <v>316</v>
      </c>
      <c r="D115" s="34" t="s">
        <v>36</v>
      </c>
      <c r="E115" s="34" t="s">
        <v>66</v>
      </c>
      <c r="F115" s="30">
        <v>38783.0</v>
      </c>
      <c r="G115" s="31">
        <f t="shared" si="1"/>
        <v>20.35342466</v>
      </c>
      <c r="H115" s="49">
        <v>105.0</v>
      </c>
      <c r="I115" s="326">
        <v>-13.0</v>
      </c>
      <c r="J115" s="300" t="s">
        <v>1466</v>
      </c>
    </row>
    <row r="116">
      <c r="B116" s="5">
        <v>114.0</v>
      </c>
      <c r="C116" s="11" t="s">
        <v>251</v>
      </c>
      <c r="D116" s="11" t="s">
        <v>10</v>
      </c>
      <c r="E116" s="11" t="s">
        <v>37</v>
      </c>
      <c r="F116" s="12">
        <v>36397.0</v>
      </c>
      <c r="G116" s="8">
        <f t="shared" si="1"/>
        <v>26.88493151</v>
      </c>
      <c r="H116" s="49">
        <v>104.0</v>
      </c>
      <c r="I116" s="314">
        <v>-6.0</v>
      </c>
      <c r="J116" s="53" t="s">
        <v>1467</v>
      </c>
    </row>
    <row r="117">
      <c r="B117" s="5">
        <v>115.0</v>
      </c>
      <c r="C117" s="6" t="s">
        <v>303</v>
      </c>
      <c r="D117" s="11" t="s">
        <v>36</v>
      </c>
      <c r="E117" s="11" t="s">
        <v>11</v>
      </c>
      <c r="F117" s="12">
        <v>36761.0</v>
      </c>
      <c r="G117" s="8">
        <f t="shared" si="1"/>
        <v>25.88943035</v>
      </c>
      <c r="H117" s="49">
        <v>115.0</v>
      </c>
      <c r="I117" s="306">
        <v>1.0</v>
      </c>
      <c r="J117" s="53" t="s">
        <v>304</v>
      </c>
    </row>
    <row r="118">
      <c r="B118" s="5">
        <v>116.0</v>
      </c>
      <c r="C118" s="6" t="s">
        <v>256</v>
      </c>
      <c r="D118" s="6" t="s">
        <v>25</v>
      </c>
      <c r="E118" s="6" t="s">
        <v>22</v>
      </c>
      <c r="F118" s="12">
        <v>37510.0</v>
      </c>
      <c r="G118" s="8">
        <f t="shared" si="1"/>
        <v>23.83835616</v>
      </c>
      <c r="H118" s="49">
        <v>204.0</v>
      </c>
      <c r="I118" s="319">
        <v>7.0</v>
      </c>
      <c r="J118" s="53" t="s">
        <v>257</v>
      </c>
    </row>
    <row r="119">
      <c r="B119" s="5">
        <v>117.0</v>
      </c>
      <c r="C119" s="34" t="s">
        <v>262</v>
      </c>
      <c r="D119" s="34" t="s">
        <v>74</v>
      </c>
      <c r="E119" s="34" t="s">
        <v>158</v>
      </c>
      <c r="F119" s="30">
        <v>38779.0</v>
      </c>
      <c r="G119" s="31">
        <f t="shared" si="1"/>
        <v>20.36438356</v>
      </c>
      <c r="H119" s="49">
        <v>108.0</v>
      </c>
      <c r="I119" s="331">
        <v>-10.0</v>
      </c>
      <c r="J119" s="300" t="s">
        <v>1468</v>
      </c>
    </row>
    <row r="120">
      <c r="B120" s="5">
        <v>118.0</v>
      </c>
      <c r="C120" s="11" t="s">
        <v>297</v>
      </c>
      <c r="D120" s="11" t="s">
        <v>14</v>
      </c>
      <c r="E120" s="6" t="s">
        <v>46</v>
      </c>
      <c r="F120" s="12">
        <v>36541.0</v>
      </c>
      <c r="G120" s="8">
        <f t="shared" si="1"/>
        <v>26.49052324</v>
      </c>
      <c r="H120" s="49">
        <v>116.0</v>
      </c>
      <c r="I120" s="307">
        <v>-2.0</v>
      </c>
      <c r="J120" s="53" t="s">
        <v>1469</v>
      </c>
    </row>
    <row r="121">
      <c r="B121" s="5">
        <v>119.0</v>
      </c>
      <c r="C121" s="6" t="s">
        <v>260</v>
      </c>
      <c r="D121" s="6" t="s">
        <v>14</v>
      </c>
      <c r="E121" s="6" t="s">
        <v>15</v>
      </c>
      <c r="F121" s="12">
        <v>37432.0</v>
      </c>
      <c r="G121" s="8">
        <f t="shared" si="1"/>
        <v>24.05205479</v>
      </c>
      <c r="H121" s="49">
        <v>128.0</v>
      </c>
      <c r="I121" s="317">
        <v>5.0</v>
      </c>
      <c r="J121" s="53" t="s">
        <v>1470</v>
      </c>
    </row>
    <row r="122">
      <c r="B122" s="5">
        <v>120.0</v>
      </c>
      <c r="C122" s="34" t="s">
        <v>1140</v>
      </c>
      <c r="D122" s="34" t="s">
        <v>25</v>
      </c>
      <c r="E122" s="34" t="s">
        <v>1471</v>
      </c>
      <c r="F122" s="30">
        <v>38548.0</v>
      </c>
      <c r="G122" s="31">
        <f t="shared" si="1"/>
        <v>20.99726027</v>
      </c>
      <c r="H122" s="318" t="s">
        <v>371</v>
      </c>
      <c r="I122" s="318" t="s">
        <v>371</v>
      </c>
      <c r="J122" s="300" t="s">
        <v>330</v>
      </c>
    </row>
    <row r="123">
      <c r="B123" s="5">
        <v>121.0</v>
      </c>
      <c r="C123" s="6" t="s">
        <v>320</v>
      </c>
      <c r="D123" s="6" t="s">
        <v>10</v>
      </c>
      <c r="E123" s="6" t="s">
        <v>26</v>
      </c>
      <c r="F123" s="12">
        <v>36030.0</v>
      </c>
      <c r="G123" s="8">
        <f t="shared" si="1"/>
        <v>27.89041096</v>
      </c>
      <c r="H123" s="49">
        <v>112.0</v>
      </c>
      <c r="I123" s="49">
        <v>0.0</v>
      </c>
      <c r="J123" s="53" t="s">
        <v>1472</v>
      </c>
    </row>
    <row r="124">
      <c r="B124" s="5">
        <v>122.0</v>
      </c>
      <c r="C124" s="11" t="s">
        <v>291</v>
      </c>
      <c r="D124" s="11" t="s">
        <v>14</v>
      </c>
      <c r="E124" s="11" t="s">
        <v>15</v>
      </c>
      <c r="F124" s="12">
        <v>37932.0</v>
      </c>
      <c r="G124" s="8">
        <f t="shared" si="1"/>
        <v>22.68219178</v>
      </c>
      <c r="H124" s="49">
        <v>131.0</v>
      </c>
      <c r="I124" s="332">
        <v>15.0</v>
      </c>
      <c r="J124" s="53" t="s">
        <v>292</v>
      </c>
    </row>
    <row r="125">
      <c r="B125" s="5">
        <v>123.0</v>
      </c>
      <c r="C125" s="6" t="s">
        <v>335</v>
      </c>
      <c r="D125" s="6" t="s">
        <v>10</v>
      </c>
      <c r="E125" s="6" t="s">
        <v>176</v>
      </c>
      <c r="F125" s="12">
        <v>34913.0</v>
      </c>
      <c r="G125" s="8">
        <f t="shared" si="1"/>
        <v>30.94794521</v>
      </c>
      <c r="H125" s="49">
        <v>106.0</v>
      </c>
      <c r="I125" s="312">
        <v>-5.0</v>
      </c>
      <c r="J125" s="53" t="s">
        <v>1473</v>
      </c>
    </row>
    <row r="126">
      <c r="B126" s="5">
        <v>124.0</v>
      </c>
      <c r="C126" s="6" t="s">
        <v>299</v>
      </c>
      <c r="D126" s="6" t="s">
        <v>36</v>
      </c>
      <c r="E126" s="6" t="s">
        <v>106</v>
      </c>
      <c r="F126" s="12">
        <v>34764.0</v>
      </c>
      <c r="G126" s="8">
        <f t="shared" si="1"/>
        <v>31.35616438</v>
      </c>
      <c r="H126" s="49">
        <v>121.0</v>
      </c>
      <c r="I126" s="312">
        <v>-5.0</v>
      </c>
      <c r="J126" s="53" t="s">
        <v>300</v>
      </c>
    </row>
    <row r="127">
      <c r="B127" s="5">
        <v>125.0</v>
      </c>
      <c r="C127" s="34" t="s">
        <v>1160</v>
      </c>
      <c r="D127" s="34" t="s">
        <v>25</v>
      </c>
      <c r="E127" s="34" t="s">
        <v>1474</v>
      </c>
      <c r="F127" s="30">
        <v>39061.0</v>
      </c>
      <c r="G127" s="31">
        <f t="shared" si="1"/>
        <v>19.59178082</v>
      </c>
      <c r="H127" s="318" t="s">
        <v>371</v>
      </c>
      <c r="I127" s="321">
        <v>18.0</v>
      </c>
      <c r="J127" s="300" t="s">
        <v>1475</v>
      </c>
    </row>
    <row r="128">
      <c r="B128" s="5">
        <v>126.0</v>
      </c>
      <c r="C128" s="6" t="s">
        <v>421</v>
      </c>
      <c r="D128" s="6" t="s">
        <v>25</v>
      </c>
      <c r="E128" s="6" t="s">
        <v>43</v>
      </c>
      <c r="F128" s="12">
        <v>37535.0</v>
      </c>
      <c r="G128" s="8">
        <f t="shared" si="1"/>
        <v>23.76986301</v>
      </c>
      <c r="H128" s="49">
        <v>130.0</v>
      </c>
      <c r="I128" s="309">
        <v>13.0</v>
      </c>
      <c r="J128" s="53" t="s">
        <v>1476</v>
      </c>
    </row>
    <row r="129">
      <c r="B129" s="5">
        <v>127.0</v>
      </c>
      <c r="C129" s="6" t="s">
        <v>362</v>
      </c>
      <c r="D129" s="6" t="s">
        <v>36</v>
      </c>
      <c r="E129" s="6" t="s">
        <v>66</v>
      </c>
      <c r="F129" s="12">
        <v>38194.0</v>
      </c>
      <c r="G129" s="8">
        <f t="shared" si="1"/>
        <v>21.96593308</v>
      </c>
      <c r="H129" s="49">
        <v>137.0</v>
      </c>
      <c r="I129" s="332">
        <v>15.0</v>
      </c>
      <c r="J129" s="53" t="s">
        <v>363</v>
      </c>
    </row>
    <row r="130">
      <c r="B130" s="5">
        <v>128.0</v>
      </c>
      <c r="C130" s="6" t="s">
        <v>358</v>
      </c>
      <c r="D130" s="6" t="s">
        <v>14</v>
      </c>
      <c r="E130" s="6" t="s">
        <v>15</v>
      </c>
      <c r="F130" s="12">
        <v>38037.0</v>
      </c>
      <c r="G130" s="8">
        <f t="shared" si="1"/>
        <v>22.39489483</v>
      </c>
      <c r="H130" s="49">
        <v>96.0</v>
      </c>
      <c r="I130" s="326">
        <v>-13.0</v>
      </c>
      <c r="J130" s="53" t="s">
        <v>359</v>
      </c>
    </row>
    <row r="131">
      <c r="B131" s="5">
        <v>129.0</v>
      </c>
      <c r="C131" s="6" t="s">
        <v>364</v>
      </c>
      <c r="D131" s="6" t="s">
        <v>21</v>
      </c>
      <c r="E131" s="6" t="s">
        <v>26</v>
      </c>
      <c r="F131" s="12">
        <v>38029.0</v>
      </c>
      <c r="G131" s="8">
        <f t="shared" si="1"/>
        <v>22.41675275</v>
      </c>
      <c r="H131" s="49">
        <v>113.0</v>
      </c>
      <c r="I131" s="302">
        <v>-1.0</v>
      </c>
      <c r="J131" s="53" t="s">
        <v>1477</v>
      </c>
    </row>
    <row r="132">
      <c r="B132" s="5">
        <v>130.0</v>
      </c>
      <c r="C132" s="34" t="s">
        <v>1133</v>
      </c>
      <c r="D132" s="34" t="s">
        <v>267</v>
      </c>
      <c r="E132" s="34" t="s">
        <v>1478</v>
      </c>
      <c r="F132" s="30">
        <v>37529.0</v>
      </c>
      <c r="G132" s="31">
        <f t="shared" si="1"/>
        <v>23.78630137</v>
      </c>
      <c r="H132" s="318" t="s">
        <v>371</v>
      </c>
      <c r="I132" s="312">
        <v>-5.0</v>
      </c>
      <c r="J132" s="300" t="s">
        <v>296</v>
      </c>
    </row>
    <row r="133">
      <c r="B133" s="5">
        <v>131.0</v>
      </c>
      <c r="C133" s="34" t="s">
        <v>301</v>
      </c>
      <c r="D133" s="34" t="s">
        <v>21</v>
      </c>
      <c r="E133" s="34" t="s">
        <v>111</v>
      </c>
      <c r="F133" s="30">
        <v>38974.0</v>
      </c>
      <c r="G133" s="31">
        <f t="shared" si="1"/>
        <v>19.83013699</v>
      </c>
      <c r="H133" s="49">
        <v>127.0</v>
      </c>
      <c r="I133" s="312">
        <v>-5.0</v>
      </c>
      <c r="J133" s="300" t="s">
        <v>302</v>
      </c>
    </row>
    <row r="134">
      <c r="B134" s="5">
        <v>132.0</v>
      </c>
      <c r="C134" s="34" t="s">
        <v>1479</v>
      </c>
      <c r="D134" s="34" t="s">
        <v>21</v>
      </c>
      <c r="E134" s="34" t="s">
        <v>1369</v>
      </c>
      <c r="F134" s="30">
        <v>38761.0</v>
      </c>
      <c r="G134" s="31">
        <f t="shared" si="1"/>
        <v>20.41369863</v>
      </c>
      <c r="H134" s="318" t="s">
        <v>371</v>
      </c>
      <c r="I134" s="318" t="s">
        <v>371</v>
      </c>
      <c r="J134" s="300" t="s">
        <v>1480</v>
      </c>
    </row>
    <row r="135">
      <c r="B135" s="5">
        <v>133.0</v>
      </c>
      <c r="C135" s="6" t="s">
        <v>355</v>
      </c>
      <c r="D135" s="6" t="s">
        <v>77</v>
      </c>
      <c r="E135" s="6" t="s">
        <v>18</v>
      </c>
      <c r="F135" s="12">
        <v>31046.0</v>
      </c>
      <c r="G135" s="8">
        <f t="shared" si="1"/>
        <v>41.53697133</v>
      </c>
      <c r="H135" s="49">
        <v>117.0</v>
      </c>
      <c r="I135" s="311">
        <v>-4.0</v>
      </c>
      <c r="J135" s="53" t="s">
        <v>1481</v>
      </c>
    </row>
    <row r="136">
      <c r="B136" s="5">
        <v>134.0</v>
      </c>
      <c r="C136" s="11" t="s">
        <v>324</v>
      </c>
      <c r="D136" s="11" t="s">
        <v>36</v>
      </c>
      <c r="E136" s="11" t="s">
        <v>128</v>
      </c>
      <c r="F136" s="12">
        <v>34114.0</v>
      </c>
      <c r="G136" s="8">
        <f t="shared" si="1"/>
        <v>33.1369863</v>
      </c>
      <c r="H136" s="49">
        <v>153.0</v>
      </c>
      <c r="I136" s="309">
        <v>13.0</v>
      </c>
      <c r="J136" s="53" t="s">
        <v>1482</v>
      </c>
    </row>
    <row r="137">
      <c r="B137" s="5">
        <v>135.0</v>
      </c>
      <c r="C137" s="14" t="s">
        <v>394</v>
      </c>
      <c r="D137" s="14" t="s">
        <v>36</v>
      </c>
      <c r="E137" s="14" t="s">
        <v>22</v>
      </c>
      <c r="F137" s="16">
        <v>36998.0</v>
      </c>
      <c r="G137" s="17">
        <f t="shared" si="1"/>
        <v>25.24109589</v>
      </c>
      <c r="H137" s="49">
        <v>118.0</v>
      </c>
      <c r="I137" s="314">
        <v>-6.0</v>
      </c>
      <c r="J137" s="53" t="s">
        <v>1483</v>
      </c>
    </row>
    <row r="138">
      <c r="B138" s="5">
        <v>136.0</v>
      </c>
      <c r="C138" s="6" t="s">
        <v>288</v>
      </c>
      <c r="D138" s="6" t="s">
        <v>25</v>
      </c>
      <c r="E138" s="6" t="s">
        <v>90</v>
      </c>
      <c r="F138" s="12">
        <v>35875.0</v>
      </c>
      <c r="G138" s="8">
        <f t="shared" si="1"/>
        <v>28.31506849</v>
      </c>
      <c r="H138" s="49">
        <v>114.0</v>
      </c>
      <c r="I138" s="333">
        <v>-16.0</v>
      </c>
      <c r="J138" s="53" t="s">
        <v>1484</v>
      </c>
    </row>
    <row r="139">
      <c r="B139" s="5">
        <v>137.0</v>
      </c>
      <c r="C139" s="6" t="s">
        <v>309</v>
      </c>
      <c r="D139" s="6" t="s">
        <v>25</v>
      </c>
      <c r="E139" s="6" t="s">
        <v>95</v>
      </c>
      <c r="F139" s="12">
        <v>36654.0</v>
      </c>
      <c r="G139" s="8">
        <f t="shared" si="1"/>
        <v>26.18178007</v>
      </c>
      <c r="H139" s="49">
        <v>119.0</v>
      </c>
      <c r="I139" s="310">
        <v>-7.0</v>
      </c>
      <c r="J139" s="53" t="s">
        <v>1485</v>
      </c>
    </row>
    <row r="140">
      <c r="B140" s="5">
        <v>138.0</v>
      </c>
      <c r="C140" s="6" t="s">
        <v>379</v>
      </c>
      <c r="D140" s="6" t="s">
        <v>21</v>
      </c>
      <c r="E140" s="6" t="s">
        <v>18</v>
      </c>
      <c r="F140" s="12">
        <v>35999.0</v>
      </c>
      <c r="G140" s="8">
        <f t="shared" si="1"/>
        <v>27.97534247</v>
      </c>
      <c r="H140" s="49">
        <v>125.0</v>
      </c>
      <c r="I140" s="314">
        <v>-6.0</v>
      </c>
      <c r="J140" s="53" t="s">
        <v>1486</v>
      </c>
    </row>
    <row r="141">
      <c r="B141" s="5">
        <v>139.0</v>
      </c>
      <c r="C141" s="6" t="s">
        <v>333</v>
      </c>
      <c r="D141" s="6" t="s">
        <v>21</v>
      </c>
      <c r="E141" s="6" t="s">
        <v>37</v>
      </c>
      <c r="F141" s="12">
        <v>33781.0</v>
      </c>
      <c r="G141" s="8">
        <f t="shared" si="1"/>
        <v>34.04790029</v>
      </c>
      <c r="H141" s="49">
        <v>149.0</v>
      </c>
      <c r="I141" s="332">
        <v>15.0</v>
      </c>
      <c r="J141" s="53" t="s">
        <v>1487</v>
      </c>
    </row>
    <row r="142">
      <c r="B142" s="5">
        <v>140.0</v>
      </c>
      <c r="C142" s="34" t="s">
        <v>1488</v>
      </c>
      <c r="D142" s="34" t="s">
        <v>14</v>
      </c>
      <c r="E142" s="34" t="s">
        <v>1489</v>
      </c>
      <c r="F142" s="30">
        <v>38680.0</v>
      </c>
      <c r="G142" s="31">
        <f t="shared" si="1"/>
        <v>20.63561644</v>
      </c>
      <c r="H142" s="318" t="s">
        <v>371</v>
      </c>
      <c r="I142" s="307">
        <v>-2.0</v>
      </c>
      <c r="J142" s="300" t="s">
        <v>1490</v>
      </c>
    </row>
    <row r="143">
      <c r="B143" s="5">
        <v>141.0</v>
      </c>
      <c r="C143" s="14" t="s">
        <v>337</v>
      </c>
      <c r="D143" s="14" t="s">
        <v>14</v>
      </c>
      <c r="E143" s="14" t="s">
        <v>49</v>
      </c>
      <c r="F143" s="16">
        <v>35619.0</v>
      </c>
      <c r="G143" s="17">
        <f t="shared" si="1"/>
        <v>29.01643836</v>
      </c>
      <c r="H143" s="49">
        <v>159.0</v>
      </c>
      <c r="I143" s="301">
        <v>4.0</v>
      </c>
      <c r="J143" s="51" t="s">
        <v>1491</v>
      </c>
    </row>
    <row r="144">
      <c r="B144" s="5">
        <v>142.0</v>
      </c>
      <c r="C144" s="6" t="s">
        <v>452</v>
      </c>
      <c r="D144" s="6" t="s">
        <v>14</v>
      </c>
      <c r="E144" s="6" t="s">
        <v>15</v>
      </c>
      <c r="F144" s="12">
        <v>38574.0</v>
      </c>
      <c r="G144" s="8">
        <f t="shared" si="1"/>
        <v>20.9260274</v>
      </c>
      <c r="H144" s="49">
        <v>138.0</v>
      </c>
      <c r="I144" s="327">
        <v>9.0</v>
      </c>
      <c r="J144" s="53" t="s">
        <v>1492</v>
      </c>
    </row>
    <row r="145">
      <c r="B145" s="5">
        <v>143.0</v>
      </c>
      <c r="C145" s="6" t="s">
        <v>377</v>
      </c>
      <c r="D145" s="6" t="s">
        <v>36</v>
      </c>
      <c r="E145" s="6" t="s">
        <v>69</v>
      </c>
      <c r="F145" s="12">
        <v>37592.0</v>
      </c>
      <c r="G145" s="8">
        <f t="shared" si="1"/>
        <v>23.61369863</v>
      </c>
      <c r="H145" s="49">
        <v>163.0</v>
      </c>
      <c r="I145" s="310">
        <v>-7.0</v>
      </c>
      <c r="J145" s="53" t="s">
        <v>1493</v>
      </c>
    </row>
    <row r="146">
      <c r="B146" s="5">
        <v>144.0</v>
      </c>
      <c r="C146" s="6" t="s">
        <v>343</v>
      </c>
      <c r="D146" s="6" t="s">
        <v>10</v>
      </c>
      <c r="E146" s="6" t="s">
        <v>49</v>
      </c>
      <c r="F146" s="12">
        <v>36901.0</v>
      </c>
      <c r="G146" s="8">
        <f t="shared" si="1"/>
        <v>25.50684932</v>
      </c>
      <c r="H146" s="49">
        <v>126.0</v>
      </c>
      <c r="I146" s="311">
        <v>-4.0</v>
      </c>
      <c r="J146" s="53" t="s">
        <v>1494</v>
      </c>
    </row>
    <row r="147">
      <c r="B147" s="5">
        <v>145.0</v>
      </c>
      <c r="C147" s="11" t="s">
        <v>373</v>
      </c>
      <c r="D147" s="11" t="s">
        <v>21</v>
      </c>
      <c r="E147" s="11" t="s">
        <v>26</v>
      </c>
      <c r="F147" s="12">
        <v>36069.0</v>
      </c>
      <c r="G147" s="8">
        <f t="shared" si="1"/>
        <v>27.78356164</v>
      </c>
      <c r="H147" s="49">
        <v>139.0</v>
      </c>
      <c r="I147" s="301">
        <v>4.0</v>
      </c>
      <c r="J147" s="53" t="s">
        <v>1495</v>
      </c>
    </row>
    <row r="148">
      <c r="B148" s="5">
        <v>146.0</v>
      </c>
      <c r="C148" s="6" t="s">
        <v>388</v>
      </c>
      <c r="D148" s="6" t="s">
        <v>74</v>
      </c>
      <c r="E148" s="6" t="s">
        <v>176</v>
      </c>
      <c r="F148" s="12">
        <v>37677.0</v>
      </c>
      <c r="G148" s="8">
        <f t="shared" si="1"/>
        <v>23.38082192</v>
      </c>
      <c r="H148" s="49">
        <v>135.0</v>
      </c>
      <c r="I148" s="319">
        <v>7.0</v>
      </c>
      <c r="J148" s="53" t="s">
        <v>1496</v>
      </c>
    </row>
    <row r="149">
      <c r="B149" s="5">
        <v>147.0</v>
      </c>
      <c r="C149" s="11" t="s">
        <v>346</v>
      </c>
      <c r="D149" s="11" t="s">
        <v>10</v>
      </c>
      <c r="E149" s="11" t="s">
        <v>98</v>
      </c>
      <c r="F149" s="12">
        <v>35696.0</v>
      </c>
      <c r="G149" s="8">
        <f t="shared" si="1"/>
        <v>28.80547945</v>
      </c>
      <c r="H149" s="49">
        <v>148.0</v>
      </c>
      <c r="I149" s="302">
        <v>-1.0</v>
      </c>
      <c r="J149" s="53" t="s">
        <v>1497</v>
      </c>
    </row>
    <row r="150">
      <c r="B150" s="5">
        <v>148.0</v>
      </c>
      <c r="C150" s="6" t="s">
        <v>368</v>
      </c>
      <c r="D150" s="6" t="s">
        <v>25</v>
      </c>
      <c r="E150" s="6" t="s">
        <v>29</v>
      </c>
      <c r="F150" s="12">
        <v>38540.0</v>
      </c>
      <c r="G150" s="8">
        <f t="shared" si="1"/>
        <v>21.01917808</v>
      </c>
      <c r="H150" s="49">
        <v>122.0</v>
      </c>
      <c r="I150" s="310">
        <v>-7.0</v>
      </c>
      <c r="J150" s="53" t="s">
        <v>1498</v>
      </c>
    </row>
    <row r="151">
      <c r="B151" s="5">
        <v>149.0</v>
      </c>
      <c r="C151" s="6" t="s">
        <v>349</v>
      </c>
      <c r="D151" s="6" t="s">
        <v>25</v>
      </c>
      <c r="E151" s="6" t="s">
        <v>22</v>
      </c>
      <c r="F151" s="12">
        <v>34958.0</v>
      </c>
      <c r="G151" s="8">
        <f t="shared" si="1"/>
        <v>30.82465753</v>
      </c>
      <c r="H151" s="49">
        <v>134.0</v>
      </c>
      <c r="I151" s="306">
        <v>1.0</v>
      </c>
      <c r="J151" s="53" t="s">
        <v>1499</v>
      </c>
    </row>
    <row r="152">
      <c r="B152" s="5">
        <v>150.0</v>
      </c>
      <c r="C152" s="6" t="s">
        <v>360</v>
      </c>
      <c r="D152" s="6" t="s">
        <v>36</v>
      </c>
      <c r="E152" s="6" t="s">
        <v>128</v>
      </c>
      <c r="F152" s="12">
        <v>36940.0</v>
      </c>
      <c r="G152" s="8">
        <f t="shared" si="1"/>
        <v>25.4</v>
      </c>
      <c r="H152" s="49">
        <v>150.0</v>
      </c>
      <c r="I152" s="314">
        <v>-6.0</v>
      </c>
      <c r="J152" s="53" t="s">
        <v>1500</v>
      </c>
    </row>
    <row r="153">
      <c r="B153" s="5">
        <v>151.0</v>
      </c>
      <c r="C153" s="334"/>
      <c r="D153" s="334"/>
      <c r="E153" s="334"/>
      <c r="F153" s="335"/>
      <c r="G153" s="336"/>
      <c r="H153" s="337"/>
      <c r="I153" s="65"/>
      <c r="J153" s="338"/>
    </row>
    <row r="154">
      <c r="B154" s="5">
        <v>152.0</v>
      </c>
      <c r="C154" s="6"/>
      <c r="D154" s="6"/>
      <c r="E154" s="6"/>
      <c r="F154" s="12"/>
      <c r="G154" s="8"/>
      <c r="H154" s="49"/>
      <c r="I154" s="9"/>
      <c r="J154" s="339"/>
    </row>
    <row r="155">
      <c r="B155" s="5">
        <v>153.0</v>
      </c>
      <c r="C155" s="6"/>
      <c r="D155" s="6"/>
      <c r="E155" s="6"/>
      <c r="F155" s="12"/>
      <c r="G155" s="8"/>
      <c r="H155" s="49"/>
      <c r="I155" s="9"/>
      <c r="J155" s="339"/>
    </row>
    <row r="156">
      <c r="B156" s="5">
        <v>154.0</v>
      </c>
      <c r="C156" s="34" t="s">
        <v>353</v>
      </c>
      <c r="D156" s="34" t="s">
        <v>21</v>
      </c>
      <c r="E156" s="34" t="s">
        <v>15</v>
      </c>
      <c r="F156" s="30">
        <v>38711.0</v>
      </c>
      <c r="G156" s="31">
        <f t="shared" ref="G156:G157" si="2">YEARFRAC(F156, TODAY(),1)</f>
        <v>20.55068493</v>
      </c>
      <c r="H156" s="9">
        <v>151.0</v>
      </c>
      <c r="I156" s="9">
        <v>-4.0</v>
      </c>
      <c r="J156" s="340" t="s">
        <v>1501</v>
      </c>
    </row>
    <row r="157">
      <c r="B157" s="5">
        <v>155.0</v>
      </c>
      <c r="C157" s="11" t="s">
        <v>384</v>
      </c>
      <c r="D157" s="11" t="s">
        <v>10</v>
      </c>
      <c r="E157" s="11" t="s">
        <v>90</v>
      </c>
      <c r="F157" s="12">
        <v>37277.0</v>
      </c>
      <c r="G157" s="8">
        <f t="shared" si="2"/>
        <v>24.47671233</v>
      </c>
      <c r="H157" s="49">
        <v>197.0</v>
      </c>
      <c r="I157" s="9">
        <v>11.0</v>
      </c>
      <c r="J157" s="341" t="s">
        <v>1502</v>
      </c>
    </row>
    <row r="158">
      <c r="B158" s="5">
        <v>156.0</v>
      </c>
      <c r="C158" s="6"/>
      <c r="D158" s="6"/>
      <c r="E158" s="6"/>
      <c r="F158" s="12"/>
      <c r="G158" s="8"/>
      <c r="H158" s="49"/>
      <c r="I158" s="9"/>
      <c r="J158" s="339"/>
    </row>
    <row r="159">
      <c r="B159" s="5">
        <v>157.0</v>
      </c>
      <c r="C159" s="6" t="s">
        <v>434</v>
      </c>
      <c r="D159" s="6" t="s">
        <v>14</v>
      </c>
      <c r="E159" s="6" t="s">
        <v>213</v>
      </c>
      <c r="F159" s="12">
        <v>36650.0</v>
      </c>
      <c r="G159" s="8">
        <f>YEARFRAC(F159, TODAY(),1)</f>
        <v>26.19270904</v>
      </c>
      <c r="H159" s="49">
        <v>191.0</v>
      </c>
      <c r="I159" s="9">
        <v>38.0</v>
      </c>
      <c r="J159" s="341" t="s">
        <v>1503</v>
      </c>
    </row>
    <row r="160">
      <c r="B160" s="5">
        <v>158.0</v>
      </c>
      <c r="C160" s="6"/>
      <c r="D160" s="6"/>
      <c r="E160" s="6"/>
      <c r="F160" s="12"/>
      <c r="G160" s="8"/>
      <c r="H160" s="49"/>
      <c r="I160" s="9"/>
      <c r="J160" s="339"/>
    </row>
    <row r="161">
      <c r="B161" s="5">
        <v>159.0</v>
      </c>
      <c r="C161" s="6"/>
      <c r="D161" s="6"/>
      <c r="E161" s="6"/>
      <c r="F161" s="12"/>
      <c r="G161" s="8"/>
      <c r="H161" s="49"/>
      <c r="I161" s="9"/>
      <c r="J161" s="339"/>
    </row>
    <row r="162">
      <c r="B162" s="5">
        <v>160.0</v>
      </c>
      <c r="C162" s="6"/>
      <c r="D162" s="6"/>
      <c r="E162" s="6"/>
      <c r="F162" s="12"/>
      <c r="G162" s="8"/>
      <c r="H162" s="49"/>
      <c r="I162" s="9"/>
      <c r="J162" s="339"/>
    </row>
    <row r="163">
      <c r="B163" s="5">
        <v>161.0</v>
      </c>
      <c r="C163" s="6"/>
      <c r="D163" s="6"/>
      <c r="E163" s="6"/>
      <c r="F163" s="12"/>
      <c r="G163" s="8"/>
      <c r="H163" s="49"/>
      <c r="I163" s="9"/>
      <c r="J163" s="339"/>
    </row>
    <row r="164">
      <c r="B164" s="5">
        <v>162.0</v>
      </c>
      <c r="C164" s="6"/>
      <c r="D164" s="6"/>
      <c r="E164" s="6"/>
      <c r="F164" s="12"/>
      <c r="G164" s="8"/>
      <c r="H164" s="49"/>
      <c r="I164" s="9"/>
      <c r="J164" s="339"/>
    </row>
    <row r="165">
      <c r="B165" s="5">
        <v>163.0</v>
      </c>
      <c r="C165" s="6"/>
      <c r="D165" s="6"/>
      <c r="E165" s="6"/>
      <c r="F165" s="12"/>
      <c r="G165" s="8"/>
      <c r="H165" s="49"/>
      <c r="I165" s="9"/>
      <c r="J165" s="339"/>
    </row>
    <row r="166">
      <c r="B166" s="5">
        <v>164.0</v>
      </c>
      <c r="C166" s="6"/>
      <c r="D166" s="6"/>
      <c r="E166" s="6"/>
      <c r="F166" s="12"/>
      <c r="G166" s="8"/>
      <c r="H166" s="49"/>
      <c r="I166" s="9"/>
      <c r="J166" s="339"/>
    </row>
    <row r="167">
      <c r="B167" s="5">
        <v>165.0</v>
      </c>
      <c r="C167" s="6"/>
      <c r="D167" s="6"/>
      <c r="E167" s="6"/>
      <c r="F167" s="12"/>
      <c r="G167" s="8"/>
      <c r="H167" s="49"/>
      <c r="I167" s="9"/>
      <c r="J167" s="339"/>
    </row>
    <row r="168">
      <c r="B168" s="5">
        <v>166.0</v>
      </c>
      <c r="C168" s="6"/>
      <c r="D168" s="6"/>
      <c r="E168" s="6"/>
      <c r="F168" s="12"/>
      <c r="G168" s="8"/>
      <c r="H168" s="49"/>
      <c r="I168" s="9"/>
      <c r="J168" s="339"/>
    </row>
    <row r="169">
      <c r="B169" s="5">
        <v>167.0</v>
      </c>
      <c r="C169" s="6"/>
      <c r="D169" s="6"/>
      <c r="E169" s="6"/>
      <c r="F169" s="12"/>
      <c r="G169" s="8"/>
      <c r="H169" s="49"/>
      <c r="I169" s="9"/>
      <c r="J169" s="339"/>
    </row>
    <row r="170">
      <c r="B170" s="5">
        <v>168.0</v>
      </c>
      <c r="C170" s="6"/>
      <c r="D170" s="6"/>
      <c r="E170" s="6"/>
      <c r="F170" s="12"/>
      <c r="G170" s="8"/>
      <c r="H170" s="49"/>
      <c r="I170" s="9"/>
      <c r="J170" s="339"/>
    </row>
    <row r="171">
      <c r="B171" s="5">
        <v>169.0</v>
      </c>
      <c r="C171" s="6"/>
      <c r="D171" s="6"/>
      <c r="E171" s="6"/>
      <c r="F171" s="12"/>
      <c r="G171" s="8"/>
      <c r="H171" s="49"/>
      <c r="I171" s="9"/>
      <c r="J171" s="339"/>
    </row>
    <row r="172">
      <c r="B172" s="5">
        <v>170.0</v>
      </c>
      <c r="C172" s="6"/>
      <c r="D172" s="6"/>
      <c r="E172" s="6"/>
      <c r="F172" s="12"/>
      <c r="G172" s="8"/>
      <c r="H172" s="49"/>
      <c r="I172" s="9"/>
      <c r="J172" s="339"/>
    </row>
    <row r="173">
      <c r="B173" s="5">
        <v>171.0</v>
      </c>
      <c r="C173" s="6"/>
      <c r="D173" s="6"/>
      <c r="E173" s="6"/>
      <c r="F173" s="12"/>
      <c r="G173" s="8"/>
      <c r="H173" s="49"/>
      <c r="I173" s="9"/>
      <c r="J173" s="339"/>
    </row>
    <row r="174">
      <c r="B174" s="5">
        <v>172.0</v>
      </c>
      <c r="C174" s="6"/>
      <c r="D174" s="6"/>
      <c r="E174" s="6"/>
      <c r="F174" s="12"/>
      <c r="G174" s="8"/>
      <c r="H174" s="49"/>
      <c r="I174" s="9"/>
      <c r="J174" s="339"/>
    </row>
    <row r="175">
      <c r="B175" s="5">
        <v>173.0</v>
      </c>
      <c r="C175" s="6"/>
      <c r="D175" s="6"/>
      <c r="E175" s="6"/>
      <c r="F175" s="12"/>
      <c r="G175" s="8"/>
      <c r="H175" s="49"/>
      <c r="I175" s="9"/>
      <c r="J175" s="339"/>
    </row>
    <row r="176">
      <c r="B176" s="5">
        <v>174.0</v>
      </c>
      <c r="C176" s="6"/>
      <c r="D176" s="6"/>
      <c r="E176" s="6"/>
      <c r="F176" s="12"/>
      <c r="G176" s="8"/>
      <c r="H176" s="49"/>
      <c r="I176" s="9"/>
      <c r="J176" s="339"/>
    </row>
    <row r="177">
      <c r="B177" s="5">
        <v>175.0</v>
      </c>
      <c r="C177" s="6"/>
      <c r="D177" s="6"/>
      <c r="E177" s="6"/>
      <c r="F177" s="12"/>
      <c r="G177" s="8"/>
      <c r="H177" s="49"/>
      <c r="I177" s="9"/>
      <c r="J177" s="339"/>
    </row>
    <row r="178">
      <c r="B178" s="5">
        <v>176.0</v>
      </c>
      <c r="C178" s="6"/>
      <c r="D178" s="6"/>
      <c r="E178" s="6"/>
      <c r="F178" s="12"/>
      <c r="G178" s="8"/>
      <c r="H178" s="49"/>
      <c r="I178" s="9"/>
      <c r="J178" s="339"/>
    </row>
    <row r="179">
      <c r="B179" s="5">
        <v>177.0</v>
      </c>
      <c r="C179" s="6"/>
      <c r="D179" s="6"/>
      <c r="E179" s="6"/>
      <c r="F179" s="12"/>
      <c r="G179" s="8"/>
      <c r="H179" s="49"/>
      <c r="I179" s="9"/>
      <c r="J179" s="339"/>
    </row>
    <row r="180">
      <c r="B180" s="5">
        <v>178.0</v>
      </c>
      <c r="C180" s="6"/>
      <c r="D180" s="6"/>
      <c r="E180" s="6"/>
      <c r="F180" s="12"/>
      <c r="G180" s="8"/>
      <c r="H180" s="49"/>
      <c r="I180" s="9"/>
      <c r="J180" s="339"/>
    </row>
    <row r="181">
      <c r="B181" s="5">
        <v>179.0</v>
      </c>
      <c r="C181" s="6"/>
      <c r="D181" s="6"/>
      <c r="E181" s="6"/>
      <c r="F181" s="12"/>
      <c r="G181" s="8"/>
      <c r="H181" s="49"/>
      <c r="I181" s="9"/>
      <c r="J181" s="339"/>
    </row>
    <row r="182">
      <c r="B182" s="5">
        <v>180.0</v>
      </c>
      <c r="C182" s="6"/>
      <c r="D182" s="6"/>
      <c r="E182" s="6"/>
      <c r="F182" s="12"/>
      <c r="G182" s="8"/>
      <c r="H182" s="49"/>
      <c r="I182" s="9"/>
      <c r="J182" s="339"/>
    </row>
    <row r="183">
      <c r="B183" s="5">
        <v>181.0</v>
      </c>
      <c r="C183" s="6"/>
      <c r="D183" s="6"/>
      <c r="E183" s="6"/>
      <c r="F183" s="12"/>
      <c r="G183" s="8"/>
      <c r="H183" s="49"/>
      <c r="I183" s="9"/>
      <c r="J183" s="339"/>
    </row>
    <row r="184">
      <c r="B184" s="5">
        <v>182.0</v>
      </c>
      <c r="C184" s="6"/>
      <c r="D184" s="6"/>
      <c r="E184" s="6"/>
      <c r="F184" s="12"/>
      <c r="G184" s="8"/>
      <c r="H184" s="49"/>
      <c r="I184" s="9"/>
      <c r="J184" s="339"/>
    </row>
    <row r="185">
      <c r="B185" s="5">
        <v>183.0</v>
      </c>
      <c r="C185" s="6"/>
      <c r="D185" s="6"/>
      <c r="E185" s="6"/>
      <c r="F185" s="12"/>
      <c r="G185" s="8"/>
      <c r="H185" s="49"/>
      <c r="I185" s="9"/>
      <c r="J185" s="339"/>
    </row>
    <row r="186">
      <c r="B186" s="5">
        <v>184.0</v>
      </c>
      <c r="C186" s="6"/>
      <c r="D186" s="6"/>
      <c r="E186" s="6"/>
      <c r="F186" s="12"/>
      <c r="G186" s="8"/>
      <c r="H186" s="49"/>
      <c r="I186" s="9"/>
      <c r="J186" s="339"/>
    </row>
    <row r="187">
      <c r="B187" s="5">
        <v>185.0</v>
      </c>
      <c r="C187" s="6"/>
      <c r="D187" s="6"/>
      <c r="E187" s="6"/>
      <c r="F187" s="12"/>
      <c r="G187" s="8"/>
      <c r="H187" s="49"/>
      <c r="I187" s="9"/>
      <c r="J187" s="339"/>
    </row>
    <row r="188">
      <c r="B188" s="5">
        <v>186.0</v>
      </c>
      <c r="C188" s="6"/>
      <c r="D188" s="6"/>
      <c r="E188" s="6"/>
      <c r="F188" s="12"/>
      <c r="G188" s="8"/>
      <c r="H188" s="49"/>
      <c r="I188" s="9"/>
      <c r="J188" s="339"/>
    </row>
    <row r="189">
      <c r="B189" s="5">
        <v>187.0</v>
      </c>
      <c r="C189" s="6"/>
      <c r="D189" s="6"/>
      <c r="E189" s="6"/>
      <c r="F189" s="12"/>
      <c r="G189" s="8"/>
      <c r="H189" s="49"/>
      <c r="I189" s="9"/>
      <c r="J189" s="339"/>
    </row>
    <row r="190">
      <c r="B190" s="5">
        <v>188.0</v>
      </c>
      <c r="C190" s="6"/>
      <c r="D190" s="6"/>
      <c r="E190" s="6"/>
      <c r="F190" s="12"/>
      <c r="G190" s="8"/>
      <c r="H190" s="49"/>
      <c r="I190" s="9"/>
      <c r="J190" s="339"/>
    </row>
    <row r="191">
      <c r="B191" s="5">
        <v>189.0</v>
      </c>
      <c r="C191" s="6"/>
      <c r="D191" s="6"/>
      <c r="E191" s="6"/>
      <c r="F191" s="12"/>
      <c r="G191" s="8"/>
      <c r="H191" s="49"/>
      <c r="I191" s="9"/>
      <c r="J191" s="339"/>
    </row>
    <row r="192">
      <c r="B192" s="342">
        <v>190.0</v>
      </c>
      <c r="C192" s="6"/>
      <c r="D192" s="6"/>
      <c r="E192" s="6"/>
      <c r="F192" s="12"/>
      <c r="G192" s="8"/>
      <c r="H192" s="49"/>
      <c r="I192" s="9"/>
      <c r="J192" s="339"/>
    </row>
    <row r="193">
      <c r="B193" s="342">
        <v>191.0</v>
      </c>
      <c r="C193" s="6"/>
      <c r="D193" s="6"/>
      <c r="E193" s="6"/>
      <c r="F193" s="12"/>
      <c r="G193" s="8"/>
      <c r="H193" s="49"/>
      <c r="I193" s="9"/>
      <c r="J193" s="339"/>
    </row>
    <row r="194">
      <c r="B194" s="343">
        <v>192.0</v>
      </c>
      <c r="C194" s="6"/>
      <c r="D194" s="6"/>
      <c r="E194" s="6"/>
      <c r="F194" s="12"/>
      <c r="G194" s="8"/>
      <c r="H194" s="49"/>
      <c r="I194" s="9"/>
      <c r="J194" s="339"/>
    </row>
    <row r="195">
      <c r="B195" s="342">
        <v>193.0</v>
      </c>
      <c r="C195" s="6"/>
      <c r="D195" s="6"/>
      <c r="E195" s="6"/>
      <c r="F195" s="12"/>
      <c r="G195" s="8"/>
      <c r="H195" s="49"/>
      <c r="I195" s="9"/>
      <c r="J195" s="339"/>
    </row>
    <row r="196">
      <c r="B196" s="342">
        <v>194.0</v>
      </c>
      <c r="C196" s="6"/>
      <c r="D196" s="6"/>
      <c r="E196" s="6"/>
      <c r="F196" s="12"/>
      <c r="G196" s="8"/>
      <c r="H196" s="49"/>
      <c r="I196" s="9"/>
      <c r="J196" s="339"/>
    </row>
    <row r="197">
      <c r="B197" s="342">
        <v>195.0</v>
      </c>
      <c r="C197" s="6"/>
      <c r="D197" s="6"/>
      <c r="E197" s="6"/>
      <c r="F197" s="12"/>
      <c r="G197" s="8"/>
      <c r="H197" s="49"/>
      <c r="I197" s="9"/>
      <c r="J197" s="339"/>
    </row>
    <row r="198">
      <c r="B198" s="342">
        <v>196.0</v>
      </c>
      <c r="C198" s="6"/>
      <c r="D198" s="6"/>
      <c r="E198" s="6"/>
      <c r="F198" s="12"/>
      <c r="G198" s="8"/>
      <c r="H198" s="49"/>
      <c r="I198" s="9"/>
      <c r="J198" s="339"/>
    </row>
    <row r="199">
      <c r="B199" s="342">
        <v>197.0</v>
      </c>
      <c r="C199" s="6"/>
      <c r="D199" s="6"/>
      <c r="E199" s="6"/>
      <c r="F199" s="12"/>
      <c r="G199" s="8"/>
      <c r="H199" s="49"/>
      <c r="I199" s="9"/>
      <c r="J199" s="339"/>
    </row>
    <row r="200">
      <c r="B200" s="343">
        <v>198.0</v>
      </c>
      <c r="C200" s="6"/>
      <c r="D200" s="6"/>
      <c r="E200" s="6"/>
      <c r="F200" s="12"/>
      <c r="G200" s="8"/>
      <c r="H200" s="49"/>
      <c r="I200" s="9"/>
      <c r="J200" s="339"/>
    </row>
    <row r="201">
      <c r="B201" s="343">
        <v>199.0</v>
      </c>
      <c r="C201" s="6"/>
      <c r="D201" s="6"/>
      <c r="E201" s="6"/>
      <c r="F201" s="12"/>
      <c r="G201" s="8"/>
      <c r="H201" s="49"/>
      <c r="I201" s="9"/>
      <c r="J201" s="339"/>
    </row>
    <row r="202">
      <c r="B202" s="342">
        <v>200.0</v>
      </c>
      <c r="C202" s="6"/>
      <c r="D202" s="6"/>
      <c r="E202" s="6"/>
      <c r="F202" s="12"/>
      <c r="G202" s="8"/>
      <c r="H202" s="49"/>
      <c r="I202" s="9"/>
      <c r="J202" s="339"/>
    </row>
    <row r="203">
      <c r="B203" s="342">
        <v>201.0</v>
      </c>
      <c r="C203" s="6"/>
      <c r="D203" s="6"/>
      <c r="E203" s="6"/>
      <c r="F203" s="12"/>
      <c r="G203" s="8"/>
      <c r="H203" s="49"/>
      <c r="I203" s="9"/>
      <c r="J203" s="339"/>
    </row>
    <row r="204">
      <c r="B204" s="342">
        <v>202.0</v>
      </c>
      <c r="C204" s="6"/>
      <c r="D204" s="6"/>
      <c r="E204" s="6"/>
      <c r="F204" s="12"/>
      <c r="G204" s="8"/>
      <c r="H204" s="49"/>
      <c r="I204" s="9"/>
      <c r="J204" s="339"/>
    </row>
    <row r="205">
      <c r="B205" s="342">
        <v>203.0</v>
      </c>
      <c r="C205" s="6"/>
      <c r="D205" s="6"/>
      <c r="E205" s="6"/>
      <c r="F205" s="12"/>
      <c r="G205" s="8"/>
      <c r="H205" s="49"/>
      <c r="I205" s="9"/>
      <c r="J205" s="339"/>
    </row>
    <row r="206">
      <c r="B206" s="342">
        <v>204.0</v>
      </c>
      <c r="C206" s="6"/>
      <c r="D206" s="6"/>
      <c r="E206" s="6"/>
      <c r="F206" s="12"/>
      <c r="G206" s="8"/>
      <c r="H206" s="49"/>
      <c r="I206" s="9"/>
      <c r="J206" s="339"/>
    </row>
    <row r="207">
      <c r="B207" s="342">
        <v>205.0</v>
      </c>
      <c r="C207" s="6"/>
      <c r="D207" s="6"/>
      <c r="E207" s="6"/>
      <c r="F207" s="12"/>
      <c r="G207" s="8"/>
      <c r="H207" s="49"/>
      <c r="I207" s="9"/>
      <c r="J207" s="339"/>
    </row>
    <row r="208">
      <c r="B208" s="343">
        <v>206.0</v>
      </c>
      <c r="C208" s="6"/>
      <c r="D208" s="6"/>
      <c r="E208" s="6"/>
      <c r="F208" s="12"/>
      <c r="G208" s="8"/>
      <c r="H208" s="49"/>
      <c r="I208" s="9"/>
      <c r="J208" s="339"/>
    </row>
    <row r="209">
      <c r="B209" s="343">
        <v>207.0</v>
      </c>
      <c r="C209" s="6"/>
      <c r="D209" s="6"/>
      <c r="E209" s="6"/>
      <c r="F209" s="12"/>
      <c r="G209" s="8"/>
      <c r="H209" s="49"/>
      <c r="I209" s="9"/>
      <c r="J209" s="339"/>
    </row>
    <row r="210">
      <c r="B210" s="342">
        <v>208.0</v>
      </c>
      <c r="C210" s="6"/>
      <c r="D210" s="6"/>
      <c r="E210" s="6"/>
      <c r="F210" s="12"/>
      <c r="G210" s="8"/>
      <c r="H210" s="49"/>
      <c r="I210" s="9"/>
      <c r="J210" s="339"/>
    </row>
    <row r="211">
      <c r="B211" s="342">
        <v>209.0</v>
      </c>
      <c r="C211" s="6"/>
      <c r="D211" s="6"/>
      <c r="E211" s="6"/>
      <c r="F211" s="12"/>
      <c r="G211" s="8"/>
      <c r="H211" s="49"/>
      <c r="I211" s="9"/>
      <c r="J211" s="339"/>
    </row>
    <row r="212">
      <c r="B212" s="342">
        <v>210.0</v>
      </c>
      <c r="C212" s="6"/>
      <c r="D212" s="6"/>
      <c r="E212" s="6"/>
      <c r="F212" s="12"/>
      <c r="G212" s="8"/>
      <c r="H212" s="49"/>
      <c r="I212" s="9"/>
      <c r="J212" s="339"/>
    </row>
    <row r="213">
      <c r="B213" s="343">
        <v>211.0</v>
      </c>
      <c r="C213" s="6"/>
      <c r="D213" s="6"/>
      <c r="E213" s="6"/>
      <c r="F213" s="12"/>
      <c r="G213" s="8"/>
      <c r="H213" s="49"/>
      <c r="I213" s="9"/>
      <c r="J213" s="339"/>
    </row>
    <row r="214">
      <c r="B214" s="343">
        <v>212.0</v>
      </c>
      <c r="C214" s="6"/>
      <c r="D214" s="6"/>
      <c r="E214" s="6"/>
      <c r="F214" s="12"/>
      <c r="G214" s="8"/>
      <c r="H214" s="49"/>
      <c r="I214" s="9"/>
      <c r="J214" s="339"/>
    </row>
    <row r="215">
      <c r="B215" s="343">
        <v>213.0</v>
      </c>
      <c r="C215" s="6"/>
      <c r="D215" s="6"/>
      <c r="E215" s="6"/>
      <c r="F215" s="12"/>
      <c r="G215" s="8"/>
      <c r="H215" s="49"/>
      <c r="I215" s="9"/>
      <c r="J215" s="339"/>
    </row>
    <row r="216">
      <c r="B216" s="343">
        <v>214.0</v>
      </c>
      <c r="C216" s="6"/>
      <c r="D216" s="6"/>
      <c r="E216" s="6"/>
      <c r="F216" s="12"/>
      <c r="G216" s="8"/>
      <c r="H216" s="49"/>
      <c r="I216" s="9"/>
      <c r="J216" s="339"/>
    </row>
    <row r="217">
      <c r="B217" s="342">
        <v>215.0</v>
      </c>
      <c r="C217" s="6"/>
      <c r="D217" s="6"/>
      <c r="E217" s="6"/>
      <c r="F217" s="12"/>
      <c r="G217" s="8"/>
      <c r="H217" s="49"/>
      <c r="I217" s="9"/>
      <c r="J217" s="339"/>
    </row>
    <row r="218">
      <c r="B218" s="342">
        <v>216.0</v>
      </c>
      <c r="C218" s="6"/>
      <c r="D218" s="6"/>
      <c r="E218" s="6"/>
      <c r="F218" s="12"/>
      <c r="G218" s="8"/>
      <c r="H218" s="49"/>
      <c r="I218" s="9"/>
      <c r="J218" s="339"/>
    </row>
    <row r="219">
      <c r="B219" s="342">
        <v>217.0</v>
      </c>
      <c r="C219" s="6"/>
      <c r="D219" s="6"/>
      <c r="E219" s="6"/>
      <c r="F219" s="12"/>
      <c r="G219" s="8"/>
      <c r="H219" s="49"/>
      <c r="I219" s="9"/>
      <c r="J219" s="339"/>
    </row>
    <row r="220">
      <c r="B220" s="342">
        <v>218.0</v>
      </c>
      <c r="C220" s="6"/>
      <c r="D220" s="6"/>
      <c r="E220" s="6"/>
      <c r="F220" s="12"/>
      <c r="G220" s="8"/>
      <c r="H220" s="49"/>
      <c r="I220" s="9"/>
      <c r="J220" s="339"/>
    </row>
    <row r="221">
      <c r="B221" s="343">
        <v>219.0</v>
      </c>
      <c r="C221" s="6" t="s">
        <v>398</v>
      </c>
      <c r="D221" s="6" t="s">
        <v>36</v>
      </c>
      <c r="E221" s="6" t="s">
        <v>40</v>
      </c>
      <c r="F221" s="12">
        <v>36654.0</v>
      </c>
      <c r="G221" s="8">
        <f t="shared" ref="G221:G222" si="3">YEARFRAC(F221, TODAY(),1)</f>
        <v>26.18178007</v>
      </c>
      <c r="H221" s="9">
        <v>145.0</v>
      </c>
      <c r="I221" s="9"/>
      <c r="J221" s="10" t="s">
        <v>1504</v>
      </c>
    </row>
    <row r="222">
      <c r="B222" s="343">
        <v>220.0</v>
      </c>
      <c r="C222" s="6" t="s">
        <v>388</v>
      </c>
      <c r="D222" s="6" t="s">
        <v>74</v>
      </c>
      <c r="E222" s="6" t="s">
        <v>176</v>
      </c>
      <c r="F222" s="12">
        <v>37677.0</v>
      </c>
      <c r="G222" s="8">
        <f t="shared" si="3"/>
        <v>23.38082192</v>
      </c>
      <c r="H222" s="49">
        <v>135.0</v>
      </c>
      <c r="I222" s="9"/>
      <c r="J222" s="42" t="s">
        <v>1505</v>
      </c>
    </row>
    <row r="223">
      <c r="B223" s="342">
        <v>221.0</v>
      </c>
      <c r="C223" s="6"/>
      <c r="D223" s="6"/>
      <c r="E223" s="6"/>
      <c r="F223" s="12"/>
      <c r="G223" s="8"/>
      <c r="H223" s="49"/>
      <c r="I223" s="9"/>
      <c r="J223" s="339"/>
    </row>
    <row r="224">
      <c r="B224" s="342">
        <v>222.0</v>
      </c>
      <c r="C224" s="6" t="s">
        <v>464</v>
      </c>
      <c r="D224" s="6" t="s">
        <v>36</v>
      </c>
      <c r="E224" s="6" t="s">
        <v>46</v>
      </c>
      <c r="F224" s="12">
        <v>37426.0</v>
      </c>
      <c r="G224" s="8">
        <f t="shared" ref="G224:G226" si="4">YEARFRAC(F224, TODAY(),1)</f>
        <v>24.06849315</v>
      </c>
      <c r="H224" s="49">
        <v>144.0</v>
      </c>
      <c r="I224" s="9"/>
      <c r="J224" s="339" t="s">
        <v>1506</v>
      </c>
    </row>
    <row r="225">
      <c r="B225" s="342">
        <v>223.0</v>
      </c>
      <c r="C225" s="6" t="s">
        <v>448</v>
      </c>
      <c r="D225" s="6" t="s">
        <v>74</v>
      </c>
      <c r="E225" s="6" t="s">
        <v>167</v>
      </c>
      <c r="F225" s="12">
        <v>35830.0</v>
      </c>
      <c r="G225" s="8">
        <f t="shared" si="4"/>
        <v>28.43835616</v>
      </c>
      <c r="H225" s="9">
        <v>136.0</v>
      </c>
      <c r="I225" s="9"/>
      <c r="J225" s="42" t="s">
        <v>1507</v>
      </c>
    </row>
    <row r="226">
      <c r="B226" s="342">
        <v>224.0</v>
      </c>
      <c r="C226" s="6" t="s">
        <v>444</v>
      </c>
      <c r="D226" s="6" t="s">
        <v>25</v>
      </c>
      <c r="E226" s="6" t="s">
        <v>22</v>
      </c>
      <c r="F226" s="12">
        <v>35127.0</v>
      </c>
      <c r="G226" s="8">
        <f t="shared" si="4"/>
        <v>30.36210794</v>
      </c>
      <c r="H226" s="49">
        <v>141.0</v>
      </c>
      <c r="I226" s="9"/>
      <c r="J226" s="42" t="s">
        <v>1508</v>
      </c>
    </row>
    <row r="227">
      <c r="B227" s="342">
        <v>225.0</v>
      </c>
      <c r="C227" s="34"/>
      <c r="D227" s="34"/>
      <c r="E227" s="34"/>
      <c r="F227" s="30"/>
      <c r="G227" s="31"/>
      <c r="H227" s="9"/>
      <c r="I227" s="9"/>
      <c r="J227" s="340"/>
    </row>
    <row r="228">
      <c r="B228" s="343">
        <v>226.0</v>
      </c>
      <c r="C228" s="11" t="s">
        <v>390</v>
      </c>
      <c r="D228" s="11" t="s">
        <v>25</v>
      </c>
      <c r="E228" s="11" t="s">
        <v>46</v>
      </c>
      <c r="F228" s="12">
        <v>36449.0</v>
      </c>
      <c r="G228" s="8">
        <f>YEARFRAC(F228, TODAY(),1)</f>
        <v>26.74246575</v>
      </c>
      <c r="H228" s="9">
        <v>160.0</v>
      </c>
      <c r="I228" s="9">
        <v>-1.0</v>
      </c>
      <c r="J228" s="10" t="s">
        <v>1509</v>
      </c>
    </row>
    <row r="229">
      <c r="B229" s="343">
        <v>227.0</v>
      </c>
      <c r="C229" s="11"/>
      <c r="D229" s="11"/>
      <c r="E229" s="11"/>
      <c r="F229" s="12"/>
      <c r="G229" s="8"/>
      <c r="H229" s="49"/>
      <c r="I229" s="9"/>
      <c r="J229" s="341"/>
    </row>
    <row r="230">
      <c r="B230" s="343">
        <v>228.0</v>
      </c>
      <c r="C230" s="6" t="s">
        <v>313</v>
      </c>
      <c r="D230" s="6" t="s">
        <v>77</v>
      </c>
      <c r="E230" s="6" t="s">
        <v>40</v>
      </c>
      <c r="F230" s="12">
        <v>32995.0</v>
      </c>
      <c r="G230" s="8">
        <f t="shared" ref="G230:G243" si="5">YEARFRAC(F230, TODAY(),1)</f>
        <v>36.2</v>
      </c>
      <c r="H230" s="49">
        <v>143.0</v>
      </c>
      <c r="I230" s="9">
        <v>-1.0</v>
      </c>
      <c r="J230" s="42" t="s">
        <v>1510</v>
      </c>
    </row>
    <row r="231">
      <c r="B231" s="342">
        <v>229.0</v>
      </c>
      <c r="C231" s="6" t="s">
        <v>548</v>
      </c>
      <c r="D231" s="6" t="s">
        <v>25</v>
      </c>
      <c r="E231" s="6" t="s">
        <v>43</v>
      </c>
      <c r="F231" s="12">
        <v>38450.0</v>
      </c>
      <c r="G231" s="8">
        <f t="shared" si="5"/>
        <v>21.26575342</v>
      </c>
      <c r="H231" s="49">
        <v>156.0</v>
      </c>
      <c r="I231" s="9">
        <v>-34.0</v>
      </c>
      <c r="J231" s="42" t="s">
        <v>549</v>
      </c>
    </row>
    <row r="232">
      <c r="B232" s="343">
        <v>230.0</v>
      </c>
      <c r="C232" s="35" t="s">
        <v>351</v>
      </c>
      <c r="D232" s="11" t="s">
        <v>21</v>
      </c>
      <c r="E232" s="35" t="s">
        <v>32</v>
      </c>
      <c r="F232" s="12">
        <v>36354.0</v>
      </c>
      <c r="G232" s="8">
        <f t="shared" si="5"/>
        <v>27.00273973</v>
      </c>
      <c r="H232" s="49">
        <v>182.0</v>
      </c>
      <c r="I232" s="9">
        <v>21.0</v>
      </c>
      <c r="J232" s="341" t="s">
        <v>1511</v>
      </c>
    </row>
    <row r="233">
      <c r="B233" s="343">
        <v>231.0</v>
      </c>
      <c r="C233" s="6" t="s">
        <v>436</v>
      </c>
      <c r="D233" s="6" t="s">
        <v>25</v>
      </c>
      <c r="E233" s="6" t="s">
        <v>114</v>
      </c>
      <c r="F233" s="12">
        <v>36074.0</v>
      </c>
      <c r="G233" s="8">
        <f t="shared" si="5"/>
        <v>27.76986301</v>
      </c>
      <c r="H233" s="9">
        <v>157.0</v>
      </c>
      <c r="I233" s="9">
        <v>-2.0</v>
      </c>
      <c r="J233" s="10" t="s">
        <v>1512</v>
      </c>
    </row>
    <row r="234">
      <c r="B234" s="343">
        <v>232.0</v>
      </c>
      <c r="C234" s="6" t="s">
        <v>438</v>
      </c>
      <c r="D234" s="11" t="s">
        <v>36</v>
      </c>
      <c r="E234" s="11" t="s">
        <v>26</v>
      </c>
      <c r="F234" s="12">
        <v>37662.0</v>
      </c>
      <c r="G234" s="8">
        <f t="shared" si="5"/>
        <v>23.42191781</v>
      </c>
      <c r="H234" s="49">
        <v>174.0</v>
      </c>
      <c r="I234" s="9">
        <v>4.0</v>
      </c>
      <c r="J234" s="344" t="s">
        <v>1513</v>
      </c>
    </row>
    <row r="235">
      <c r="B235" s="342">
        <v>233.0</v>
      </c>
      <c r="C235" s="11" t="s">
        <v>700</v>
      </c>
      <c r="D235" s="11" t="s">
        <v>25</v>
      </c>
      <c r="E235" s="11" t="s">
        <v>128</v>
      </c>
      <c r="F235" s="12">
        <v>37781.0</v>
      </c>
      <c r="G235" s="8">
        <f t="shared" si="5"/>
        <v>23.09589041</v>
      </c>
      <c r="H235" s="49">
        <v>162.0</v>
      </c>
      <c r="I235" s="9">
        <v>-30.0</v>
      </c>
      <c r="J235" s="42" t="s">
        <v>1514</v>
      </c>
    </row>
    <row r="236">
      <c r="B236" s="342">
        <v>234.0</v>
      </c>
      <c r="C236" s="14" t="s">
        <v>446</v>
      </c>
      <c r="D236" s="14" t="s">
        <v>10</v>
      </c>
      <c r="E236" s="14" t="s">
        <v>58</v>
      </c>
      <c r="F236" s="16">
        <v>37932.0</v>
      </c>
      <c r="G236" s="17">
        <f t="shared" si="5"/>
        <v>22.68219178</v>
      </c>
      <c r="H236" s="49">
        <v>152.0</v>
      </c>
      <c r="I236" s="9">
        <v>-1.0</v>
      </c>
      <c r="J236" s="47" t="s">
        <v>1515</v>
      </c>
    </row>
    <row r="237">
      <c r="B237" s="343">
        <v>235.0</v>
      </c>
      <c r="C237" s="11" t="s">
        <v>479</v>
      </c>
      <c r="D237" s="11" t="s">
        <v>14</v>
      </c>
      <c r="E237" s="11" t="s">
        <v>95</v>
      </c>
      <c r="F237" s="12">
        <v>33066.0</v>
      </c>
      <c r="G237" s="8">
        <f t="shared" si="5"/>
        <v>36.00547945</v>
      </c>
      <c r="H237" s="49">
        <v>170.0</v>
      </c>
      <c r="I237" s="9">
        <v>1.0</v>
      </c>
      <c r="J237" s="341" t="s">
        <v>1516</v>
      </c>
    </row>
    <row r="238">
      <c r="B238" s="343">
        <v>236.0</v>
      </c>
      <c r="C238" s="28" t="s">
        <v>669</v>
      </c>
      <c r="D238" s="34" t="s">
        <v>14</v>
      </c>
      <c r="E238" s="34" t="s">
        <v>82</v>
      </c>
      <c r="F238" s="30">
        <v>38641.0</v>
      </c>
      <c r="G238" s="31">
        <f t="shared" si="5"/>
        <v>20.74246575</v>
      </c>
      <c r="H238" s="9">
        <v>166.0</v>
      </c>
      <c r="I238" s="9">
        <v>30.0</v>
      </c>
      <c r="J238" s="345" t="s">
        <v>1517</v>
      </c>
    </row>
    <row r="239">
      <c r="B239" s="343">
        <v>237.0</v>
      </c>
      <c r="C239" s="6" t="s">
        <v>456</v>
      </c>
      <c r="D239" s="6" t="s">
        <v>25</v>
      </c>
      <c r="E239" s="6" t="s">
        <v>176</v>
      </c>
      <c r="F239" s="12">
        <v>32765.0</v>
      </c>
      <c r="G239" s="8">
        <f t="shared" si="5"/>
        <v>36.83013699</v>
      </c>
      <c r="H239" s="49">
        <v>123.0</v>
      </c>
      <c r="I239" s="9">
        <v>0.0</v>
      </c>
      <c r="J239" s="42" t="s">
        <v>1518</v>
      </c>
    </row>
    <row r="240">
      <c r="B240" s="343">
        <v>238.0</v>
      </c>
      <c r="C240" s="6" t="s">
        <v>529</v>
      </c>
      <c r="D240" s="6" t="s">
        <v>14</v>
      </c>
      <c r="E240" s="6" t="s">
        <v>32</v>
      </c>
      <c r="F240" s="12">
        <v>36319.0</v>
      </c>
      <c r="G240" s="8">
        <f t="shared" si="5"/>
        <v>27.09863014</v>
      </c>
      <c r="H240" s="9">
        <v>142.0</v>
      </c>
      <c r="I240" s="9">
        <v>-3.0</v>
      </c>
      <c r="J240" s="42" t="s">
        <v>1519</v>
      </c>
    </row>
    <row r="241">
      <c r="B241" s="343">
        <v>239.0</v>
      </c>
      <c r="C241" s="11" t="s">
        <v>341</v>
      </c>
      <c r="D241" s="11" t="s">
        <v>14</v>
      </c>
      <c r="E241" s="6" t="s">
        <v>55</v>
      </c>
      <c r="F241" s="12">
        <v>34390.0</v>
      </c>
      <c r="G241" s="8">
        <f t="shared" si="5"/>
        <v>32.38082192</v>
      </c>
      <c r="H241" s="49">
        <v>155.0</v>
      </c>
      <c r="I241" s="9">
        <v>-14.0</v>
      </c>
      <c r="J241" s="339" t="s">
        <v>1520</v>
      </c>
    </row>
    <row r="242">
      <c r="B242" s="343">
        <v>240.0</v>
      </c>
      <c r="C242" s="34" t="s">
        <v>488</v>
      </c>
      <c r="D242" s="34" t="s">
        <v>14</v>
      </c>
      <c r="E242" s="34" t="s">
        <v>58</v>
      </c>
      <c r="F242" s="30">
        <v>37686.0</v>
      </c>
      <c r="G242" s="31">
        <f t="shared" si="5"/>
        <v>23.35616438</v>
      </c>
      <c r="H242" s="49">
        <v>165.0</v>
      </c>
      <c r="I242" s="9">
        <v>-16.0</v>
      </c>
      <c r="J242" s="346" t="s">
        <v>1521</v>
      </c>
    </row>
    <row r="243">
      <c r="B243" s="342">
        <v>241.0</v>
      </c>
      <c r="C243" s="6" t="s">
        <v>603</v>
      </c>
      <c r="D243" s="6" t="s">
        <v>36</v>
      </c>
      <c r="E243" s="35" t="s">
        <v>69</v>
      </c>
      <c r="F243" s="12">
        <v>36533.0</v>
      </c>
      <c r="G243" s="8">
        <f t="shared" si="5"/>
        <v>26.51238117</v>
      </c>
      <c r="H243" s="49">
        <v>168.0</v>
      </c>
      <c r="I243" s="9">
        <v>1.0</v>
      </c>
      <c r="J243" s="10" t="s">
        <v>1522</v>
      </c>
    </row>
    <row r="244">
      <c r="B244" s="342">
        <v>242.0</v>
      </c>
      <c r="C244" s="6"/>
      <c r="D244" s="6"/>
      <c r="E244" s="6"/>
      <c r="F244" s="12"/>
      <c r="G244" s="8"/>
      <c r="H244" s="49"/>
      <c r="I244" s="9"/>
      <c r="J244" s="341"/>
    </row>
    <row r="245">
      <c r="B245" s="342">
        <v>243.0</v>
      </c>
      <c r="C245" s="11" t="s">
        <v>931</v>
      </c>
      <c r="D245" s="11" t="s">
        <v>573</v>
      </c>
      <c r="E245" s="11" t="s">
        <v>158</v>
      </c>
      <c r="F245" s="12">
        <v>37177.0</v>
      </c>
      <c r="G245" s="8">
        <f t="shared" ref="G245:G299" si="6">YEARFRAC(F245, TODAY(),1)</f>
        <v>24.75068493</v>
      </c>
      <c r="H245" s="49">
        <v>147.0</v>
      </c>
      <c r="I245" s="9">
        <v>-10.0</v>
      </c>
      <c r="J245" s="339" t="s">
        <v>1523</v>
      </c>
    </row>
    <row r="246">
      <c r="B246" s="343">
        <v>244.0</v>
      </c>
      <c r="C246" s="6" t="s">
        <v>432</v>
      </c>
      <c r="D246" s="6" t="s">
        <v>25</v>
      </c>
      <c r="E246" s="6" t="s">
        <v>55</v>
      </c>
      <c r="F246" s="12">
        <v>35086.0</v>
      </c>
      <c r="G246" s="8">
        <f t="shared" si="6"/>
        <v>30.4741298</v>
      </c>
      <c r="H246" s="9">
        <v>184.0</v>
      </c>
      <c r="I246" s="9">
        <v>25.0</v>
      </c>
      <c r="J246" s="341" t="s">
        <v>1524</v>
      </c>
    </row>
    <row r="247">
      <c r="B247" s="343">
        <v>245.0</v>
      </c>
      <c r="C247" s="6" t="s">
        <v>411</v>
      </c>
      <c r="D247" s="6" t="s">
        <v>10</v>
      </c>
      <c r="E247" s="6" t="s">
        <v>29</v>
      </c>
      <c r="F247" s="12">
        <v>37033.0</v>
      </c>
      <c r="G247" s="8">
        <f t="shared" si="6"/>
        <v>25.14520548</v>
      </c>
      <c r="H247" s="49">
        <v>186.0</v>
      </c>
      <c r="I247" s="9">
        <v>4.0</v>
      </c>
      <c r="J247" s="341" t="s">
        <v>1525</v>
      </c>
    </row>
    <row r="248">
      <c r="B248" s="5">
        <v>246.0</v>
      </c>
      <c r="C248" s="6" t="s">
        <v>512</v>
      </c>
      <c r="D248" s="6" t="s">
        <v>25</v>
      </c>
      <c r="E248" s="35" t="s">
        <v>167</v>
      </c>
      <c r="F248" s="12">
        <v>35766.0</v>
      </c>
      <c r="G248" s="8">
        <f t="shared" si="6"/>
        <v>28.61369863</v>
      </c>
      <c r="H248" s="49">
        <v>177.0</v>
      </c>
      <c r="I248" s="9">
        <v>-11.0</v>
      </c>
      <c r="J248" s="10" t="s">
        <v>1526</v>
      </c>
    </row>
    <row r="249">
      <c r="B249" s="5">
        <v>247.0</v>
      </c>
      <c r="C249" s="6" t="s">
        <v>953</v>
      </c>
      <c r="D249" s="6" t="s">
        <v>14</v>
      </c>
      <c r="E249" s="6" t="s">
        <v>29</v>
      </c>
      <c r="F249" s="12">
        <v>37300.0</v>
      </c>
      <c r="G249" s="8">
        <f t="shared" si="6"/>
        <v>24.41369863</v>
      </c>
      <c r="H249" s="9">
        <v>154.0</v>
      </c>
      <c r="I249" s="9">
        <v>-12.0</v>
      </c>
      <c r="J249" s="42" t="s">
        <v>1527</v>
      </c>
    </row>
    <row r="250">
      <c r="B250" s="5">
        <v>248.0</v>
      </c>
      <c r="C250" s="6" t="s">
        <v>565</v>
      </c>
      <c r="D250" s="6" t="s">
        <v>21</v>
      </c>
      <c r="E250" s="6" t="s">
        <v>87</v>
      </c>
      <c r="F250" s="12">
        <v>33170.0</v>
      </c>
      <c r="G250" s="8">
        <f t="shared" si="6"/>
        <v>35.72054795</v>
      </c>
      <c r="H250" s="9">
        <v>169.0</v>
      </c>
      <c r="I250" s="9"/>
      <c r="J250" s="10" t="s">
        <v>1528</v>
      </c>
    </row>
    <row r="251">
      <c r="B251" s="5">
        <v>249.0</v>
      </c>
      <c r="C251" s="28" t="s">
        <v>426</v>
      </c>
      <c r="D251" s="29" t="s">
        <v>25</v>
      </c>
      <c r="E251" s="29" t="s">
        <v>87</v>
      </c>
      <c r="F251" s="30">
        <v>39069.0</v>
      </c>
      <c r="G251" s="31">
        <f t="shared" si="6"/>
        <v>19.56986301</v>
      </c>
      <c r="H251" s="49">
        <v>173.0</v>
      </c>
      <c r="I251" s="9">
        <v>-1.0</v>
      </c>
      <c r="J251" s="345" t="s">
        <v>1529</v>
      </c>
    </row>
    <row r="252">
      <c r="B252" s="5">
        <v>250.0</v>
      </c>
      <c r="C252" s="6" t="s">
        <v>409</v>
      </c>
      <c r="D252" s="11" t="s">
        <v>25</v>
      </c>
      <c r="E252" s="11" t="s">
        <v>128</v>
      </c>
      <c r="F252" s="12">
        <v>34753.0</v>
      </c>
      <c r="G252" s="8">
        <f t="shared" si="6"/>
        <v>31.38630137</v>
      </c>
      <c r="H252" s="49">
        <v>179.0</v>
      </c>
      <c r="I252" s="9">
        <v>-3.0</v>
      </c>
      <c r="J252" s="341" t="s">
        <v>1530</v>
      </c>
    </row>
    <row r="253">
      <c r="B253" s="5">
        <v>251.0</v>
      </c>
      <c r="C253" s="6" t="s">
        <v>307</v>
      </c>
      <c r="D253" s="6" t="s">
        <v>10</v>
      </c>
      <c r="E253" s="6" t="s">
        <v>158</v>
      </c>
      <c r="F253" s="12">
        <v>37201.0</v>
      </c>
      <c r="G253" s="8">
        <f t="shared" si="6"/>
        <v>24.68493151</v>
      </c>
      <c r="H253" s="49">
        <v>218.0</v>
      </c>
      <c r="I253" s="9">
        <v>7.0</v>
      </c>
      <c r="J253" s="341" t="s">
        <v>1531</v>
      </c>
    </row>
    <row r="254">
      <c r="B254" s="5">
        <v>252.0</v>
      </c>
      <c r="C254" s="28" t="s">
        <v>403</v>
      </c>
      <c r="D254" s="34" t="s">
        <v>14</v>
      </c>
      <c r="E254" s="34" t="s">
        <v>128</v>
      </c>
      <c r="F254" s="30">
        <v>38866.0</v>
      </c>
      <c r="G254" s="31">
        <f t="shared" si="6"/>
        <v>20.1260274</v>
      </c>
      <c r="H254" s="49">
        <v>171.0</v>
      </c>
      <c r="I254" s="9">
        <v>-4.0</v>
      </c>
      <c r="J254" s="54" t="s">
        <v>1532</v>
      </c>
    </row>
    <row r="255">
      <c r="B255" s="5">
        <v>253.0</v>
      </c>
      <c r="C255" s="11" t="s">
        <v>550</v>
      </c>
      <c r="D255" s="11" t="s">
        <v>77</v>
      </c>
      <c r="E255" s="11" t="s">
        <v>167</v>
      </c>
      <c r="F255" s="12">
        <v>32727.0</v>
      </c>
      <c r="G255" s="8">
        <f t="shared" si="6"/>
        <v>36.93424658</v>
      </c>
      <c r="H255" s="9">
        <v>199.0</v>
      </c>
      <c r="I255" s="9">
        <v>-5.0</v>
      </c>
      <c r="J255" s="347" t="s">
        <v>1533</v>
      </c>
    </row>
    <row r="256">
      <c r="B256" s="5">
        <v>254.0</v>
      </c>
      <c r="C256" s="11" t="s">
        <v>392</v>
      </c>
      <c r="D256" s="11" t="s">
        <v>25</v>
      </c>
      <c r="E256" s="11" t="s">
        <v>26</v>
      </c>
      <c r="F256" s="12">
        <v>35819.0</v>
      </c>
      <c r="G256" s="8">
        <f t="shared" si="6"/>
        <v>28.46849315</v>
      </c>
      <c r="H256" s="49">
        <v>228.0</v>
      </c>
      <c r="I256" s="9">
        <v>-6.0</v>
      </c>
      <c r="J256" s="341" t="s">
        <v>1534</v>
      </c>
    </row>
    <row r="257">
      <c r="B257" s="5">
        <v>255.0</v>
      </c>
      <c r="C257" s="28" t="s">
        <v>493</v>
      </c>
      <c r="D257" s="34" t="s">
        <v>36</v>
      </c>
      <c r="E257" s="34" t="s">
        <v>167</v>
      </c>
      <c r="F257" s="30">
        <v>37296.0</v>
      </c>
      <c r="G257" s="31">
        <f t="shared" si="6"/>
        <v>24.42465753</v>
      </c>
      <c r="H257" s="49">
        <v>164.0</v>
      </c>
      <c r="I257" s="9">
        <v>-7.0</v>
      </c>
      <c r="J257" s="345" t="s">
        <v>1535</v>
      </c>
    </row>
    <row r="258">
      <c r="B258" s="5">
        <v>256.0</v>
      </c>
      <c r="C258" s="6" t="s">
        <v>561</v>
      </c>
      <c r="D258" s="6" t="s">
        <v>14</v>
      </c>
      <c r="E258" s="6" t="s">
        <v>58</v>
      </c>
      <c r="F258" s="12">
        <v>38268.0</v>
      </c>
      <c r="G258" s="8">
        <f t="shared" si="6"/>
        <v>21.76374729</v>
      </c>
      <c r="H258" s="49">
        <v>146.0</v>
      </c>
      <c r="I258" s="9">
        <v>6.0</v>
      </c>
      <c r="J258" s="10" t="s">
        <v>562</v>
      </c>
    </row>
    <row r="259">
      <c r="B259" s="5">
        <v>257.0</v>
      </c>
      <c r="C259" s="6" t="s">
        <v>440</v>
      </c>
      <c r="D259" s="6" t="s">
        <v>14</v>
      </c>
      <c r="E259" s="6" t="s">
        <v>128</v>
      </c>
      <c r="F259" s="12">
        <v>36043.0</v>
      </c>
      <c r="G259" s="8">
        <f t="shared" si="6"/>
        <v>27.85479452</v>
      </c>
      <c r="H259" s="9">
        <v>187.0</v>
      </c>
      <c r="I259" s="9">
        <v>9.0</v>
      </c>
      <c r="J259" s="341" t="s">
        <v>1536</v>
      </c>
    </row>
    <row r="260">
      <c r="B260" s="5">
        <v>258.0</v>
      </c>
      <c r="C260" s="6" t="s">
        <v>386</v>
      </c>
      <c r="D260" s="6" t="s">
        <v>14</v>
      </c>
      <c r="E260" s="6" t="s">
        <v>95</v>
      </c>
      <c r="F260" s="12">
        <v>33069.0</v>
      </c>
      <c r="G260" s="8">
        <f t="shared" si="6"/>
        <v>35.99726027</v>
      </c>
      <c r="H260" s="9">
        <v>172.0</v>
      </c>
      <c r="I260" s="9">
        <v>14.0</v>
      </c>
      <c r="J260" s="10" t="s">
        <v>1537</v>
      </c>
    </row>
    <row r="261">
      <c r="B261" s="5">
        <v>259.0</v>
      </c>
      <c r="C261" s="6" t="s">
        <v>495</v>
      </c>
      <c r="D261" s="6" t="s">
        <v>14</v>
      </c>
      <c r="E261" s="6" t="s">
        <v>49</v>
      </c>
      <c r="F261" s="12">
        <v>36840.0</v>
      </c>
      <c r="G261" s="8">
        <f t="shared" si="6"/>
        <v>25.67358335</v>
      </c>
      <c r="H261" s="9">
        <v>178.0</v>
      </c>
      <c r="I261" s="9">
        <v>3.0</v>
      </c>
      <c r="J261" s="341" t="s">
        <v>1538</v>
      </c>
    </row>
    <row r="262">
      <c r="B262" s="5">
        <v>260.0</v>
      </c>
      <c r="C262" s="11" t="s">
        <v>682</v>
      </c>
      <c r="D262" s="11" t="s">
        <v>10</v>
      </c>
      <c r="E262" s="11" t="s">
        <v>158</v>
      </c>
      <c r="F262" s="12">
        <v>38182.0</v>
      </c>
      <c r="G262" s="8">
        <f t="shared" si="6"/>
        <v>21.99871996</v>
      </c>
      <c r="H262" s="9">
        <v>190.0</v>
      </c>
      <c r="I262" s="9">
        <v>68.0</v>
      </c>
      <c r="J262" s="341" t="s">
        <v>1539</v>
      </c>
    </row>
    <row r="263">
      <c r="B263" s="5">
        <v>261.0</v>
      </c>
      <c r="C263" s="28" t="s">
        <v>318</v>
      </c>
      <c r="D263" s="34" t="s">
        <v>25</v>
      </c>
      <c r="E263" s="34" t="s">
        <v>11</v>
      </c>
      <c r="F263" s="30">
        <v>38682.0</v>
      </c>
      <c r="G263" s="31">
        <f t="shared" si="6"/>
        <v>20.63013699</v>
      </c>
      <c r="H263" s="49">
        <v>176.0</v>
      </c>
      <c r="I263" s="9">
        <v>-12.0</v>
      </c>
      <c r="J263" s="345" t="s">
        <v>319</v>
      </c>
    </row>
    <row r="264">
      <c r="B264" s="5">
        <v>262.0</v>
      </c>
      <c r="C264" s="28" t="s">
        <v>396</v>
      </c>
      <c r="D264" s="34" t="s">
        <v>36</v>
      </c>
      <c r="E264" s="34" t="s">
        <v>32</v>
      </c>
      <c r="F264" s="30">
        <v>38753.0</v>
      </c>
      <c r="G264" s="31">
        <f t="shared" si="6"/>
        <v>20.43561644</v>
      </c>
      <c r="H264" s="49">
        <v>188.0</v>
      </c>
      <c r="I264" s="9">
        <v>13.0</v>
      </c>
      <c r="J264" s="345" t="s">
        <v>1540</v>
      </c>
    </row>
    <row r="265">
      <c r="B265" s="343">
        <v>263.0</v>
      </c>
      <c r="C265" s="11" t="s">
        <v>526</v>
      </c>
      <c r="D265" s="11" t="s">
        <v>25</v>
      </c>
      <c r="E265" s="11" t="s">
        <v>95</v>
      </c>
      <c r="F265" s="12">
        <v>34405.0</v>
      </c>
      <c r="G265" s="8">
        <f t="shared" si="6"/>
        <v>32.33972603</v>
      </c>
      <c r="H265" s="49">
        <v>192.0</v>
      </c>
      <c r="I265" s="9">
        <v>-12.0</v>
      </c>
      <c r="J265" s="341" t="s">
        <v>1541</v>
      </c>
    </row>
    <row r="266">
      <c r="B266" s="342">
        <v>264.0</v>
      </c>
      <c r="C266" s="6" t="s">
        <v>546</v>
      </c>
      <c r="D266" s="6" t="s">
        <v>14</v>
      </c>
      <c r="E266" s="6" t="s">
        <v>37</v>
      </c>
      <c r="F266" s="12">
        <v>38356.0</v>
      </c>
      <c r="G266" s="8">
        <f t="shared" si="6"/>
        <v>21.52328767</v>
      </c>
      <c r="H266" s="9">
        <v>175.0</v>
      </c>
      <c r="I266" s="9">
        <v>-12.0</v>
      </c>
      <c r="J266" s="10" t="s">
        <v>1542</v>
      </c>
    </row>
    <row r="267">
      <c r="B267" s="342">
        <v>265.0</v>
      </c>
      <c r="C267" s="28" t="s">
        <v>471</v>
      </c>
      <c r="D267" s="34" t="s">
        <v>10</v>
      </c>
      <c r="E267" s="34" t="s">
        <v>158</v>
      </c>
      <c r="F267" s="30">
        <v>38112.0</v>
      </c>
      <c r="G267" s="31">
        <f t="shared" si="6"/>
        <v>22.18997679</v>
      </c>
      <c r="H267" s="49">
        <v>189.0</v>
      </c>
      <c r="I267" s="9">
        <v>38.0</v>
      </c>
      <c r="J267" s="345" t="s">
        <v>1543</v>
      </c>
    </row>
    <row r="268">
      <c r="B268" s="342">
        <v>266.0</v>
      </c>
      <c r="C268" s="6" t="s">
        <v>692</v>
      </c>
      <c r="D268" s="6" t="s">
        <v>25</v>
      </c>
      <c r="E268" s="6" t="s">
        <v>18</v>
      </c>
      <c r="F268" s="12">
        <v>37198.0</v>
      </c>
      <c r="G268" s="8">
        <f t="shared" si="6"/>
        <v>24.69315068</v>
      </c>
      <c r="H268" s="49">
        <v>194.0</v>
      </c>
      <c r="I268" s="9">
        <v>-8.0</v>
      </c>
      <c r="J268" s="341" t="s">
        <v>1544</v>
      </c>
    </row>
    <row r="269">
      <c r="B269" s="342">
        <v>267.0</v>
      </c>
      <c r="C269" s="6" t="s">
        <v>720</v>
      </c>
      <c r="D269" s="6" t="s">
        <v>77</v>
      </c>
      <c r="E269" s="6" t="s">
        <v>111</v>
      </c>
      <c r="F269" s="12">
        <v>37628.0</v>
      </c>
      <c r="G269" s="8">
        <f t="shared" si="6"/>
        <v>23.51506849</v>
      </c>
      <c r="H269" s="49">
        <v>195.0</v>
      </c>
      <c r="I269" s="9">
        <v>2.0</v>
      </c>
      <c r="J269" s="347" t="s">
        <v>1545</v>
      </c>
    </row>
    <row r="270">
      <c r="B270" s="343">
        <v>268.0</v>
      </c>
      <c r="C270" s="6" t="s">
        <v>497</v>
      </c>
      <c r="D270" s="6" t="s">
        <v>36</v>
      </c>
      <c r="E270" s="6" t="s">
        <v>15</v>
      </c>
      <c r="F270" s="12">
        <v>36162.0</v>
      </c>
      <c r="G270" s="8">
        <f t="shared" si="6"/>
        <v>27.52876712</v>
      </c>
      <c r="H270" s="49">
        <v>198.0</v>
      </c>
      <c r="I270" s="9">
        <v>-9.0</v>
      </c>
      <c r="J270" s="341" t="s">
        <v>1546</v>
      </c>
    </row>
    <row r="271">
      <c r="B271" s="342">
        <v>269.0</v>
      </c>
      <c r="C271" s="6" t="s">
        <v>469</v>
      </c>
      <c r="D271" s="6" t="s">
        <v>10</v>
      </c>
      <c r="E271" s="6" t="s">
        <v>176</v>
      </c>
      <c r="F271" s="12">
        <v>32936.0</v>
      </c>
      <c r="G271" s="8">
        <f t="shared" si="6"/>
        <v>36.36164384</v>
      </c>
      <c r="H271" s="49">
        <v>203.0</v>
      </c>
      <c r="I271" s="9">
        <v>-14.0</v>
      </c>
      <c r="J271" s="347" t="s">
        <v>470</v>
      </c>
    </row>
    <row r="272">
      <c r="B272" s="342">
        <v>270.0</v>
      </c>
      <c r="C272" s="6" t="s">
        <v>553</v>
      </c>
      <c r="D272" s="6" t="s">
        <v>25</v>
      </c>
      <c r="E272" s="6" t="s">
        <v>114</v>
      </c>
      <c r="F272" s="12">
        <v>36259.0</v>
      </c>
      <c r="G272" s="8">
        <f t="shared" si="6"/>
        <v>27.2630137</v>
      </c>
      <c r="H272" s="49">
        <v>242.0</v>
      </c>
      <c r="I272" s="9">
        <v>63.0</v>
      </c>
      <c r="J272" s="341" t="s">
        <v>1547</v>
      </c>
    </row>
    <row r="273">
      <c r="B273" s="343">
        <v>271.0</v>
      </c>
      <c r="C273" s="28" t="s">
        <v>617</v>
      </c>
      <c r="D273" s="34" t="s">
        <v>21</v>
      </c>
      <c r="E273" s="34" t="s">
        <v>95</v>
      </c>
      <c r="F273" s="30">
        <v>38529.0</v>
      </c>
      <c r="G273" s="31">
        <f t="shared" si="6"/>
        <v>21.04931507</v>
      </c>
      <c r="H273" s="49">
        <v>183.0</v>
      </c>
      <c r="I273" s="9">
        <v>-10.0</v>
      </c>
      <c r="J273" s="345" t="s">
        <v>1548</v>
      </c>
    </row>
    <row r="274">
      <c r="B274" s="342">
        <v>272.0</v>
      </c>
      <c r="C274" s="28" t="s">
        <v>366</v>
      </c>
      <c r="D274" s="34" t="s">
        <v>10</v>
      </c>
      <c r="E274" s="34" t="s">
        <v>167</v>
      </c>
      <c r="F274" s="30">
        <v>37718.0</v>
      </c>
      <c r="G274" s="31">
        <f t="shared" si="6"/>
        <v>23.26849315</v>
      </c>
      <c r="H274" s="49">
        <v>167.0</v>
      </c>
      <c r="I274" s="9">
        <v>83.0</v>
      </c>
      <c r="J274" s="345" t="s">
        <v>1549</v>
      </c>
    </row>
    <row r="275">
      <c r="B275" s="342">
        <v>273.0</v>
      </c>
      <c r="C275" s="6" t="s">
        <v>484</v>
      </c>
      <c r="D275" s="6" t="s">
        <v>25</v>
      </c>
      <c r="E275" s="6" t="s">
        <v>32</v>
      </c>
      <c r="F275" s="12">
        <v>37585.0</v>
      </c>
      <c r="G275" s="8">
        <f t="shared" si="6"/>
        <v>23.63287671</v>
      </c>
      <c r="H275" s="49">
        <v>180.0</v>
      </c>
      <c r="I275" s="9">
        <v>8.0</v>
      </c>
      <c r="J275" s="341" t="s">
        <v>1550</v>
      </c>
    </row>
    <row r="276">
      <c r="B276" s="343">
        <v>274.0</v>
      </c>
      <c r="C276" s="6" t="s">
        <v>516</v>
      </c>
      <c r="D276" s="6" t="s">
        <v>36</v>
      </c>
      <c r="E276" s="6" t="s">
        <v>49</v>
      </c>
      <c r="F276" s="12">
        <v>37859.0</v>
      </c>
      <c r="G276" s="8">
        <f t="shared" si="6"/>
        <v>22.88219178</v>
      </c>
      <c r="H276" s="9">
        <v>181.0</v>
      </c>
      <c r="I276" s="9">
        <v>3.0</v>
      </c>
      <c r="J276" s="341" t="s">
        <v>1551</v>
      </c>
    </row>
    <row r="277">
      <c r="B277" s="342">
        <v>275.0</v>
      </c>
      <c r="C277" s="11" t="s">
        <v>757</v>
      </c>
      <c r="D277" s="11" t="s">
        <v>21</v>
      </c>
      <c r="E277" s="11" t="s">
        <v>11</v>
      </c>
      <c r="F277" s="12">
        <v>34895.0</v>
      </c>
      <c r="G277" s="8">
        <f t="shared" si="6"/>
        <v>30.99726027</v>
      </c>
      <c r="H277" s="9">
        <v>202.0</v>
      </c>
      <c r="I277" s="9">
        <v>5.0</v>
      </c>
      <c r="J277" s="341" t="s">
        <v>1552</v>
      </c>
    </row>
    <row r="278">
      <c r="B278" s="343">
        <v>276.0</v>
      </c>
      <c r="C278" s="11" t="s">
        <v>424</v>
      </c>
      <c r="D278" s="11" t="s">
        <v>10</v>
      </c>
      <c r="E278" s="11" t="s">
        <v>82</v>
      </c>
      <c r="F278" s="12">
        <v>36266.0</v>
      </c>
      <c r="G278" s="8">
        <f t="shared" si="6"/>
        <v>27.24383562</v>
      </c>
      <c r="H278" s="9">
        <v>217.0</v>
      </c>
      <c r="I278" s="9">
        <v>-13.0</v>
      </c>
      <c r="J278" s="341" t="s">
        <v>1553</v>
      </c>
    </row>
    <row r="279">
      <c r="B279" s="342">
        <v>277.0</v>
      </c>
      <c r="C279" s="6" t="s">
        <v>863</v>
      </c>
      <c r="D279" s="6" t="s">
        <v>25</v>
      </c>
      <c r="E279" s="6" t="s">
        <v>11</v>
      </c>
      <c r="F279" s="12">
        <v>37761.0</v>
      </c>
      <c r="G279" s="8">
        <f t="shared" si="6"/>
        <v>23.15068493</v>
      </c>
      <c r="H279" s="49">
        <v>185.0</v>
      </c>
      <c r="I279" s="9">
        <v>-20.0</v>
      </c>
      <c r="J279" s="10" t="s">
        <v>1554</v>
      </c>
    </row>
    <row r="280">
      <c r="B280" s="343">
        <v>278.0</v>
      </c>
      <c r="C280" s="11" t="s">
        <v>726</v>
      </c>
      <c r="D280" s="11" t="s">
        <v>21</v>
      </c>
      <c r="E280" s="11" t="s">
        <v>82</v>
      </c>
      <c r="F280" s="12">
        <v>36361.0</v>
      </c>
      <c r="G280" s="8">
        <f t="shared" si="6"/>
        <v>26.98356164</v>
      </c>
      <c r="H280" s="49">
        <v>200.0</v>
      </c>
      <c r="I280" s="9">
        <v>-5.0</v>
      </c>
      <c r="J280" s="344" t="s">
        <v>1555</v>
      </c>
    </row>
    <row r="281">
      <c r="B281" s="343">
        <v>279.0</v>
      </c>
      <c r="C281" s="6" t="s">
        <v>418</v>
      </c>
      <c r="D281" s="6" t="s">
        <v>21</v>
      </c>
      <c r="E281" s="6" t="s">
        <v>106</v>
      </c>
      <c r="F281" s="12">
        <v>35886.0</v>
      </c>
      <c r="G281" s="8">
        <f t="shared" si="6"/>
        <v>28.28493151</v>
      </c>
      <c r="H281" s="49">
        <v>207.0</v>
      </c>
      <c r="I281" s="9">
        <v>-15.0</v>
      </c>
      <c r="J281" s="341" t="s">
        <v>1556</v>
      </c>
    </row>
    <row r="282">
      <c r="B282" s="343">
        <v>280.0</v>
      </c>
      <c r="C282" s="11" t="s">
        <v>714</v>
      </c>
      <c r="D282" s="11" t="s">
        <v>36</v>
      </c>
      <c r="E282" s="11" t="s">
        <v>176</v>
      </c>
      <c r="F282" s="12">
        <v>37407.0</v>
      </c>
      <c r="G282" s="8">
        <f t="shared" si="6"/>
        <v>24.12054795</v>
      </c>
      <c r="H282" s="9">
        <v>205.0</v>
      </c>
      <c r="I282" s="9">
        <v>10.0</v>
      </c>
      <c r="J282" s="341" t="s">
        <v>1557</v>
      </c>
    </row>
    <row r="283">
      <c r="B283" s="343">
        <v>281.0</v>
      </c>
      <c r="C283" s="6" t="s">
        <v>502</v>
      </c>
      <c r="D283" s="6" t="s">
        <v>14</v>
      </c>
      <c r="E283" s="6" t="s">
        <v>49</v>
      </c>
      <c r="F283" s="12">
        <v>36622.0</v>
      </c>
      <c r="G283" s="8">
        <f t="shared" si="6"/>
        <v>26.26921177</v>
      </c>
      <c r="H283" s="9">
        <v>208.0</v>
      </c>
      <c r="I283" s="9">
        <v>119.0</v>
      </c>
      <c r="J283" s="341" t="s">
        <v>1558</v>
      </c>
    </row>
    <row r="284">
      <c r="B284" s="343">
        <v>282.0</v>
      </c>
      <c r="C284" s="28" t="s">
        <v>454</v>
      </c>
      <c r="D284" s="34" t="s">
        <v>25</v>
      </c>
      <c r="E284" s="34" t="s">
        <v>82</v>
      </c>
      <c r="F284" s="30">
        <v>38359.0</v>
      </c>
      <c r="G284" s="31">
        <f t="shared" si="6"/>
        <v>21.51506849</v>
      </c>
      <c r="H284" s="49">
        <v>210.0</v>
      </c>
      <c r="I284" s="9">
        <v>29.0</v>
      </c>
      <c r="J284" s="345" t="s">
        <v>1559</v>
      </c>
    </row>
    <row r="285">
      <c r="B285" s="343">
        <v>283.0</v>
      </c>
      <c r="C285" s="6" t="s">
        <v>739</v>
      </c>
      <c r="D285" s="6" t="s">
        <v>14</v>
      </c>
      <c r="E285" s="35" t="s">
        <v>69</v>
      </c>
      <c r="F285" s="12">
        <v>34227.0</v>
      </c>
      <c r="G285" s="8">
        <f t="shared" si="6"/>
        <v>32.82739726</v>
      </c>
      <c r="H285" s="9">
        <v>214.0</v>
      </c>
      <c r="I285" s="9">
        <v>-29.0</v>
      </c>
      <c r="J285" s="341" t="s">
        <v>1560</v>
      </c>
    </row>
    <row r="286">
      <c r="B286" s="343">
        <v>284.0</v>
      </c>
      <c r="C286" s="28" t="s">
        <v>559</v>
      </c>
      <c r="D286" s="28" t="s">
        <v>21</v>
      </c>
      <c r="E286" s="28" t="s">
        <v>167</v>
      </c>
      <c r="F286" s="44">
        <v>37241.0</v>
      </c>
      <c r="G286" s="31">
        <f t="shared" si="6"/>
        <v>24.57534247</v>
      </c>
      <c r="H286" s="9">
        <v>403.0</v>
      </c>
      <c r="I286" s="9">
        <v>45.0</v>
      </c>
      <c r="J286" s="345" t="s">
        <v>1561</v>
      </c>
    </row>
    <row r="287">
      <c r="B287" s="343">
        <v>285.0</v>
      </c>
      <c r="C287" s="6" t="s">
        <v>458</v>
      </c>
      <c r="D287" s="6" t="s">
        <v>14</v>
      </c>
      <c r="E287" s="6" t="s">
        <v>66</v>
      </c>
      <c r="F287" s="12">
        <v>33500.0</v>
      </c>
      <c r="G287" s="8">
        <f t="shared" si="6"/>
        <v>34.81643836</v>
      </c>
      <c r="H287" s="9">
        <v>193.0</v>
      </c>
      <c r="I287" s="9">
        <v>-19.0</v>
      </c>
      <c r="J287" s="10" t="s">
        <v>1562</v>
      </c>
    </row>
    <row r="288">
      <c r="B288" s="343">
        <v>286.0</v>
      </c>
      <c r="C288" s="6" t="s">
        <v>597</v>
      </c>
      <c r="D288" s="6" t="s">
        <v>25</v>
      </c>
      <c r="E288" s="6" t="s">
        <v>213</v>
      </c>
      <c r="F288" s="12">
        <v>34904.0</v>
      </c>
      <c r="G288" s="8">
        <f t="shared" si="6"/>
        <v>30.97260274</v>
      </c>
      <c r="H288" s="9">
        <v>196.0</v>
      </c>
      <c r="I288" s="9">
        <v>-17.0</v>
      </c>
      <c r="J288" s="341" t="s">
        <v>1563</v>
      </c>
    </row>
    <row r="289">
      <c r="B289" s="343">
        <v>287.0</v>
      </c>
      <c r="C289" s="6" t="s">
        <v>575</v>
      </c>
      <c r="D289" s="6" t="s">
        <v>14</v>
      </c>
      <c r="E289" s="6" t="s">
        <v>90</v>
      </c>
      <c r="F289" s="12">
        <v>36164.0</v>
      </c>
      <c r="G289" s="8">
        <f t="shared" si="6"/>
        <v>27.52328767</v>
      </c>
      <c r="H289" s="49">
        <v>201.0</v>
      </c>
      <c r="I289" s="9">
        <v>-26.0</v>
      </c>
      <c r="J289" s="10" t="s">
        <v>1564</v>
      </c>
    </row>
    <row r="290">
      <c r="B290" s="343">
        <v>288.0</v>
      </c>
      <c r="C290" s="11" t="s">
        <v>382</v>
      </c>
      <c r="D290" s="11" t="s">
        <v>14</v>
      </c>
      <c r="E290" s="11" t="s">
        <v>87</v>
      </c>
      <c r="F290" s="12">
        <v>36542.0</v>
      </c>
      <c r="G290" s="8">
        <f t="shared" si="6"/>
        <v>26.487791</v>
      </c>
      <c r="H290" s="49">
        <v>206.0</v>
      </c>
      <c r="I290" s="9">
        <v>-12.0</v>
      </c>
      <c r="J290" s="344" t="s">
        <v>1565</v>
      </c>
    </row>
    <row r="291">
      <c r="B291" s="343">
        <v>289.0</v>
      </c>
      <c r="C291" s="6" t="s">
        <v>678</v>
      </c>
      <c r="D291" s="11" t="s">
        <v>10</v>
      </c>
      <c r="E291" s="11" t="s">
        <v>22</v>
      </c>
      <c r="F291" s="12">
        <v>37483.0</v>
      </c>
      <c r="G291" s="8">
        <f t="shared" si="6"/>
        <v>23.91232877</v>
      </c>
      <c r="H291" s="49">
        <v>216.0</v>
      </c>
      <c r="I291" s="9">
        <v>-16.0</v>
      </c>
      <c r="J291" s="341" t="s">
        <v>1566</v>
      </c>
    </row>
    <row r="292">
      <c r="B292" s="343">
        <v>290.0</v>
      </c>
      <c r="C292" s="6" t="s">
        <v>518</v>
      </c>
      <c r="D292" s="6" t="s">
        <v>25</v>
      </c>
      <c r="E292" s="6" t="s">
        <v>18</v>
      </c>
      <c r="F292" s="12">
        <v>35834.0</v>
      </c>
      <c r="G292" s="8">
        <f t="shared" si="6"/>
        <v>28.42739726</v>
      </c>
      <c r="H292" s="49">
        <v>219.0</v>
      </c>
      <c r="I292" s="9">
        <v>-13.0</v>
      </c>
      <c r="J292" s="341" t="s">
        <v>1567</v>
      </c>
    </row>
    <row r="293">
      <c r="B293" s="343">
        <v>291.0</v>
      </c>
      <c r="C293" s="11" t="s">
        <v>521</v>
      </c>
      <c r="D293" s="11" t="s">
        <v>25</v>
      </c>
      <c r="E293" s="11" t="s">
        <v>29</v>
      </c>
      <c r="F293" s="12">
        <v>33800.0</v>
      </c>
      <c r="G293" s="8">
        <f t="shared" si="6"/>
        <v>33.99598772</v>
      </c>
      <c r="H293" s="49">
        <v>212.0</v>
      </c>
      <c r="I293" s="9">
        <v>-29.0</v>
      </c>
      <c r="J293" s="341" t="s">
        <v>1568</v>
      </c>
    </row>
    <row r="294">
      <c r="B294" s="343">
        <v>292.0</v>
      </c>
      <c r="C294" s="11" t="s">
        <v>490</v>
      </c>
      <c r="D294" s="11" t="s">
        <v>36</v>
      </c>
      <c r="E294" s="11" t="s">
        <v>111</v>
      </c>
      <c r="F294" s="12">
        <v>34980.0</v>
      </c>
      <c r="G294" s="8">
        <f t="shared" si="6"/>
        <v>30.76438356</v>
      </c>
      <c r="H294" s="49">
        <v>237.0</v>
      </c>
      <c r="I294" s="9">
        <v>-2.0</v>
      </c>
      <c r="J294" s="341" t="s">
        <v>1569</v>
      </c>
    </row>
    <row r="295">
      <c r="B295" s="343">
        <v>293.0</v>
      </c>
      <c r="C295" s="11" t="s">
        <v>570</v>
      </c>
      <c r="D295" s="11" t="s">
        <v>25</v>
      </c>
      <c r="E295" s="11" t="s">
        <v>82</v>
      </c>
      <c r="F295" s="12">
        <v>37026.0</v>
      </c>
      <c r="G295" s="8">
        <f t="shared" si="6"/>
        <v>25.16438356</v>
      </c>
      <c r="H295" s="49">
        <v>215.0</v>
      </c>
      <c r="I295" s="9">
        <v>23.0</v>
      </c>
      <c r="J295" s="344" t="s">
        <v>1570</v>
      </c>
    </row>
    <row r="296">
      <c r="B296" s="343">
        <v>294.0</v>
      </c>
      <c r="C296" s="11" t="s">
        <v>601</v>
      </c>
      <c r="D296" s="11" t="s">
        <v>14</v>
      </c>
      <c r="E296" s="11" t="s">
        <v>106</v>
      </c>
      <c r="F296" s="12">
        <v>36777.0</v>
      </c>
      <c r="G296" s="8">
        <f t="shared" si="6"/>
        <v>25.8457145</v>
      </c>
      <c r="H296" s="49">
        <v>227.0</v>
      </c>
      <c r="I296" s="9">
        <v>-6.0</v>
      </c>
      <c r="J296" s="344" t="s">
        <v>1571</v>
      </c>
    </row>
    <row r="297">
      <c r="B297" s="343">
        <v>295.0</v>
      </c>
      <c r="C297" s="6" t="s">
        <v>524</v>
      </c>
      <c r="D297" s="6" t="s">
        <v>25</v>
      </c>
      <c r="E297" s="6" t="s">
        <v>32</v>
      </c>
      <c r="F297" s="12">
        <v>35772.0</v>
      </c>
      <c r="G297" s="8">
        <f t="shared" si="6"/>
        <v>28.59726027</v>
      </c>
      <c r="H297" s="49">
        <v>239.0</v>
      </c>
      <c r="I297" s="9">
        <v>5.0</v>
      </c>
      <c r="J297" s="347" t="s">
        <v>1572</v>
      </c>
    </row>
    <row r="298">
      <c r="B298" s="343">
        <v>296.0</v>
      </c>
      <c r="C298" s="6" t="s">
        <v>589</v>
      </c>
      <c r="D298" s="6" t="s">
        <v>14</v>
      </c>
      <c r="E298" s="6" t="s">
        <v>15</v>
      </c>
      <c r="F298" s="12">
        <v>34393.0</v>
      </c>
      <c r="G298" s="8">
        <f t="shared" si="6"/>
        <v>32.37260274</v>
      </c>
      <c r="H298" s="49">
        <v>213.0</v>
      </c>
      <c r="I298" s="9">
        <v>-21.0</v>
      </c>
      <c r="J298" s="341" t="s">
        <v>590</v>
      </c>
    </row>
    <row r="299">
      <c r="B299" s="343">
        <v>297.0</v>
      </c>
      <c r="C299" s="11" t="s">
        <v>630</v>
      </c>
      <c r="D299" s="11" t="s">
        <v>36</v>
      </c>
      <c r="E299" s="11" t="s">
        <v>15</v>
      </c>
      <c r="F299" s="12">
        <v>36269.0</v>
      </c>
      <c r="G299" s="8">
        <f t="shared" si="6"/>
        <v>27.23561644</v>
      </c>
      <c r="H299" s="9">
        <v>220.0</v>
      </c>
      <c r="I299" s="9">
        <v>-2.0</v>
      </c>
      <c r="J299" s="341" t="s">
        <v>1573</v>
      </c>
    </row>
    <row r="300">
      <c r="B300" s="343">
        <v>298.0</v>
      </c>
      <c r="C300" s="28" t="s">
        <v>680</v>
      </c>
      <c r="D300" s="28" t="s">
        <v>36</v>
      </c>
      <c r="E300" s="29" t="s">
        <v>176</v>
      </c>
      <c r="F300" s="44">
        <v>37614.0</v>
      </c>
      <c r="G300" s="28">
        <v>22.8</v>
      </c>
      <c r="H300" s="49">
        <v>221.0</v>
      </c>
      <c r="I300" s="9">
        <v>13.0</v>
      </c>
      <c r="J300" s="54" t="s">
        <v>1574</v>
      </c>
    </row>
    <row r="301">
      <c r="B301" s="343">
        <v>299.0</v>
      </c>
      <c r="C301" s="11" t="s">
        <v>628</v>
      </c>
      <c r="D301" s="11" t="s">
        <v>21</v>
      </c>
      <c r="E301" s="11" t="s">
        <v>46</v>
      </c>
      <c r="F301" s="12">
        <v>35667.0</v>
      </c>
      <c r="G301" s="8">
        <f t="shared" ref="G301:G314" si="7">YEARFRAC(F301, TODAY(),1)</f>
        <v>28.88493151</v>
      </c>
      <c r="H301" s="49">
        <v>222.0</v>
      </c>
      <c r="I301" s="9">
        <v>34.0</v>
      </c>
      <c r="J301" s="344" t="s">
        <v>1575</v>
      </c>
    </row>
    <row r="302">
      <c r="B302" s="343">
        <v>300.0</v>
      </c>
      <c r="C302" s="6" t="s">
        <v>414</v>
      </c>
      <c r="D302" s="6" t="s">
        <v>183</v>
      </c>
      <c r="E302" s="6" t="s">
        <v>111</v>
      </c>
      <c r="F302" s="12">
        <v>36336.0</v>
      </c>
      <c r="G302" s="8">
        <f t="shared" si="7"/>
        <v>27.05205479</v>
      </c>
      <c r="H302" s="9">
        <v>226.0</v>
      </c>
      <c r="I302" s="9">
        <v>48.0</v>
      </c>
      <c r="J302" s="347" t="s">
        <v>1576</v>
      </c>
    </row>
    <row r="303">
      <c r="B303" s="343">
        <v>301.0</v>
      </c>
      <c r="C303" s="11" t="s">
        <v>462</v>
      </c>
      <c r="D303" s="11" t="s">
        <v>14</v>
      </c>
      <c r="E303" s="11" t="s">
        <v>52</v>
      </c>
      <c r="F303" s="12">
        <v>37431.0</v>
      </c>
      <c r="G303" s="8">
        <f t="shared" si="7"/>
        <v>24.05479452</v>
      </c>
      <c r="H303" s="49">
        <v>290.0</v>
      </c>
      <c r="I303" s="9">
        <v>-5.0</v>
      </c>
      <c r="J303" s="341" t="s">
        <v>1577</v>
      </c>
    </row>
    <row r="304">
      <c r="B304" s="343">
        <v>302.0</v>
      </c>
      <c r="C304" s="6" t="s">
        <v>803</v>
      </c>
      <c r="D304" s="6" t="s">
        <v>14</v>
      </c>
      <c r="E304" s="35" t="s">
        <v>167</v>
      </c>
      <c r="F304" s="12">
        <v>32459.0</v>
      </c>
      <c r="G304" s="8">
        <f t="shared" si="7"/>
        <v>37.66811887</v>
      </c>
      <c r="H304" s="9">
        <v>223.0</v>
      </c>
      <c r="I304" s="9">
        <v>1.0</v>
      </c>
      <c r="J304" s="341" t="s">
        <v>804</v>
      </c>
    </row>
    <row r="305">
      <c r="B305" s="343">
        <v>303.0</v>
      </c>
      <c r="C305" s="11" t="s">
        <v>591</v>
      </c>
      <c r="D305" s="11" t="s">
        <v>25</v>
      </c>
      <c r="E305" s="11" t="s">
        <v>11</v>
      </c>
      <c r="F305" s="12">
        <v>36444.0</v>
      </c>
      <c r="G305" s="8">
        <f t="shared" si="7"/>
        <v>26.75616438</v>
      </c>
      <c r="H305" s="9">
        <v>229.0</v>
      </c>
      <c r="I305" s="9">
        <v>37.0</v>
      </c>
      <c r="J305" s="341" t="s">
        <v>1578</v>
      </c>
    </row>
    <row r="306">
      <c r="B306" s="343">
        <v>304.0</v>
      </c>
      <c r="C306" s="6" t="s">
        <v>599</v>
      </c>
      <c r="D306" s="11" t="s">
        <v>25</v>
      </c>
      <c r="E306" s="11" t="s">
        <v>58</v>
      </c>
      <c r="F306" s="12">
        <v>37947.0</v>
      </c>
      <c r="G306" s="8">
        <f t="shared" si="7"/>
        <v>22.64109589</v>
      </c>
      <c r="H306" s="9">
        <v>211.0</v>
      </c>
      <c r="I306" s="9">
        <v>-43.0</v>
      </c>
      <c r="J306" s="341" t="s">
        <v>1579</v>
      </c>
    </row>
    <row r="307">
      <c r="B307" s="343">
        <v>305.0</v>
      </c>
      <c r="C307" s="6" t="s">
        <v>753</v>
      </c>
      <c r="D307" s="6" t="s">
        <v>14</v>
      </c>
      <c r="E307" s="6" t="s">
        <v>26</v>
      </c>
      <c r="F307" s="12">
        <v>36476.0</v>
      </c>
      <c r="G307" s="8">
        <f t="shared" si="7"/>
        <v>26.66849315</v>
      </c>
      <c r="H307" s="49">
        <v>234.0</v>
      </c>
      <c r="I307" s="9">
        <v>2.0</v>
      </c>
      <c r="J307" s="347" t="s">
        <v>1580</v>
      </c>
    </row>
    <row r="308">
      <c r="B308" s="343">
        <v>306.0</v>
      </c>
      <c r="C308" s="15" t="s">
        <v>638</v>
      </c>
      <c r="D308" s="35" t="s">
        <v>869</v>
      </c>
      <c r="E308" s="11" t="s">
        <v>46</v>
      </c>
      <c r="F308" s="12">
        <v>35858.0</v>
      </c>
      <c r="G308" s="8">
        <f t="shared" si="7"/>
        <v>28.36164384</v>
      </c>
      <c r="H308" s="49">
        <v>224.0</v>
      </c>
      <c r="I308" s="9">
        <v>-9.0</v>
      </c>
      <c r="J308" s="341" t="s">
        <v>1581</v>
      </c>
    </row>
    <row r="309">
      <c r="B309" s="343">
        <v>307.0</v>
      </c>
      <c r="C309" s="6" t="s">
        <v>698</v>
      </c>
      <c r="D309" s="6" t="s">
        <v>573</v>
      </c>
      <c r="E309" s="6" t="s">
        <v>213</v>
      </c>
      <c r="F309" s="12">
        <v>36430.0</v>
      </c>
      <c r="G309" s="8">
        <f t="shared" si="7"/>
        <v>26.79452055</v>
      </c>
      <c r="H309" s="9">
        <v>232.0</v>
      </c>
      <c r="I309" s="9">
        <v>0.0</v>
      </c>
      <c r="J309" s="347" t="s">
        <v>1582</v>
      </c>
    </row>
    <row r="310">
      <c r="B310" s="343">
        <v>308.0</v>
      </c>
      <c r="C310" s="6" t="s">
        <v>580</v>
      </c>
      <c r="D310" s="6" t="s">
        <v>14</v>
      </c>
      <c r="E310" s="6" t="s">
        <v>69</v>
      </c>
      <c r="F310" s="12">
        <v>35200.0</v>
      </c>
      <c r="G310" s="8">
        <f t="shared" si="7"/>
        <v>30.16265439</v>
      </c>
      <c r="H310" s="49">
        <v>251.0</v>
      </c>
      <c r="I310" s="9">
        <v>-4.0</v>
      </c>
      <c r="J310" s="347" t="s">
        <v>1583</v>
      </c>
    </row>
    <row r="311">
      <c r="B311" s="343">
        <v>309.0</v>
      </c>
      <c r="C311" s="28" t="s">
        <v>751</v>
      </c>
      <c r="D311" s="28" t="s">
        <v>36</v>
      </c>
      <c r="E311" s="28" t="s">
        <v>158</v>
      </c>
      <c r="F311" s="44">
        <v>38603.0</v>
      </c>
      <c r="G311" s="31">
        <f t="shared" si="7"/>
        <v>20.84657534</v>
      </c>
      <c r="H311" s="49">
        <v>236.0</v>
      </c>
      <c r="I311" s="9">
        <v>10.0</v>
      </c>
      <c r="J311" s="345" t="s">
        <v>1584</v>
      </c>
    </row>
    <row r="312">
      <c r="B312" s="343">
        <v>310.0</v>
      </c>
      <c r="C312" s="6" t="s">
        <v>595</v>
      </c>
      <c r="D312" s="6" t="s">
        <v>14</v>
      </c>
      <c r="E312" s="6" t="s">
        <v>98</v>
      </c>
      <c r="F312" s="12">
        <v>34411.0</v>
      </c>
      <c r="G312" s="8">
        <f t="shared" si="7"/>
        <v>32.32328767</v>
      </c>
      <c r="H312" s="49">
        <v>249.0</v>
      </c>
      <c r="I312" s="9">
        <v>2.0</v>
      </c>
      <c r="J312" s="347" t="s">
        <v>1585</v>
      </c>
    </row>
    <row r="313">
      <c r="B313" s="343">
        <v>311.0</v>
      </c>
      <c r="C313" s="11" t="s">
        <v>651</v>
      </c>
      <c r="D313" s="11" t="s">
        <v>25</v>
      </c>
      <c r="E313" s="11" t="s">
        <v>32</v>
      </c>
      <c r="F313" s="12">
        <v>38049.0</v>
      </c>
      <c r="G313" s="8">
        <f t="shared" si="7"/>
        <v>22.36210794</v>
      </c>
      <c r="H313" s="9">
        <v>247.0</v>
      </c>
      <c r="I313" s="9">
        <v>77.0</v>
      </c>
      <c r="J313" s="344" t="s">
        <v>1586</v>
      </c>
    </row>
    <row r="314">
      <c r="B314" s="343">
        <v>312.0</v>
      </c>
      <c r="C314" s="28" t="s">
        <v>500</v>
      </c>
      <c r="D314" s="34" t="s">
        <v>14</v>
      </c>
      <c r="E314" s="34" t="s">
        <v>158</v>
      </c>
      <c r="F314" s="30">
        <v>38865.0</v>
      </c>
      <c r="G314" s="31">
        <f t="shared" si="7"/>
        <v>20.12876712</v>
      </c>
      <c r="H314" s="9">
        <v>241.0</v>
      </c>
      <c r="I314" s="9">
        <v>1.0</v>
      </c>
      <c r="J314" s="345" t="s">
        <v>1587</v>
      </c>
    </row>
    <row r="315">
      <c r="B315" s="343">
        <v>313.0</v>
      </c>
      <c r="C315" s="28" t="s">
        <v>626</v>
      </c>
      <c r="D315" s="28" t="s">
        <v>183</v>
      </c>
      <c r="E315" s="29" t="s">
        <v>26</v>
      </c>
      <c r="F315" s="44">
        <v>37690.0</v>
      </c>
      <c r="G315" s="28">
        <v>22.6</v>
      </c>
      <c r="H315" s="49">
        <v>231.0</v>
      </c>
      <c r="I315" s="9">
        <v>101.0</v>
      </c>
      <c r="J315" s="54" t="s">
        <v>1588</v>
      </c>
    </row>
    <row r="316">
      <c r="B316" s="343">
        <v>314.0</v>
      </c>
      <c r="C316" s="6" t="s">
        <v>684</v>
      </c>
      <c r="D316" s="6" t="s">
        <v>74</v>
      </c>
      <c r="E316" s="35" t="s">
        <v>95</v>
      </c>
      <c r="F316" s="12">
        <v>36696.0</v>
      </c>
      <c r="G316" s="8">
        <f t="shared" ref="G316:G361" si="8">YEARFRAC(F316, TODAY(),1)</f>
        <v>26.06702597</v>
      </c>
      <c r="H316" s="9">
        <v>265.0</v>
      </c>
      <c r="I316" s="9">
        <v>23.0</v>
      </c>
      <c r="J316" s="341" t="s">
        <v>1589</v>
      </c>
    </row>
    <row r="317">
      <c r="B317" s="343">
        <v>315.0</v>
      </c>
      <c r="C317" s="6" t="s">
        <v>761</v>
      </c>
      <c r="D317" s="6" t="s">
        <v>21</v>
      </c>
      <c r="E317" s="6" t="s">
        <v>114</v>
      </c>
      <c r="F317" s="12">
        <v>38121.0</v>
      </c>
      <c r="G317" s="8">
        <f t="shared" si="8"/>
        <v>22.16538663</v>
      </c>
      <c r="H317" s="49">
        <v>255.0</v>
      </c>
      <c r="I317" s="9">
        <v>-36.0</v>
      </c>
      <c r="J317" s="341" t="s">
        <v>1590</v>
      </c>
    </row>
    <row r="318">
      <c r="B318" s="343">
        <v>316.0</v>
      </c>
      <c r="C318" s="11" t="s">
        <v>416</v>
      </c>
      <c r="D318" s="11" t="s">
        <v>25</v>
      </c>
      <c r="E318" s="11" t="s">
        <v>11</v>
      </c>
      <c r="F318" s="12">
        <v>37071.0</v>
      </c>
      <c r="G318" s="8">
        <f t="shared" si="8"/>
        <v>25.04109589</v>
      </c>
      <c r="H318" s="49">
        <v>263.0</v>
      </c>
      <c r="I318" s="9">
        <v>6.0</v>
      </c>
      <c r="J318" s="344" t="s">
        <v>1591</v>
      </c>
    </row>
    <row r="319">
      <c r="B319" s="343">
        <v>317.0</v>
      </c>
      <c r="C319" s="11" t="s">
        <v>635</v>
      </c>
      <c r="D319" s="11" t="s">
        <v>36</v>
      </c>
      <c r="E319" s="11" t="s">
        <v>15</v>
      </c>
      <c r="F319" s="12">
        <v>36343.0</v>
      </c>
      <c r="G319" s="8">
        <f t="shared" si="8"/>
        <v>27.03287671</v>
      </c>
      <c r="H319" s="9">
        <v>250.0</v>
      </c>
      <c r="I319" s="9">
        <v>21.0</v>
      </c>
      <c r="J319" s="341" t="s">
        <v>1592</v>
      </c>
    </row>
    <row r="320">
      <c r="B320" s="343">
        <v>318.0</v>
      </c>
      <c r="C320" s="35" t="s">
        <v>467</v>
      </c>
      <c r="D320" s="35" t="s">
        <v>14</v>
      </c>
      <c r="E320" s="35" t="s">
        <v>29</v>
      </c>
      <c r="F320" s="7">
        <v>37120.0</v>
      </c>
      <c r="G320" s="8">
        <f t="shared" si="8"/>
        <v>24.90684932</v>
      </c>
      <c r="H320" s="9">
        <v>277.0</v>
      </c>
      <c r="I320" s="9">
        <v>-16.0</v>
      </c>
      <c r="J320" s="341" t="s">
        <v>1593</v>
      </c>
    </row>
    <row r="321">
      <c r="B321" s="343">
        <v>319.0</v>
      </c>
      <c r="C321" s="6" t="s">
        <v>606</v>
      </c>
      <c r="D321" s="6" t="s">
        <v>36</v>
      </c>
      <c r="E321" s="6" t="s">
        <v>58</v>
      </c>
      <c r="F321" s="12">
        <v>37924.0</v>
      </c>
      <c r="G321" s="8">
        <f t="shared" si="8"/>
        <v>22.70410959</v>
      </c>
      <c r="H321" s="49">
        <v>261.0</v>
      </c>
      <c r="I321" s="9">
        <v>-28.0</v>
      </c>
      <c r="J321" s="341" t="s">
        <v>1592</v>
      </c>
    </row>
    <row r="322">
      <c r="B322" s="343">
        <v>320.0</v>
      </c>
      <c r="C322" s="11" t="s">
        <v>557</v>
      </c>
      <c r="D322" s="11" t="s">
        <v>21</v>
      </c>
      <c r="E322" s="11" t="s">
        <v>58</v>
      </c>
      <c r="F322" s="12">
        <v>34569.0</v>
      </c>
      <c r="G322" s="8">
        <f t="shared" si="8"/>
        <v>31.89041096</v>
      </c>
      <c r="H322" s="9">
        <v>289.0</v>
      </c>
      <c r="I322" s="9">
        <v>19.0</v>
      </c>
      <c r="J322" s="341" t="s">
        <v>558</v>
      </c>
    </row>
    <row r="323">
      <c r="B323" s="343">
        <v>321.0</v>
      </c>
      <c r="C323" s="6" t="s">
        <v>859</v>
      </c>
      <c r="D323" s="6" t="s">
        <v>10</v>
      </c>
      <c r="E323" s="6" t="s">
        <v>43</v>
      </c>
      <c r="F323" s="12">
        <v>37569.0</v>
      </c>
      <c r="G323" s="8">
        <f t="shared" si="8"/>
        <v>23.67671233</v>
      </c>
      <c r="H323" s="49">
        <v>260.0</v>
      </c>
      <c r="I323" s="9">
        <v>-12.0</v>
      </c>
      <c r="J323" s="341" t="s">
        <v>1594</v>
      </c>
    </row>
    <row r="324">
      <c r="B324" s="343">
        <v>322.0</v>
      </c>
      <c r="C324" s="6" t="s">
        <v>743</v>
      </c>
      <c r="D324" s="6" t="s">
        <v>267</v>
      </c>
      <c r="E324" s="6" t="s">
        <v>90</v>
      </c>
      <c r="F324" s="12">
        <v>38574.0</v>
      </c>
      <c r="G324" s="8">
        <f t="shared" si="8"/>
        <v>20.9260274</v>
      </c>
      <c r="H324" s="49">
        <v>267.0</v>
      </c>
      <c r="I324" s="9">
        <v>30.0</v>
      </c>
      <c r="J324" s="341" t="s">
        <v>1595</v>
      </c>
    </row>
    <row r="325">
      <c r="B325" s="343">
        <v>323.0</v>
      </c>
      <c r="C325" s="11" t="s">
        <v>584</v>
      </c>
      <c r="D325" s="11" t="s">
        <v>36</v>
      </c>
      <c r="E325" s="11" t="s">
        <v>40</v>
      </c>
      <c r="F325" s="12">
        <v>35042.0</v>
      </c>
      <c r="G325" s="8">
        <f t="shared" si="8"/>
        <v>30.59452055</v>
      </c>
      <c r="H325" s="9">
        <v>244.0</v>
      </c>
      <c r="I325" s="9">
        <v>11.0</v>
      </c>
      <c r="J325" s="344" t="s">
        <v>586</v>
      </c>
    </row>
    <row r="326">
      <c r="B326" s="343">
        <v>324.0</v>
      </c>
      <c r="C326" s="6" t="s">
        <v>544</v>
      </c>
      <c r="D326" s="6" t="s">
        <v>14</v>
      </c>
      <c r="E326" s="35" t="s">
        <v>176</v>
      </c>
      <c r="F326" s="12">
        <v>35943.0</v>
      </c>
      <c r="G326" s="8">
        <f t="shared" si="8"/>
        <v>28.12876712</v>
      </c>
      <c r="H326" s="49">
        <v>282.0</v>
      </c>
      <c r="I326" s="9">
        <v>-22.0</v>
      </c>
      <c r="J326" s="341" t="s">
        <v>1596</v>
      </c>
    </row>
    <row r="327">
      <c r="B327" s="343">
        <v>325.0</v>
      </c>
      <c r="C327" s="11" t="s">
        <v>798</v>
      </c>
      <c r="D327" s="11" t="s">
        <v>14</v>
      </c>
      <c r="E327" s="11" t="s">
        <v>66</v>
      </c>
      <c r="F327" s="12">
        <v>38554.0</v>
      </c>
      <c r="G327" s="8">
        <f t="shared" si="8"/>
        <v>20.98082192</v>
      </c>
      <c r="H327" s="49">
        <v>209.0</v>
      </c>
      <c r="I327" s="9">
        <v>-6.0</v>
      </c>
      <c r="J327" s="341" t="s">
        <v>1597</v>
      </c>
    </row>
    <row r="328">
      <c r="B328" s="343">
        <v>326.0</v>
      </c>
      <c r="C328" s="6" t="s">
        <v>506</v>
      </c>
      <c r="D328" s="6" t="s">
        <v>36</v>
      </c>
      <c r="E328" s="6" t="s">
        <v>37</v>
      </c>
      <c r="F328" s="12">
        <v>36737.0</v>
      </c>
      <c r="G328" s="8">
        <f t="shared" si="8"/>
        <v>25.95500412</v>
      </c>
      <c r="H328" s="49">
        <v>225.0</v>
      </c>
      <c r="I328" s="9">
        <v>-13.0</v>
      </c>
      <c r="J328" s="341" t="s">
        <v>1592</v>
      </c>
    </row>
    <row r="329">
      <c r="B329" s="343">
        <v>327.0</v>
      </c>
      <c r="C329" s="11" t="s">
        <v>769</v>
      </c>
      <c r="D329" s="11" t="s">
        <v>36</v>
      </c>
      <c r="E329" s="11" t="s">
        <v>87</v>
      </c>
      <c r="F329" s="12">
        <v>36034.0</v>
      </c>
      <c r="G329" s="8">
        <f t="shared" si="8"/>
        <v>27.87945205</v>
      </c>
      <c r="H329" s="49">
        <v>248.0</v>
      </c>
      <c r="I329" s="9">
        <v>-11.0</v>
      </c>
      <c r="J329" s="341" t="s">
        <v>1598</v>
      </c>
    </row>
    <row r="330">
      <c r="B330" s="343">
        <v>328.0</v>
      </c>
      <c r="C330" s="28" t="s">
        <v>688</v>
      </c>
      <c r="D330" s="29" t="s">
        <v>25</v>
      </c>
      <c r="E330" s="29" t="s">
        <v>111</v>
      </c>
      <c r="F330" s="30">
        <v>38178.0</v>
      </c>
      <c r="G330" s="31">
        <f t="shared" si="8"/>
        <v>22.00964893</v>
      </c>
      <c r="H330" s="49">
        <v>245.0</v>
      </c>
      <c r="I330" s="9">
        <v>-26.0</v>
      </c>
      <c r="J330" s="345" t="s">
        <v>1599</v>
      </c>
    </row>
    <row r="331">
      <c r="B331" s="343">
        <v>329.0</v>
      </c>
      <c r="C331" s="28" t="s">
        <v>709</v>
      </c>
      <c r="D331" s="34" t="s">
        <v>36</v>
      </c>
      <c r="E331" s="34" t="s">
        <v>90</v>
      </c>
      <c r="F331" s="30">
        <v>38640.0</v>
      </c>
      <c r="G331" s="31">
        <f t="shared" si="8"/>
        <v>20.74520548</v>
      </c>
      <c r="H331" s="49">
        <v>233.0</v>
      </c>
      <c r="I331" s="9">
        <v>-17.0</v>
      </c>
      <c r="J331" s="348" t="s">
        <v>1600</v>
      </c>
    </row>
    <row r="332">
      <c r="B332" s="343">
        <v>330.0</v>
      </c>
      <c r="C332" s="6" t="s">
        <v>508</v>
      </c>
      <c r="D332" s="6" t="s">
        <v>14</v>
      </c>
      <c r="E332" s="6" t="s">
        <v>87</v>
      </c>
      <c r="F332" s="12">
        <v>36533.0</v>
      </c>
      <c r="G332" s="8">
        <f t="shared" si="8"/>
        <v>26.51238117</v>
      </c>
      <c r="H332" s="9">
        <v>235.0</v>
      </c>
      <c r="I332" s="9">
        <v>8.0</v>
      </c>
      <c r="J332" s="341" t="s">
        <v>1601</v>
      </c>
    </row>
    <row r="333">
      <c r="B333" s="343">
        <v>331.0</v>
      </c>
      <c r="C333" s="28" t="s">
        <v>640</v>
      </c>
      <c r="D333" s="34" t="s">
        <v>10</v>
      </c>
      <c r="E333" s="34" t="s">
        <v>43</v>
      </c>
      <c r="F333" s="30">
        <v>38630.0</v>
      </c>
      <c r="G333" s="31">
        <f t="shared" si="8"/>
        <v>20.77260274</v>
      </c>
      <c r="H333" s="9">
        <v>238.0</v>
      </c>
      <c r="I333" s="9">
        <v>2.0</v>
      </c>
      <c r="J333" s="345" t="s">
        <v>1602</v>
      </c>
    </row>
    <row r="334">
      <c r="B334" s="5">
        <v>332.0</v>
      </c>
      <c r="C334" s="6" t="s">
        <v>783</v>
      </c>
      <c r="D334" s="6" t="s">
        <v>74</v>
      </c>
      <c r="E334" s="6" t="s">
        <v>22</v>
      </c>
      <c r="F334" s="12">
        <v>35292.0</v>
      </c>
      <c r="G334" s="8">
        <f t="shared" si="8"/>
        <v>29.91128827</v>
      </c>
      <c r="H334" s="49">
        <v>254.0</v>
      </c>
      <c r="I334" s="9">
        <v>-23.0</v>
      </c>
      <c r="J334" s="341" t="s">
        <v>785</v>
      </c>
    </row>
    <row r="335">
      <c r="B335" s="5">
        <v>333.0</v>
      </c>
      <c r="C335" s="6" t="s">
        <v>737</v>
      </c>
      <c r="D335" s="6" t="s">
        <v>183</v>
      </c>
      <c r="E335" s="6" t="s">
        <v>114</v>
      </c>
      <c r="F335" s="12">
        <v>35897.0</v>
      </c>
      <c r="G335" s="8">
        <f t="shared" si="8"/>
        <v>28.25479452</v>
      </c>
      <c r="H335" s="49">
        <v>266.0</v>
      </c>
      <c r="I335" s="9">
        <v>18.0</v>
      </c>
      <c r="J335" s="341" t="s">
        <v>1603</v>
      </c>
      <c r="K335" s="349"/>
    </row>
    <row r="336">
      <c r="A336" s="293"/>
      <c r="B336" s="5">
        <v>334.0</v>
      </c>
      <c r="C336" s="6" t="s">
        <v>732</v>
      </c>
      <c r="D336" s="6" t="s">
        <v>14</v>
      </c>
      <c r="E336" s="6" t="s">
        <v>167</v>
      </c>
      <c r="F336" s="12">
        <v>37333.0</v>
      </c>
      <c r="G336" s="8">
        <f t="shared" si="8"/>
        <v>24.32328767</v>
      </c>
      <c r="H336" s="49">
        <v>230.0</v>
      </c>
      <c r="I336" s="9">
        <v>-16.0</v>
      </c>
      <c r="J336" s="347" t="s">
        <v>1604</v>
      </c>
      <c r="K336" s="299"/>
    </row>
    <row r="337">
      <c r="A337" s="293"/>
      <c r="B337" s="5">
        <v>335.0</v>
      </c>
      <c r="C337" s="11" t="s">
        <v>663</v>
      </c>
      <c r="D337" s="11" t="s">
        <v>14</v>
      </c>
      <c r="E337" s="11" t="s">
        <v>46</v>
      </c>
      <c r="F337" s="12">
        <v>33688.0</v>
      </c>
      <c r="G337" s="8">
        <f t="shared" si="8"/>
        <v>34.30199865</v>
      </c>
      <c r="H337" s="49">
        <v>240.0</v>
      </c>
      <c r="I337" s="9">
        <v>12.0</v>
      </c>
      <c r="J337" s="344" t="s">
        <v>1605</v>
      </c>
      <c r="K337" s="299"/>
    </row>
    <row r="338">
      <c r="A338" s="293"/>
      <c r="B338" s="5">
        <v>336.0</v>
      </c>
      <c r="C338" s="6" t="s">
        <v>632</v>
      </c>
      <c r="D338" s="6" t="s">
        <v>10</v>
      </c>
      <c r="E338" s="6" t="s">
        <v>176</v>
      </c>
      <c r="F338" s="12">
        <v>36606.0</v>
      </c>
      <c r="G338" s="8">
        <f t="shared" si="8"/>
        <v>26.31292761</v>
      </c>
      <c r="H338" s="49">
        <v>252.0</v>
      </c>
      <c r="I338" s="9">
        <v>26.0</v>
      </c>
      <c r="J338" s="341" t="s">
        <v>1606</v>
      </c>
      <c r="K338" s="299"/>
    </row>
    <row r="339">
      <c r="A339" s="293"/>
      <c r="B339" s="5">
        <v>337.0</v>
      </c>
      <c r="C339" s="11" t="s">
        <v>510</v>
      </c>
      <c r="D339" s="11" t="s">
        <v>10</v>
      </c>
      <c r="E339" s="11" t="s">
        <v>213</v>
      </c>
      <c r="F339" s="12">
        <v>34740.0</v>
      </c>
      <c r="G339" s="8">
        <f t="shared" si="8"/>
        <v>31.42191781</v>
      </c>
      <c r="H339" s="49">
        <v>246.0</v>
      </c>
      <c r="I339" s="9">
        <v>-16.0</v>
      </c>
      <c r="J339" s="341" t="s">
        <v>1055</v>
      </c>
      <c r="K339" s="299"/>
    </row>
    <row r="340">
      <c r="A340" s="293"/>
      <c r="B340" s="5">
        <v>338.0</v>
      </c>
      <c r="C340" s="28" t="s">
        <v>619</v>
      </c>
      <c r="D340" s="28" t="s">
        <v>25</v>
      </c>
      <c r="E340" s="28" t="s">
        <v>18</v>
      </c>
      <c r="F340" s="44">
        <v>38115.0</v>
      </c>
      <c r="G340" s="31">
        <f t="shared" si="8"/>
        <v>22.18178007</v>
      </c>
      <c r="H340" s="9">
        <v>262.0</v>
      </c>
      <c r="I340" s="9">
        <v>-5.0</v>
      </c>
      <c r="J340" s="54" t="s">
        <v>620</v>
      </c>
      <c r="K340" s="299"/>
    </row>
    <row r="341">
      <c r="A341" s="293"/>
      <c r="B341" s="5">
        <v>339.0</v>
      </c>
      <c r="C341" s="6" t="s">
        <v>765</v>
      </c>
      <c r="D341" s="6" t="s">
        <v>36</v>
      </c>
      <c r="E341" s="6" t="s">
        <v>52</v>
      </c>
      <c r="F341" s="12">
        <v>37945.0</v>
      </c>
      <c r="G341" s="8">
        <f t="shared" si="8"/>
        <v>22.64657534</v>
      </c>
      <c r="H341" s="49">
        <v>243.0</v>
      </c>
      <c r="I341" s="9">
        <v>-23.0</v>
      </c>
      <c r="J341" s="341" t="s">
        <v>1607</v>
      </c>
      <c r="K341" s="299"/>
    </row>
    <row r="342">
      <c r="A342" s="293"/>
      <c r="B342" s="5">
        <v>340.0</v>
      </c>
      <c r="C342" s="6" t="s">
        <v>481</v>
      </c>
      <c r="D342" s="6" t="s">
        <v>10</v>
      </c>
      <c r="E342" s="6" t="s">
        <v>52</v>
      </c>
      <c r="F342" s="12">
        <v>36303.0</v>
      </c>
      <c r="G342" s="8">
        <f t="shared" si="8"/>
        <v>27.14246575</v>
      </c>
      <c r="H342" s="49">
        <v>270.0</v>
      </c>
      <c r="I342" s="9">
        <v>22.0</v>
      </c>
      <c r="J342" s="341" t="s">
        <v>1608</v>
      </c>
      <c r="K342" s="299"/>
    </row>
    <row r="343">
      <c r="A343" s="293"/>
      <c r="B343" s="5">
        <v>341.0</v>
      </c>
      <c r="C343" s="6" t="s">
        <v>848</v>
      </c>
      <c r="D343" s="6" t="s">
        <v>21</v>
      </c>
      <c r="E343" s="6" t="s">
        <v>22</v>
      </c>
      <c r="F343" s="12">
        <v>33730.0</v>
      </c>
      <c r="G343" s="8">
        <f t="shared" si="8"/>
        <v>34.18724455</v>
      </c>
      <c r="H343" s="49">
        <v>276.0</v>
      </c>
      <c r="I343" s="9">
        <v>-1.0</v>
      </c>
      <c r="J343" s="347" t="s">
        <v>1609</v>
      </c>
      <c r="K343" s="299"/>
    </row>
    <row r="344">
      <c r="A344" s="293"/>
      <c r="B344" s="5">
        <v>342.0</v>
      </c>
      <c r="C344" s="6" t="s">
        <v>665</v>
      </c>
      <c r="D344" s="6" t="s">
        <v>36</v>
      </c>
      <c r="E344" s="6" t="s">
        <v>111</v>
      </c>
      <c r="F344" s="12">
        <v>34125.0</v>
      </c>
      <c r="G344" s="8">
        <f t="shared" si="8"/>
        <v>33.10684932</v>
      </c>
      <c r="H344" s="49">
        <v>284.0</v>
      </c>
      <c r="I344" s="9">
        <v>-4.0</v>
      </c>
      <c r="J344" s="347" t="s">
        <v>1610</v>
      </c>
      <c r="K344" s="299"/>
    </row>
    <row r="345">
      <c r="A345" s="293"/>
      <c r="B345" s="5">
        <v>343.0</v>
      </c>
      <c r="C345" s="6" t="s">
        <v>959</v>
      </c>
      <c r="D345" s="6" t="s">
        <v>36</v>
      </c>
      <c r="E345" s="35" t="s">
        <v>43</v>
      </c>
      <c r="F345" s="12">
        <v>36222.0</v>
      </c>
      <c r="G345" s="8">
        <f t="shared" si="8"/>
        <v>27.36438356</v>
      </c>
      <c r="H345" s="49">
        <v>287.0</v>
      </c>
      <c r="I345" s="9">
        <v>-5.0</v>
      </c>
      <c r="J345" s="341" t="s">
        <v>1611</v>
      </c>
      <c r="K345" s="299"/>
    </row>
    <row r="346">
      <c r="A346" s="293"/>
      <c r="B346" s="5">
        <v>344.0</v>
      </c>
      <c r="C346" s="28" t="s">
        <v>401</v>
      </c>
      <c r="D346" s="28" t="s">
        <v>25</v>
      </c>
      <c r="E346" s="28" t="s">
        <v>66</v>
      </c>
      <c r="F346" s="44">
        <v>38758.0</v>
      </c>
      <c r="G346" s="31">
        <f t="shared" si="8"/>
        <v>20.42191781</v>
      </c>
      <c r="H346" s="49">
        <v>264.0</v>
      </c>
      <c r="I346" s="9">
        <v>30.0</v>
      </c>
      <c r="J346" s="345" t="s">
        <v>1612</v>
      </c>
      <c r="K346" s="299"/>
    </row>
    <row r="347">
      <c r="A347" s="293"/>
      <c r="B347" s="5">
        <v>345.0</v>
      </c>
      <c r="C347" s="6" t="s">
        <v>763</v>
      </c>
      <c r="D347" s="6" t="s">
        <v>10</v>
      </c>
      <c r="E347" s="6" t="s">
        <v>40</v>
      </c>
      <c r="F347" s="12">
        <v>37708.0</v>
      </c>
      <c r="G347" s="8">
        <f t="shared" si="8"/>
        <v>23.29589041</v>
      </c>
      <c r="H347" s="49">
        <v>258.0</v>
      </c>
      <c r="I347" s="9">
        <v>-17.0</v>
      </c>
      <c r="J347" s="341" t="s">
        <v>1613</v>
      </c>
      <c r="K347" s="299"/>
    </row>
    <row r="348">
      <c r="A348" s="293"/>
      <c r="B348" s="5">
        <v>346.0</v>
      </c>
      <c r="C348" s="6" t="s">
        <v>812</v>
      </c>
      <c r="D348" s="6" t="s">
        <v>36</v>
      </c>
      <c r="E348" s="6" t="s">
        <v>46</v>
      </c>
      <c r="F348" s="12">
        <v>38329.0</v>
      </c>
      <c r="G348" s="8">
        <f t="shared" si="8"/>
        <v>21.59708062</v>
      </c>
      <c r="H348" s="49">
        <v>291.0</v>
      </c>
      <c r="I348" s="9">
        <v>-42.0</v>
      </c>
      <c r="J348" s="341" t="s">
        <v>1614</v>
      </c>
      <c r="K348" s="299"/>
    </row>
    <row r="349">
      <c r="A349" s="293"/>
      <c r="B349" s="5">
        <v>347.0</v>
      </c>
      <c r="C349" s="6" t="s">
        <v>866</v>
      </c>
      <c r="D349" s="6" t="s">
        <v>14</v>
      </c>
      <c r="E349" s="6" t="s">
        <v>106</v>
      </c>
      <c r="F349" s="12">
        <v>36977.0</v>
      </c>
      <c r="G349" s="8">
        <f t="shared" si="8"/>
        <v>25.29863014</v>
      </c>
      <c r="H349" s="49">
        <v>288.0</v>
      </c>
      <c r="I349" s="9">
        <v>65.0</v>
      </c>
      <c r="J349" s="341" t="s">
        <v>1615</v>
      </c>
      <c r="K349" s="299"/>
    </row>
    <row r="350">
      <c r="A350" s="293"/>
      <c r="B350" s="5">
        <v>348.0</v>
      </c>
      <c r="C350" s="6" t="s">
        <v>647</v>
      </c>
      <c r="D350" s="6" t="s">
        <v>10</v>
      </c>
      <c r="E350" s="6" t="s">
        <v>87</v>
      </c>
      <c r="F350" s="12">
        <v>36601.0</v>
      </c>
      <c r="G350" s="8">
        <f t="shared" si="8"/>
        <v>26.32658882</v>
      </c>
      <c r="H350" s="9">
        <v>259.0</v>
      </c>
      <c r="I350" s="9">
        <v>-14.0</v>
      </c>
      <c r="J350" s="341" t="s">
        <v>1616</v>
      </c>
      <c r="K350" s="299"/>
    </row>
    <row r="351">
      <c r="A351" s="293"/>
      <c r="B351" s="5">
        <v>349.0</v>
      </c>
      <c r="C351" s="6" t="s">
        <v>671</v>
      </c>
      <c r="D351" s="6" t="s">
        <v>36</v>
      </c>
      <c r="E351" s="6" t="s">
        <v>29</v>
      </c>
      <c r="F351" s="12">
        <v>34446.0</v>
      </c>
      <c r="G351" s="8">
        <f t="shared" si="8"/>
        <v>32.22739726</v>
      </c>
      <c r="H351" s="9">
        <v>268.0</v>
      </c>
      <c r="I351" s="9">
        <v>-6.0</v>
      </c>
      <c r="J351" s="341" t="s">
        <v>1617</v>
      </c>
      <c r="K351" s="299"/>
    </row>
    <row r="352">
      <c r="A352" s="293"/>
      <c r="B352" s="5">
        <v>350.0</v>
      </c>
      <c r="C352" s="14" t="s">
        <v>608</v>
      </c>
      <c r="D352" s="35" t="s">
        <v>573</v>
      </c>
      <c r="E352" s="6" t="s">
        <v>98</v>
      </c>
      <c r="F352" s="12">
        <v>34148.0</v>
      </c>
      <c r="G352" s="8">
        <f t="shared" si="8"/>
        <v>33.04383562</v>
      </c>
      <c r="H352" s="49">
        <v>269.0</v>
      </c>
      <c r="I352" s="9">
        <v>-44.0</v>
      </c>
      <c r="J352" s="10" t="s">
        <v>1618</v>
      </c>
      <c r="K352" s="299"/>
    </row>
    <row r="353">
      <c r="A353" s="293"/>
      <c r="B353" s="5">
        <v>351.0</v>
      </c>
      <c r="C353" s="28" t="s">
        <v>896</v>
      </c>
      <c r="D353" s="28" t="s">
        <v>14</v>
      </c>
      <c r="E353" s="28" t="s">
        <v>46</v>
      </c>
      <c r="F353" s="44">
        <v>37312.0</v>
      </c>
      <c r="G353" s="31">
        <f t="shared" si="8"/>
        <v>24.38082192</v>
      </c>
      <c r="H353" s="49">
        <v>278.0</v>
      </c>
      <c r="I353" s="9">
        <v>-11.0</v>
      </c>
      <c r="J353" s="345" t="s">
        <v>1619</v>
      </c>
      <c r="K353" s="299"/>
    </row>
    <row r="354">
      <c r="A354" s="293"/>
      <c r="B354" s="5">
        <v>352.0</v>
      </c>
      <c r="C354" s="11" t="s">
        <v>686</v>
      </c>
      <c r="D354" s="11" t="s">
        <v>25</v>
      </c>
      <c r="E354" s="11" t="s">
        <v>46</v>
      </c>
      <c r="F354" s="12">
        <v>37868.0</v>
      </c>
      <c r="G354" s="8">
        <f t="shared" si="8"/>
        <v>22.85753425</v>
      </c>
      <c r="H354" s="9">
        <v>253.0</v>
      </c>
      <c r="I354" s="9">
        <v>-48.0</v>
      </c>
      <c r="J354" s="341" t="s">
        <v>1620</v>
      </c>
      <c r="K354" s="299"/>
    </row>
    <row r="355">
      <c r="A355" s="293"/>
      <c r="B355" s="5">
        <v>353.0</v>
      </c>
      <c r="C355" s="11" t="s">
        <v>767</v>
      </c>
      <c r="D355" s="11" t="s">
        <v>10</v>
      </c>
      <c r="E355" s="11" t="s">
        <v>46</v>
      </c>
      <c r="F355" s="12">
        <v>37266.0</v>
      </c>
      <c r="G355" s="8">
        <f t="shared" si="8"/>
        <v>24.50684932</v>
      </c>
      <c r="H355" s="9">
        <v>271.0</v>
      </c>
      <c r="I355" s="9">
        <v>-12.0</v>
      </c>
      <c r="J355" s="341" t="s">
        <v>1621</v>
      </c>
      <c r="K355" s="299"/>
    </row>
    <row r="356">
      <c r="B356" s="5">
        <v>354.0</v>
      </c>
      <c r="C356" s="11" t="s">
        <v>999</v>
      </c>
      <c r="D356" s="11" t="s">
        <v>25</v>
      </c>
      <c r="E356" s="11" t="s">
        <v>66</v>
      </c>
      <c r="F356" s="12">
        <v>38176.0</v>
      </c>
      <c r="G356" s="8">
        <f t="shared" si="8"/>
        <v>22.01511341</v>
      </c>
      <c r="H356" s="9">
        <v>256.0</v>
      </c>
      <c r="I356" s="9">
        <v>-46.0</v>
      </c>
      <c r="J356" s="341" t="s">
        <v>1622</v>
      </c>
    </row>
    <row r="357">
      <c r="A357" s="293"/>
      <c r="B357" s="5">
        <v>355.0</v>
      </c>
      <c r="C357" s="11" t="s">
        <v>1623</v>
      </c>
      <c r="D357" s="11" t="s">
        <v>36</v>
      </c>
      <c r="E357" s="11" t="s">
        <v>29</v>
      </c>
      <c r="F357" s="12">
        <v>35395.0</v>
      </c>
      <c r="G357" s="8">
        <f t="shared" si="8"/>
        <v>29.62986751</v>
      </c>
      <c r="H357" s="49">
        <v>281.0</v>
      </c>
      <c r="I357" s="9">
        <v>-2.0</v>
      </c>
      <c r="J357" s="341" t="s">
        <v>1624</v>
      </c>
      <c r="K357" s="299"/>
    </row>
    <row r="358">
      <c r="A358" s="293"/>
      <c r="B358" s="5">
        <v>356.0</v>
      </c>
      <c r="C358" s="6" t="s">
        <v>972</v>
      </c>
      <c r="D358" s="6" t="s">
        <v>77</v>
      </c>
      <c r="E358" s="6" t="s">
        <v>49</v>
      </c>
      <c r="F358" s="12">
        <v>36768.0</v>
      </c>
      <c r="G358" s="8">
        <f t="shared" si="8"/>
        <v>25.87030466</v>
      </c>
      <c r="H358" s="49">
        <v>279.0</v>
      </c>
      <c r="I358" s="9">
        <v>-11.0</v>
      </c>
      <c r="J358" s="341" t="s">
        <v>1625</v>
      </c>
      <c r="K358" s="299"/>
    </row>
    <row r="359">
      <c r="A359" s="293"/>
      <c r="B359" s="5">
        <v>357.0</v>
      </c>
      <c r="C359" s="28" t="s">
        <v>807</v>
      </c>
      <c r="D359" s="28" t="s">
        <v>14</v>
      </c>
      <c r="E359" s="28" t="s">
        <v>158</v>
      </c>
      <c r="F359" s="44">
        <v>38821.0</v>
      </c>
      <c r="G359" s="31">
        <f t="shared" si="8"/>
        <v>20.24931507</v>
      </c>
      <c r="H359" s="9">
        <v>280.0</v>
      </c>
      <c r="I359" s="9">
        <v>-7.0</v>
      </c>
      <c r="J359" s="345" t="s">
        <v>1626</v>
      </c>
      <c r="K359" s="299"/>
    </row>
    <row r="360">
      <c r="A360" s="293"/>
      <c r="B360" s="5">
        <v>358.0</v>
      </c>
      <c r="C360" s="61" t="s">
        <v>724</v>
      </c>
      <c r="D360" s="61" t="s">
        <v>21</v>
      </c>
      <c r="E360" s="61" t="s">
        <v>49</v>
      </c>
      <c r="F360" s="12">
        <v>34997.0</v>
      </c>
      <c r="G360" s="8">
        <f t="shared" si="8"/>
        <v>30.71780822</v>
      </c>
      <c r="H360" s="9">
        <v>298.0</v>
      </c>
      <c r="I360" s="9">
        <v>62.0</v>
      </c>
      <c r="J360" s="347" t="s">
        <v>1627</v>
      </c>
      <c r="K360" s="299"/>
    </row>
    <row r="361">
      <c r="A361" s="293"/>
      <c r="B361" s="5">
        <v>359.0</v>
      </c>
      <c r="C361" s="6" t="s">
        <v>540</v>
      </c>
      <c r="D361" s="6" t="s">
        <v>25</v>
      </c>
      <c r="E361" s="6" t="s">
        <v>66</v>
      </c>
      <c r="F361" s="12">
        <v>37071.0</v>
      </c>
      <c r="G361" s="8">
        <f t="shared" si="8"/>
        <v>25.04109589</v>
      </c>
      <c r="H361" s="49">
        <v>306.0</v>
      </c>
      <c r="I361" s="9">
        <v>3.0</v>
      </c>
      <c r="J361" s="347" t="s">
        <v>1628</v>
      </c>
      <c r="K361" s="299"/>
    </row>
    <row r="362">
      <c r="A362" s="293"/>
      <c r="B362" s="5">
        <v>360.0</v>
      </c>
      <c r="K362" s="299"/>
    </row>
    <row r="363">
      <c r="A363" s="293"/>
      <c r="B363" s="5">
        <v>361.0</v>
      </c>
      <c r="K363" s="299"/>
    </row>
    <row r="364">
      <c r="A364" s="293"/>
      <c r="B364" s="5">
        <v>362.0</v>
      </c>
      <c r="K364" s="299"/>
    </row>
    <row r="365">
      <c r="A365" s="293"/>
      <c r="B365" s="5">
        <v>363.0</v>
      </c>
      <c r="K365" s="299"/>
    </row>
    <row r="366">
      <c r="A366" s="293"/>
      <c r="B366" s="5">
        <v>364.0</v>
      </c>
      <c r="K366" s="299"/>
    </row>
    <row r="367">
      <c r="A367" s="293"/>
      <c r="B367" s="5">
        <v>365.0</v>
      </c>
      <c r="C367" s="11" t="s">
        <v>1025</v>
      </c>
      <c r="D367" s="11" t="s">
        <v>14</v>
      </c>
      <c r="E367" s="11" t="s">
        <v>69</v>
      </c>
      <c r="F367" s="12">
        <v>35730.0</v>
      </c>
      <c r="G367" s="8">
        <f t="shared" ref="G367:G380" si="9">YEARFRAC(F367, TODAY(),1)</f>
        <v>28.71232877</v>
      </c>
      <c r="H367" s="49">
        <v>257.0</v>
      </c>
      <c r="I367" s="9">
        <v>-40.0</v>
      </c>
      <c r="J367" s="341" t="s">
        <v>1629</v>
      </c>
      <c r="K367" s="299"/>
    </row>
    <row r="368">
      <c r="A368" s="293"/>
      <c r="B368" s="5">
        <v>366.0</v>
      </c>
      <c r="C368" s="6" t="s">
        <v>928</v>
      </c>
      <c r="D368" s="6" t="s">
        <v>14</v>
      </c>
      <c r="E368" s="6" t="s">
        <v>26</v>
      </c>
      <c r="F368" s="12">
        <v>35118.0</v>
      </c>
      <c r="G368" s="8">
        <f t="shared" si="9"/>
        <v>30.38669811</v>
      </c>
      <c r="H368" s="49">
        <v>272.0</v>
      </c>
      <c r="I368" s="9">
        <v>-46.0</v>
      </c>
      <c r="J368" s="347" t="s">
        <v>1630</v>
      </c>
      <c r="K368" s="299"/>
    </row>
    <row r="369">
      <c r="A369" s="293"/>
      <c r="B369" s="5">
        <v>367.0</v>
      </c>
      <c r="C369" s="6" t="s">
        <v>881</v>
      </c>
      <c r="D369" s="6" t="s">
        <v>36</v>
      </c>
      <c r="E369" s="6" t="s">
        <v>213</v>
      </c>
      <c r="F369" s="12">
        <v>36178.0</v>
      </c>
      <c r="G369" s="8">
        <f t="shared" si="9"/>
        <v>27.48493151</v>
      </c>
      <c r="H369" s="49">
        <v>273.0</v>
      </c>
      <c r="I369" s="9">
        <v>-19.0</v>
      </c>
      <c r="J369" s="341" t="s">
        <v>1631</v>
      </c>
      <c r="K369" s="299"/>
    </row>
    <row r="370">
      <c r="A370" s="293"/>
      <c r="B370" s="5">
        <v>368.0</v>
      </c>
      <c r="C370" s="6" t="s">
        <v>748</v>
      </c>
      <c r="D370" s="6" t="s">
        <v>36</v>
      </c>
      <c r="E370" s="6" t="s">
        <v>98</v>
      </c>
      <c r="F370" s="12">
        <v>33834.0</v>
      </c>
      <c r="G370" s="8">
        <f t="shared" si="9"/>
        <v>33.90309155</v>
      </c>
      <c r="H370" s="9">
        <v>274.0</v>
      </c>
      <c r="I370" s="9">
        <v>-21.0</v>
      </c>
      <c r="J370" s="341" t="s">
        <v>1632</v>
      </c>
      <c r="K370" s="299"/>
    </row>
    <row r="371">
      <c r="A371" s="293"/>
      <c r="B371" s="5">
        <v>369.0</v>
      </c>
      <c r="C371" s="6" t="s">
        <v>820</v>
      </c>
      <c r="D371" s="6" t="s">
        <v>36</v>
      </c>
      <c r="E371" s="6" t="s">
        <v>29</v>
      </c>
      <c r="F371" s="12">
        <v>34571.0</v>
      </c>
      <c r="G371" s="8">
        <f t="shared" si="9"/>
        <v>31.88493151</v>
      </c>
      <c r="H371" s="49">
        <v>275.0</v>
      </c>
      <c r="I371" s="9">
        <v>-12.0</v>
      </c>
      <c r="J371" s="347" t="s">
        <v>1633</v>
      </c>
      <c r="K371" s="299"/>
    </row>
    <row r="372">
      <c r="A372" s="293"/>
      <c r="B372" s="5">
        <v>370.0</v>
      </c>
      <c r="C372" s="11" t="s">
        <v>514</v>
      </c>
      <c r="D372" s="11" t="s">
        <v>1634</v>
      </c>
      <c r="E372" s="11" t="s">
        <v>95</v>
      </c>
      <c r="F372" s="12">
        <v>35720.0</v>
      </c>
      <c r="G372" s="8">
        <f t="shared" si="9"/>
        <v>28.73972603</v>
      </c>
      <c r="H372" s="9">
        <v>283.0</v>
      </c>
      <c r="I372" s="9">
        <v>-7.0</v>
      </c>
      <c r="J372" s="341" t="s">
        <v>1635</v>
      </c>
      <c r="K372" s="299"/>
    </row>
    <row r="373">
      <c r="A373" s="293"/>
      <c r="B373" s="5">
        <v>371.0</v>
      </c>
      <c r="C373" s="11" t="s">
        <v>735</v>
      </c>
      <c r="D373" s="11" t="s">
        <v>25</v>
      </c>
      <c r="E373" s="11" t="s">
        <v>98</v>
      </c>
      <c r="F373" s="12">
        <v>35476.0</v>
      </c>
      <c r="G373" s="8">
        <f t="shared" si="9"/>
        <v>29.40821918</v>
      </c>
      <c r="H373" s="49">
        <v>285.0</v>
      </c>
      <c r="I373" s="9">
        <v>5.0</v>
      </c>
      <c r="J373" s="341" t="s">
        <v>1636</v>
      </c>
      <c r="K373" s="299"/>
    </row>
    <row r="374">
      <c r="A374" s="293"/>
      <c r="B374" s="5">
        <v>372.0</v>
      </c>
      <c r="C374" s="6" t="s">
        <v>800</v>
      </c>
      <c r="D374" s="6" t="s">
        <v>25</v>
      </c>
      <c r="E374" s="6" t="s">
        <v>66</v>
      </c>
      <c r="F374" s="12">
        <v>33462.0</v>
      </c>
      <c r="G374" s="8">
        <f t="shared" si="9"/>
        <v>34.92054795</v>
      </c>
      <c r="H374" s="9">
        <v>286.0</v>
      </c>
      <c r="I374" s="9">
        <v>-14.0</v>
      </c>
      <c r="J374" s="341" t="s">
        <v>1637</v>
      </c>
      <c r="K374" s="299"/>
    </row>
    <row r="375">
      <c r="A375" s="293"/>
      <c r="B375" s="5">
        <v>373.0</v>
      </c>
      <c r="C375" s="6" t="s">
        <v>894</v>
      </c>
      <c r="D375" s="6" t="s">
        <v>36</v>
      </c>
      <c r="E375" s="6" t="s">
        <v>158</v>
      </c>
      <c r="F375" s="12">
        <v>35356.0</v>
      </c>
      <c r="G375" s="8">
        <f t="shared" si="9"/>
        <v>29.73642488</v>
      </c>
      <c r="H375" s="9">
        <v>292.0</v>
      </c>
      <c r="I375" s="9">
        <v>7.0</v>
      </c>
      <c r="J375" s="341" t="s">
        <v>1638</v>
      </c>
      <c r="K375" s="299"/>
    </row>
    <row r="376">
      <c r="A376" s="293"/>
      <c r="B376" s="5">
        <v>374.0</v>
      </c>
      <c r="C376" s="6" t="s">
        <v>1639</v>
      </c>
      <c r="D376" s="6" t="s">
        <v>869</v>
      </c>
      <c r="E376" s="6" t="s">
        <v>40</v>
      </c>
      <c r="F376" s="12">
        <v>35050.0</v>
      </c>
      <c r="G376" s="8">
        <f t="shared" si="9"/>
        <v>30.57260274</v>
      </c>
      <c r="H376" s="49">
        <v>293.0</v>
      </c>
      <c r="I376" s="9">
        <v>-28.0</v>
      </c>
      <c r="J376" s="341" t="s">
        <v>1640</v>
      </c>
      <c r="K376" s="299"/>
    </row>
    <row r="377">
      <c r="A377" s="293"/>
      <c r="B377" s="5">
        <v>375.0</v>
      </c>
      <c r="C377" s="28" t="s">
        <v>838</v>
      </c>
      <c r="D377" s="34" t="s">
        <v>36</v>
      </c>
      <c r="E377" s="28" t="s">
        <v>90</v>
      </c>
      <c r="F377" s="44">
        <v>37594.0</v>
      </c>
      <c r="G377" s="31">
        <f t="shared" si="9"/>
        <v>23.60821918</v>
      </c>
      <c r="H377" s="49">
        <v>294.0</v>
      </c>
      <c r="I377" s="9">
        <v>19.0</v>
      </c>
      <c r="J377" s="345" t="s">
        <v>1641</v>
      </c>
      <c r="K377" s="299"/>
    </row>
    <row r="378">
      <c r="A378" s="293"/>
      <c r="B378" s="5">
        <v>376.0</v>
      </c>
      <c r="C378" s="6" t="s">
        <v>793</v>
      </c>
      <c r="D378" s="6" t="s">
        <v>36</v>
      </c>
      <c r="E378" s="6" t="s">
        <v>40</v>
      </c>
      <c r="F378" s="12">
        <v>37971.0</v>
      </c>
      <c r="G378" s="8">
        <f t="shared" si="9"/>
        <v>22.57534247</v>
      </c>
      <c r="H378" s="9">
        <v>295.0</v>
      </c>
      <c r="I378" s="9">
        <v>-31.0</v>
      </c>
      <c r="J378" s="341" t="s">
        <v>1642</v>
      </c>
      <c r="K378" s="299"/>
    </row>
    <row r="379">
      <c r="A379" s="293"/>
      <c r="B379" s="5">
        <v>377.0</v>
      </c>
      <c r="C379" s="28" t="s">
        <v>818</v>
      </c>
      <c r="D379" s="29" t="s">
        <v>14</v>
      </c>
      <c r="E379" s="28" t="s">
        <v>69</v>
      </c>
      <c r="F379" s="44">
        <v>38078.0</v>
      </c>
      <c r="G379" s="31">
        <f t="shared" si="9"/>
        <v>22.28287297</v>
      </c>
      <c r="H379" s="49">
        <v>296.0</v>
      </c>
      <c r="I379" s="9">
        <v>4.0</v>
      </c>
      <c r="J379" s="345" t="s">
        <v>819</v>
      </c>
      <c r="K379" s="299"/>
    </row>
    <row r="380">
      <c r="A380" s="293"/>
      <c r="B380" s="5">
        <v>378.0</v>
      </c>
      <c r="C380" s="11" t="s">
        <v>887</v>
      </c>
      <c r="D380" s="11" t="s">
        <v>10</v>
      </c>
      <c r="E380" s="11" t="s">
        <v>40</v>
      </c>
      <c r="F380" s="12">
        <v>36839.0</v>
      </c>
      <c r="G380" s="8">
        <f t="shared" si="9"/>
        <v>25.67631559</v>
      </c>
      <c r="H380" s="49">
        <v>297.0</v>
      </c>
      <c r="I380" s="9">
        <v>-4.0</v>
      </c>
      <c r="J380" s="344" t="s">
        <v>1643</v>
      </c>
      <c r="K380" s="299"/>
    </row>
    <row r="381">
      <c r="A381" s="293"/>
      <c r="B381" s="5">
        <v>379.0</v>
      </c>
      <c r="K381" s="299"/>
    </row>
    <row r="382">
      <c r="A382" s="293"/>
      <c r="B382" s="5">
        <v>380.0</v>
      </c>
      <c r="C382" s="6" t="s">
        <v>716</v>
      </c>
      <c r="D382" s="6" t="s">
        <v>36</v>
      </c>
      <c r="E382" s="6" t="s">
        <v>69</v>
      </c>
      <c r="F382" s="12">
        <v>35152.0</v>
      </c>
      <c r="G382" s="8">
        <f t="shared" ref="G382:G388" si="10">YEARFRAC(F382, TODAY(),1)</f>
        <v>30.29380193</v>
      </c>
      <c r="H382" s="49">
        <v>299.0</v>
      </c>
      <c r="I382" s="9">
        <v>-8.0</v>
      </c>
      <c r="J382" s="341" t="s">
        <v>1644</v>
      </c>
      <c r="K382" s="299"/>
    </row>
    <row r="383">
      <c r="A383" s="293"/>
      <c r="B383" s="5">
        <v>381.0</v>
      </c>
      <c r="C383" s="6" t="s">
        <v>1645</v>
      </c>
      <c r="D383" s="6" t="s">
        <v>14</v>
      </c>
      <c r="E383" s="6" t="s">
        <v>213</v>
      </c>
      <c r="F383" s="12">
        <v>36661.0</v>
      </c>
      <c r="G383" s="8">
        <f t="shared" si="10"/>
        <v>26.16265439</v>
      </c>
      <c r="H383" s="49">
        <v>300.0</v>
      </c>
      <c r="I383" s="9">
        <v>-23.0</v>
      </c>
      <c r="J383" s="347" t="s">
        <v>1646</v>
      </c>
      <c r="K383" s="299"/>
    </row>
    <row r="384">
      <c r="A384" s="293"/>
      <c r="B384" s="5">
        <v>382.0</v>
      </c>
      <c r="C384" s="6" t="s">
        <v>759</v>
      </c>
      <c r="D384" s="6" t="s">
        <v>36</v>
      </c>
      <c r="E384" s="6" t="s">
        <v>37</v>
      </c>
      <c r="F384" s="12">
        <v>37177.0</v>
      </c>
      <c r="G384" s="8">
        <f t="shared" si="10"/>
        <v>24.75068493</v>
      </c>
      <c r="H384" s="9">
        <v>301.0</v>
      </c>
      <c r="I384" s="9">
        <v>-18.0</v>
      </c>
      <c r="J384" s="347" t="s">
        <v>1647</v>
      </c>
      <c r="K384" s="299"/>
    </row>
    <row r="385">
      <c r="A385" s="293"/>
      <c r="B385" s="5">
        <v>383.0</v>
      </c>
      <c r="C385" s="6" t="s">
        <v>1019</v>
      </c>
      <c r="D385" s="6" t="s">
        <v>14</v>
      </c>
      <c r="E385" s="6" t="s">
        <v>90</v>
      </c>
      <c r="F385" s="12">
        <v>36925.0</v>
      </c>
      <c r="G385" s="8">
        <f t="shared" si="10"/>
        <v>25.44109589</v>
      </c>
      <c r="H385" s="49">
        <v>302.0</v>
      </c>
      <c r="I385" s="9">
        <v>-28.0</v>
      </c>
      <c r="J385" s="341" t="s">
        <v>1648</v>
      </c>
      <c r="K385" s="299"/>
    </row>
    <row r="386">
      <c r="A386" s="293"/>
      <c r="B386" s="5">
        <v>384.0</v>
      </c>
      <c r="C386" s="6" t="s">
        <v>582</v>
      </c>
      <c r="D386" s="6" t="s">
        <v>14</v>
      </c>
      <c r="E386" s="6" t="s">
        <v>128</v>
      </c>
      <c r="F386" s="12">
        <v>36945.0</v>
      </c>
      <c r="G386" s="8">
        <f t="shared" si="10"/>
        <v>25.38630137</v>
      </c>
      <c r="H386" s="49">
        <v>303.0</v>
      </c>
      <c r="I386" s="9">
        <v>1.0</v>
      </c>
      <c r="J386" s="347" t="s">
        <v>1649</v>
      </c>
      <c r="K386" s="299"/>
    </row>
    <row r="387">
      <c r="A387" s="293"/>
      <c r="B387" s="5">
        <v>385.0</v>
      </c>
      <c r="C387" s="6" t="s">
        <v>624</v>
      </c>
      <c r="D387" s="6" t="s">
        <v>36</v>
      </c>
      <c r="E387" s="6" t="s">
        <v>32</v>
      </c>
      <c r="F387" s="12">
        <v>36825.0</v>
      </c>
      <c r="G387" s="8">
        <f t="shared" si="10"/>
        <v>25.71456696</v>
      </c>
      <c r="H387" s="9">
        <v>304.0</v>
      </c>
      <c r="I387" s="9">
        <v>-8.0</v>
      </c>
      <c r="J387" s="341" t="s">
        <v>1650</v>
      </c>
      <c r="K387" s="299"/>
    </row>
    <row r="388">
      <c r="A388" s="293"/>
      <c r="B388" s="5">
        <v>386.0</v>
      </c>
      <c r="C388" s="11" t="s">
        <v>690</v>
      </c>
      <c r="D388" s="11" t="s">
        <v>25</v>
      </c>
      <c r="E388" s="11" t="s">
        <v>49</v>
      </c>
      <c r="F388" s="12">
        <v>38338.0</v>
      </c>
      <c r="G388" s="8">
        <f t="shared" si="10"/>
        <v>21.57249046</v>
      </c>
      <c r="H388" s="49">
        <v>305.0</v>
      </c>
      <c r="I388" s="9">
        <v>-16.0</v>
      </c>
      <c r="J388" s="341" t="s">
        <v>1651</v>
      </c>
      <c r="K388" s="299"/>
    </row>
    <row r="389">
      <c r="A389" s="293"/>
      <c r="B389" s="5">
        <v>387.0</v>
      </c>
      <c r="K389" s="299"/>
    </row>
    <row r="390">
      <c r="A390" s="293"/>
      <c r="B390" s="5">
        <v>388.0</v>
      </c>
      <c r="C390" s="11" t="s">
        <v>805</v>
      </c>
      <c r="D390" s="11" t="s">
        <v>14</v>
      </c>
      <c r="E390" s="11" t="s">
        <v>69</v>
      </c>
      <c r="F390" s="12">
        <v>36582.0</v>
      </c>
      <c r="G390" s="8">
        <f t="shared" ref="G390:G403" si="11">YEARFRAC(F390, TODAY(),1)</f>
        <v>26.37850138</v>
      </c>
      <c r="H390" s="9">
        <v>307.0</v>
      </c>
      <c r="I390" s="9">
        <v>7.0</v>
      </c>
      <c r="J390" s="344" t="s">
        <v>806</v>
      </c>
      <c r="K390" s="299"/>
    </row>
    <row r="391">
      <c r="A391" s="293"/>
      <c r="B391" s="5">
        <v>389.0</v>
      </c>
      <c r="C391" s="11" t="s">
        <v>777</v>
      </c>
      <c r="D391" s="11" t="s">
        <v>10</v>
      </c>
      <c r="E391" s="35" t="s">
        <v>176</v>
      </c>
      <c r="F391" s="12">
        <v>31566.0</v>
      </c>
      <c r="G391" s="8">
        <f t="shared" si="11"/>
        <v>40.11232877</v>
      </c>
      <c r="H391" s="49">
        <v>308.0</v>
      </c>
      <c r="I391" s="9">
        <v>-21.0</v>
      </c>
      <c r="J391" s="341" t="s">
        <v>1652</v>
      </c>
      <c r="K391" s="299"/>
    </row>
    <row r="392">
      <c r="A392" s="293"/>
      <c r="B392" s="5">
        <v>390.0</v>
      </c>
      <c r="C392" s="6" t="s">
        <v>961</v>
      </c>
      <c r="D392" s="6" t="s">
        <v>36</v>
      </c>
      <c r="E392" s="6" t="s">
        <v>46</v>
      </c>
      <c r="F392" s="12">
        <v>37088.0</v>
      </c>
      <c r="G392" s="8">
        <f t="shared" si="11"/>
        <v>24.99452055</v>
      </c>
      <c r="H392" s="49">
        <v>309.0</v>
      </c>
      <c r="I392" s="9">
        <v>-23.0</v>
      </c>
      <c r="J392" s="341" t="s">
        <v>1653</v>
      </c>
      <c r="K392" s="299"/>
    </row>
    <row r="393">
      <c r="A393" s="293"/>
      <c r="B393" s="5">
        <v>391.0</v>
      </c>
      <c r="C393" s="28" t="s">
        <v>879</v>
      </c>
      <c r="D393" s="28" t="s">
        <v>10</v>
      </c>
      <c r="E393" s="28" t="s">
        <v>40</v>
      </c>
      <c r="F393" s="44">
        <v>37456.0</v>
      </c>
      <c r="G393" s="31">
        <f t="shared" si="11"/>
        <v>23.98630137</v>
      </c>
      <c r="H393" s="9">
        <v>310.0</v>
      </c>
      <c r="I393" s="9">
        <v>-29.0</v>
      </c>
      <c r="J393" s="350" t="s">
        <v>1654</v>
      </c>
      <c r="K393" s="299"/>
    </row>
    <row r="394">
      <c r="A394" s="293"/>
      <c r="B394" s="5">
        <v>392.0</v>
      </c>
      <c r="C394" s="6" t="s">
        <v>694</v>
      </c>
      <c r="D394" s="6" t="s">
        <v>10</v>
      </c>
      <c r="E394" s="6" t="s">
        <v>15</v>
      </c>
      <c r="F394" s="12">
        <v>37436.0</v>
      </c>
      <c r="G394" s="8">
        <f t="shared" si="11"/>
        <v>24.04109589</v>
      </c>
      <c r="H394" s="49">
        <v>311.0</v>
      </c>
      <c r="I394" s="9">
        <v>-5.0</v>
      </c>
      <c r="J394" s="347" t="s">
        <v>695</v>
      </c>
      <c r="K394" s="299"/>
    </row>
    <row r="395">
      <c r="A395" s="293"/>
      <c r="B395" s="5">
        <v>393.0</v>
      </c>
      <c r="C395" s="6" t="s">
        <v>771</v>
      </c>
      <c r="D395" s="6" t="s">
        <v>25</v>
      </c>
      <c r="E395" s="6" t="s">
        <v>11</v>
      </c>
      <c r="F395" s="12">
        <v>33754.0</v>
      </c>
      <c r="G395" s="8">
        <f t="shared" si="11"/>
        <v>34.12167078</v>
      </c>
      <c r="H395" s="49">
        <v>312.0</v>
      </c>
      <c r="I395" s="9">
        <v>3.0</v>
      </c>
      <c r="J395" s="347" t="s">
        <v>1655</v>
      </c>
      <c r="K395" s="299"/>
    </row>
    <row r="396">
      <c r="A396" s="293"/>
      <c r="B396" s="5">
        <v>394.0</v>
      </c>
      <c r="C396" s="6" t="s">
        <v>667</v>
      </c>
      <c r="D396" s="35" t="s">
        <v>36</v>
      </c>
      <c r="E396" s="6" t="s">
        <v>58</v>
      </c>
      <c r="F396" s="12">
        <v>38311.0</v>
      </c>
      <c r="G396" s="8">
        <f t="shared" si="11"/>
        <v>21.64626095</v>
      </c>
      <c r="H396" s="9">
        <v>313.0</v>
      </c>
      <c r="I396" s="9">
        <v>8.0</v>
      </c>
      <c r="J396" s="341" t="s">
        <v>1656</v>
      </c>
      <c r="K396" s="299"/>
    </row>
    <row r="397">
      <c r="A397" s="293"/>
      <c r="B397" s="5">
        <v>395.0</v>
      </c>
      <c r="C397" s="6" t="s">
        <v>831</v>
      </c>
      <c r="D397" s="6" t="s">
        <v>25</v>
      </c>
      <c r="E397" s="6" t="s">
        <v>87</v>
      </c>
      <c r="F397" s="12">
        <v>37129.0</v>
      </c>
      <c r="G397" s="8">
        <f t="shared" si="11"/>
        <v>24.88219178</v>
      </c>
      <c r="H397" s="49">
        <v>314.0</v>
      </c>
      <c r="I397" s="9">
        <v>-16.0</v>
      </c>
      <c r="J397" s="341" t="s">
        <v>1657</v>
      </c>
      <c r="K397" s="299"/>
    </row>
    <row r="398">
      <c r="A398" s="293"/>
      <c r="B398" s="5">
        <v>396.0</v>
      </c>
      <c r="C398" s="6" t="s">
        <v>840</v>
      </c>
      <c r="D398" s="6" t="s">
        <v>21</v>
      </c>
      <c r="E398" s="6" t="s">
        <v>40</v>
      </c>
      <c r="F398" s="12">
        <v>34191.0</v>
      </c>
      <c r="G398" s="8">
        <f t="shared" si="11"/>
        <v>32.9260274</v>
      </c>
      <c r="H398" s="49">
        <v>315.0</v>
      </c>
      <c r="I398" s="9">
        <v>114.0</v>
      </c>
      <c r="J398" s="341" t="s">
        <v>842</v>
      </c>
      <c r="K398" s="299"/>
    </row>
    <row r="399">
      <c r="A399" s="293"/>
      <c r="B399" s="5">
        <v>397.0</v>
      </c>
      <c r="C399" s="6" t="s">
        <v>718</v>
      </c>
      <c r="D399" s="6" t="s">
        <v>21</v>
      </c>
      <c r="E399" s="6" t="s">
        <v>55</v>
      </c>
      <c r="F399" s="12">
        <v>34170.0</v>
      </c>
      <c r="G399" s="8">
        <f t="shared" si="11"/>
        <v>32.98356164</v>
      </c>
      <c r="H399" s="9">
        <v>316.0</v>
      </c>
      <c r="I399" s="9">
        <v>-13.0</v>
      </c>
      <c r="J399" s="341" t="s">
        <v>1658</v>
      </c>
      <c r="K399" s="299"/>
    </row>
    <row r="400">
      <c r="A400" s="293"/>
      <c r="B400" s="5">
        <v>398.0</v>
      </c>
      <c r="C400" s="28" t="s">
        <v>615</v>
      </c>
      <c r="D400" s="34" t="s">
        <v>14</v>
      </c>
      <c r="E400" s="28" t="s">
        <v>49</v>
      </c>
      <c r="F400" s="44">
        <v>37609.0</v>
      </c>
      <c r="G400" s="31">
        <f t="shared" si="11"/>
        <v>23.56712329</v>
      </c>
      <c r="H400" s="49">
        <v>317.0</v>
      </c>
      <c r="I400" s="9">
        <v>-16.0</v>
      </c>
      <c r="J400" s="345" t="s">
        <v>616</v>
      </c>
      <c r="K400" s="299"/>
    </row>
    <row r="401">
      <c r="A401" s="293"/>
      <c r="B401" s="5">
        <v>399.0</v>
      </c>
      <c r="C401" s="6" t="s">
        <v>967</v>
      </c>
      <c r="D401" s="6" t="s">
        <v>21</v>
      </c>
      <c r="E401" s="6" t="s">
        <v>111</v>
      </c>
      <c r="F401" s="12">
        <v>35763.0</v>
      </c>
      <c r="G401" s="8">
        <f t="shared" si="11"/>
        <v>28.62191781</v>
      </c>
      <c r="H401" s="49">
        <v>318.0</v>
      </c>
      <c r="I401" s="9">
        <v>7.0</v>
      </c>
      <c r="J401" s="341" t="s">
        <v>1659</v>
      </c>
      <c r="K401" s="299"/>
    </row>
    <row r="402">
      <c r="A402" s="293"/>
      <c r="B402" s="5">
        <v>400.0</v>
      </c>
      <c r="C402" s="6" t="s">
        <v>795</v>
      </c>
      <c r="D402" s="6" t="s">
        <v>25</v>
      </c>
      <c r="E402" s="6" t="s">
        <v>55</v>
      </c>
      <c r="F402" s="12">
        <v>34093.0</v>
      </c>
      <c r="G402" s="8">
        <f t="shared" si="11"/>
        <v>33.19452055</v>
      </c>
      <c r="H402" s="9">
        <v>319.0</v>
      </c>
      <c r="I402" s="9">
        <v>-7.0</v>
      </c>
      <c r="J402" s="341" t="s">
        <v>1660</v>
      </c>
      <c r="K402" s="299"/>
    </row>
    <row r="403">
      <c r="A403" s="293"/>
      <c r="B403" s="5">
        <v>401.0</v>
      </c>
      <c r="C403" s="35" t="s">
        <v>850</v>
      </c>
      <c r="D403" s="35" t="s">
        <v>36</v>
      </c>
      <c r="E403" s="35" t="s">
        <v>114</v>
      </c>
      <c r="F403" s="7">
        <v>37375.0</v>
      </c>
      <c r="G403" s="8">
        <f t="shared" si="11"/>
        <v>24.20821918</v>
      </c>
      <c r="H403" s="49">
        <v>320.0</v>
      </c>
      <c r="I403" s="9">
        <v>-9.0</v>
      </c>
      <c r="J403" s="341" t="s">
        <v>851</v>
      </c>
      <c r="K403" s="299"/>
    </row>
    <row r="404">
      <c r="A404" s="293"/>
      <c r="B404" s="5">
        <v>402.0</v>
      </c>
      <c r="C404" s="28" t="s">
        <v>947</v>
      </c>
      <c r="D404" s="28" t="s">
        <v>36</v>
      </c>
      <c r="E404" s="29" t="s">
        <v>15</v>
      </c>
      <c r="F404" s="44">
        <v>37317.0</v>
      </c>
      <c r="G404" s="28">
        <v>23.6</v>
      </c>
      <c r="H404" s="49">
        <v>321.0</v>
      </c>
      <c r="I404" s="9">
        <v>10.0</v>
      </c>
      <c r="J404" s="54" t="s">
        <v>1661</v>
      </c>
      <c r="K404" s="299"/>
    </row>
    <row r="405">
      <c r="A405" s="293"/>
      <c r="B405" s="5">
        <v>403.0</v>
      </c>
      <c r="C405" s="6" t="s">
        <v>965</v>
      </c>
      <c r="D405" s="6" t="s">
        <v>36</v>
      </c>
      <c r="E405" s="6" t="s">
        <v>18</v>
      </c>
      <c r="F405" s="12">
        <v>37000.0</v>
      </c>
      <c r="G405" s="8">
        <f t="shared" ref="G405:G429" si="12">YEARFRAC(F405, TODAY(),1)</f>
        <v>25.23561644</v>
      </c>
      <c r="H405" s="9">
        <v>322.0</v>
      </c>
      <c r="I405" s="9">
        <v>-22.0</v>
      </c>
      <c r="J405" s="347" t="s">
        <v>1662</v>
      </c>
      <c r="K405" s="299"/>
    </row>
    <row r="406">
      <c r="A406" s="293"/>
      <c r="B406" s="5">
        <v>404.0</v>
      </c>
      <c r="C406" s="35" t="s">
        <v>745</v>
      </c>
      <c r="D406" s="35" t="s">
        <v>36</v>
      </c>
      <c r="E406" s="35" t="s">
        <v>22</v>
      </c>
      <c r="F406" s="7">
        <v>33679.0</v>
      </c>
      <c r="G406" s="8">
        <f t="shared" si="12"/>
        <v>34.32658882</v>
      </c>
      <c r="H406" s="49">
        <v>323.0</v>
      </c>
      <c r="I406" s="9" t="s">
        <v>371</v>
      </c>
      <c r="J406" s="341" t="s">
        <v>1663</v>
      </c>
      <c r="K406" s="299"/>
    </row>
    <row r="407">
      <c r="A407" s="293"/>
      <c r="B407" s="5">
        <v>405.0</v>
      </c>
      <c r="C407" s="15" t="s">
        <v>937</v>
      </c>
      <c r="D407" s="11" t="s">
        <v>25</v>
      </c>
      <c r="E407" s="11" t="s">
        <v>158</v>
      </c>
      <c r="F407" s="12">
        <v>37146.0</v>
      </c>
      <c r="G407" s="8">
        <f t="shared" si="12"/>
        <v>24.83561644</v>
      </c>
      <c r="H407" s="49">
        <v>324.0</v>
      </c>
      <c r="I407" s="9">
        <v>-14.0</v>
      </c>
      <c r="J407" s="341" t="s">
        <v>1664</v>
      </c>
      <c r="K407" s="299"/>
    </row>
    <row r="408">
      <c r="A408" s="293"/>
      <c r="B408" s="5">
        <v>406.0</v>
      </c>
      <c r="C408" s="6" t="s">
        <v>892</v>
      </c>
      <c r="D408" s="6" t="s">
        <v>10</v>
      </c>
      <c r="E408" s="6" t="s">
        <v>66</v>
      </c>
      <c r="F408" s="12">
        <v>37691.0</v>
      </c>
      <c r="G408" s="8">
        <f t="shared" si="12"/>
        <v>23.34246575</v>
      </c>
      <c r="H408" s="9">
        <v>325.0</v>
      </c>
      <c r="I408" s="9">
        <v>-2.0</v>
      </c>
      <c r="J408" s="341" t="s">
        <v>1665</v>
      </c>
      <c r="K408" s="299"/>
    </row>
    <row r="409">
      <c r="A409" s="293"/>
      <c r="B409" s="5">
        <v>407.0</v>
      </c>
      <c r="C409" s="35" t="s">
        <v>827</v>
      </c>
      <c r="D409" s="35" t="s">
        <v>14</v>
      </c>
      <c r="E409" s="35" t="s">
        <v>37</v>
      </c>
      <c r="F409" s="12">
        <v>36783.0</v>
      </c>
      <c r="G409" s="8">
        <f t="shared" si="12"/>
        <v>25.82932106</v>
      </c>
      <c r="H409" s="49">
        <v>326.0</v>
      </c>
      <c r="I409" s="9">
        <v>76.0</v>
      </c>
      <c r="J409" s="341" t="s">
        <v>1666</v>
      </c>
      <c r="K409" s="299"/>
    </row>
    <row r="410">
      <c r="A410" s="293"/>
      <c r="B410" s="5">
        <v>408.0</v>
      </c>
      <c r="C410" s="6" t="s">
        <v>996</v>
      </c>
      <c r="D410" s="35" t="s">
        <v>10</v>
      </c>
      <c r="E410" s="6" t="s">
        <v>52</v>
      </c>
      <c r="F410" s="12">
        <v>37193.0</v>
      </c>
      <c r="G410" s="8">
        <f t="shared" si="12"/>
        <v>24.70684932</v>
      </c>
      <c r="H410" s="49">
        <v>327.0</v>
      </c>
      <c r="I410" s="9">
        <v>-20.0</v>
      </c>
      <c r="J410" s="341" t="s">
        <v>1667</v>
      </c>
      <c r="K410" s="299"/>
    </row>
    <row r="411">
      <c r="A411" s="293"/>
      <c r="B411" s="5">
        <v>409.0</v>
      </c>
      <c r="C411" s="6" t="s">
        <v>914</v>
      </c>
      <c r="D411" s="6" t="s">
        <v>36</v>
      </c>
      <c r="E411" s="6" t="s">
        <v>52</v>
      </c>
      <c r="F411" s="12">
        <v>36636.0</v>
      </c>
      <c r="G411" s="8">
        <f t="shared" si="12"/>
        <v>26.2309604</v>
      </c>
      <c r="H411" s="9">
        <v>328.0</v>
      </c>
      <c r="I411" s="9">
        <v>-11.0</v>
      </c>
      <c r="J411" s="347" t="s">
        <v>1668</v>
      </c>
      <c r="K411" s="299"/>
    </row>
    <row r="412">
      <c r="A412" s="293"/>
      <c r="B412" s="5">
        <v>410.0</v>
      </c>
      <c r="C412" s="11" t="s">
        <v>1669</v>
      </c>
      <c r="D412" s="11" t="s">
        <v>10</v>
      </c>
      <c r="E412" s="11" t="s">
        <v>49</v>
      </c>
      <c r="F412" s="12">
        <v>35327.0</v>
      </c>
      <c r="G412" s="8">
        <f t="shared" si="12"/>
        <v>29.81565985</v>
      </c>
      <c r="H412" s="49">
        <v>329.0</v>
      </c>
      <c r="I412" s="9">
        <v>-10.0</v>
      </c>
      <c r="J412" s="341" t="s">
        <v>1670</v>
      </c>
      <c r="K412" s="299"/>
    </row>
    <row r="413">
      <c r="A413" s="293"/>
      <c r="B413" s="5">
        <v>411.0</v>
      </c>
      <c r="C413" s="6" t="s">
        <v>1671</v>
      </c>
      <c r="D413" s="6" t="s">
        <v>14</v>
      </c>
      <c r="E413" s="6" t="s">
        <v>82</v>
      </c>
      <c r="F413" s="12">
        <v>35195.0</v>
      </c>
      <c r="G413" s="8">
        <f t="shared" si="12"/>
        <v>30.17631559</v>
      </c>
      <c r="H413" s="49">
        <v>330.0</v>
      </c>
      <c r="I413" s="9">
        <v>-12.0</v>
      </c>
      <c r="J413" s="341" t="s">
        <v>1672</v>
      </c>
      <c r="K413" s="299"/>
    </row>
    <row r="414">
      <c r="A414" s="293"/>
      <c r="B414" s="5">
        <v>412.0</v>
      </c>
      <c r="C414" s="6" t="s">
        <v>814</v>
      </c>
      <c r="D414" s="6" t="s">
        <v>36</v>
      </c>
      <c r="E414" s="6" t="s">
        <v>22</v>
      </c>
      <c r="F414" s="12">
        <v>37364.0</v>
      </c>
      <c r="G414" s="8">
        <f t="shared" si="12"/>
        <v>24.23835616</v>
      </c>
      <c r="H414" s="9">
        <v>331.0</v>
      </c>
      <c r="I414" s="9">
        <v>-1.0</v>
      </c>
      <c r="J414" s="341" t="s">
        <v>1673</v>
      </c>
      <c r="K414" s="299"/>
    </row>
    <row r="415">
      <c r="A415" s="293"/>
      <c r="B415" s="5">
        <v>413.0</v>
      </c>
      <c r="C415" s="28" t="s">
        <v>673</v>
      </c>
      <c r="D415" s="28" t="s">
        <v>21</v>
      </c>
      <c r="E415" s="28" t="s">
        <v>26</v>
      </c>
      <c r="F415" s="44">
        <v>37509.0</v>
      </c>
      <c r="G415" s="31">
        <f t="shared" si="12"/>
        <v>23.84109589</v>
      </c>
      <c r="H415" s="49">
        <v>332.0</v>
      </c>
      <c r="I415" s="9">
        <v>31.0</v>
      </c>
      <c r="J415" s="345" t="s">
        <v>1674</v>
      </c>
      <c r="K415" s="299"/>
    </row>
    <row r="416">
      <c r="A416" s="293"/>
      <c r="B416" s="5">
        <v>414.0</v>
      </c>
      <c r="C416" s="6" t="s">
        <v>789</v>
      </c>
      <c r="D416" s="6" t="s">
        <v>10</v>
      </c>
      <c r="E416" s="6" t="s">
        <v>32</v>
      </c>
      <c r="F416" s="12">
        <v>36156.0</v>
      </c>
      <c r="G416" s="8">
        <f t="shared" si="12"/>
        <v>27.54520548</v>
      </c>
      <c r="H416" s="49">
        <v>333.0</v>
      </c>
      <c r="I416" s="9">
        <v>31.0</v>
      </c>
      <c r="J416" s="341" t="s">
        <v>1675</v>
      </c>
      <c r="K416" s="299"/>
    </row>
    <row r="417">
      <c r="A417" s="293"/>
      <c r="B417" s="5">
        <v>415.0</v>
      </c>
      <c r="C417" s="6" t="s">
        <v>836</v>
      </c>
      <c r="D417" s="6" t="s">
        <v>36</v>
      </c>
      <c r="E417" s="6" t="s">
        <v>87</v>
      </c>
      <c r="F417" s="12">
        <v>36917.0</v>
      </c>
      <c r="G417" s="8">
        <f t="shared" si="12"/>
        <v>25.4630137</v>
      </c>
      <c r="H417" s="9">
        <v>334.0</v>
      </c>
      <c r="I417" s="9">
        <v>13.0</v>
      </c>
      <c r="J417" s="341" t="s">
        <v>837</v>
      </c>
      <c r="K417" s="299"/>
    </row>
    <row r="418">
      <c r="A418" s="293"/>
      <c r="B418" s="5">
        <v>416.0</v>
      </c>
      <c r="C418" s="6" t="s">
        <v>873</v>
      </c>
      <c r="D418" s="6" t="s">
        <v>36</v>
      </c>
      <c r="E418" s="6" t="s">
        <v>95</v>
      </c>
      <c r="F418" s="12">
        <v>35493.0</v>
      </c>
      <c r="G418" s="8">
        <f t="shared" si="12"/>
        <v>29.36164384</v>
      </c>
      <c r="H418" s="49">
        <v>335.0</v>
      </c>
      <c r="I418" s="9">
        <v>14.0</v>
      </c>
      <c r="J418" s="347" t="s">
        <v>1676</v>
      </c>
      <c r="K418" s="299"/>
    </row>
    <row r="419">
      <c r="A419" s="293"/>
      <c r="B419" s="5">
        <v>417.0</v>
      </c>
      <c r="C419" s="11" t="s">
        <v>730</v>
      </c>
      <c r="D419" s="11" t="s">
        <v>21</v>
      </c>
      <c r="E419" s="11" t="s">
        <v>98</v>
      </c>
      <c r="F419" s="12">
        <v>32234.0</v>
      </c>
      <c r="G419" s="8">
        <f t="shared" si="12"/>
        <v>38.28287297</v>
      </c>
      <c r="H419" s="49">
        <v>336.0</v>
      </c>
      <c r="I419" s="9">
        <v>-41.0</v>
      </c>
      <c r="J419" s="341" t="s">
        <v>1677</v>
      </c>
      <c r="K419" s="299"/>
    </row>
    <row r="420">
      <c r="A420" s="293"/>
      <c r="B420" s="5">
        <v>418.0</v>
      </c>
      <c r="C420" s="6" t="s">
        <v>917</v>
      </c>
      <c r="D420" s="6" t="s">
        <v>36</v>
      </c>
      <c r="E420" s="6" t="s">
        <v>176</v>
      </c>
      <c r="F420" s="12">
        <v>33955.0</v>
      </c>
      <c r="G420" s="8">
        <f t="shared" si="12"/>
        <v>33.57249046</v>
      </c>
      <c r="H420" s="9">
        <v>337.0</v>
      </c>
      <c r="I420" s="9">
        <v>-19.0</v>
      </c>
      <c r="J420" s="341" t="s">
        <v>1678</v>
      </c>
      <c r="K420" s="299"/>
    </row>
    <row r="421">
      <c r="A421" s="293"/>
      <c r="B421" s="5">
        <v>419.0</v>
      </c>
      <c r="C421" s="6" t="s">
        <v>823</v>
      </c>
      <c r="D421" s="6" t="s">
        <v>25</v>
      </c>
      <c r="E421" s="6" t="s">
        <v>128</v>
      </c>
      <c r="F421" s="12">
        <v>35042.0</v>
      </c>
      <c r="G421" s="8">
        <f t="shared" si="12"/>
        <v>30.59452055</v>
      </c>
      <c r="H421" s="49">
        <v>338.0</v>
      </c>
      <c r="I421" s="9">
        <v>23.0</v>
      </c>
      <c r="J421" s="347" t="s">
        <v>1679</v>
      </c>
      <c r="K421" s="299"/>
    </row>
    <row r="422">
      <c r="A422" s="293"/>
      <c r="B422" s="5">
        <v>420.0</v>
      </c>
      <c r="C422" s="6" t="s">
        <v>868</v>
      </c>
      <c r="D422" s="6" t="s">
        <v>869</v>
      </c>
      <c r="E422" s="6" t="s">
        <v>18</v>
      </c>
      <c r="F422" s="12">
        <v>36253.0</v>
      </c>
      <c r="G422" s="8">
        <f t="shared" si="12"/>
        <v>27.27945205</v>
      </c>
      <c r="H422" s="49">
        <v>339.0</v>
      </c>
      <c r="I422" s="9">
        <v>-5.0</v>
      </c>
      <c r="J422" s="341" t="s">
        <v>870</v>
      </c>
      <c r="K422" s="299"/>
    </row>
    <row r="423">
      <c r="A423" s="293"/>
      <c r="B423" s="5">
        <v>421.0</v>
      </c>
      <c r="C423" s="6" t="s">
        <v>460</v>
      </c>
      <c r="D423" s="6" t="s">
        <v>10</v>
      </c>
      <c r="E423" s="6" t="s">
        <v>29</v>
      </c>
      <c r="F423" s="12">
        <v>36325.0</v>
      </c>
      <c r="G423" s="8">
        <f t="shared" si="12"/>
        <v>27.08219178</v>
      </c>
      <c r="H423" s="9">
        <v>340.0</v>
      </c>
      <c r="I423" s="9">
        <v>-18.0</v>
      </c>
      <c r="J423" s="341" t="s">
        <v>1680</v>
      </c>
      <c r="K423" s="299"/>
    </row>
    <row r="424">
      <c r="A424" s="293"/>
      <c r="B424" s="5">
        <v>422.0</v>
      </c>
      <c r="C424" s="6" t="s">
        <v>909</v>
      </c>
      <c r="D424" s="6" t="s">
        <v>36</v>
      </c>
      <c r="E424" s="6" t="s">
        <v>26</v>
      </c>
      <c r="F424" s="12">
        <v>32912.0</v>
      </c>
      <c r="G424" s="8">
        <f t="shared" si="12"/>
        <v>36.42739726</v>
      </c>
      <c r="H424" s="49">
        <v>341.0</v>
      </c>
      <c r="I424" s="9">
        <v>-6.0</v>
      </c>
      <c r="J424" s="341" t="s">
        <v>1681</v>
      </c>
      <c r="K424" s="299"/>
    </row>
    <row r="425">
      <c r="A425" s="293"/>
      <c r="B425" s="5">
        <v>423.0</v>
      </c>
      <c r="C425" s="6" t="s">
        <v>786</v>
      </c>
      <c r="D425" s="6" t="s">
        <v>10</v>
      </c>
      <c r="E425" s="6" t="s">
        <v>82</v>
      </c>
      <c r="F425" s="12">
        <v>35546.0</v>
      </c>
      <c r="G425" s="8">
        <f t="shared" si="12"/>
        <v>29.21643836</v>
      </c>
      <c r="H425" s="49">
        <v>342.0</v>
      </c>
      <c r="I425" s="9">
        <v>-5.0</v>
      </c>
      <c r="J425" s="347" t="s">
        <v>1682</v>
      </c>
      <c r="K425" s="299"/>
    </row>
    <row r="426">
      <c r="A426" s="293"/>
      <c r="B426" s="5">
        <v>424.0</v>
      </c>
      <c r="C426" s="6" t="s">
        <v>1005</v>
      </c>
      <c r="D426" s="6" t="s">
        <v>14</v>
      </c>
      <c r="E426" s="6" t="s">
        <v>66</v>
      </c>
      <c r="F426" s="12">
        <v>38322.0</v>
      </c>
      <c r="G426" s="8">
        <f t="shared" si="12"/>
        <v>21.6162063</v>
      </c>
      <c r="H426" s="9">
        <v>343.0</v>
      </c>
      <c r="I426" s="9">
        <v>-26.0</v>
      </c>
      <c r="J426" s="341" t="s">
        <v>1683</v>
      </c>
      <c r="K426" s="299"/>
    </row>
    <row r="427">
      <c r="A427" s="293"/>
      <c r="B427" s="5">
        <v>425.0</v>
      </c>
      <c r="C427" s="11" t="s">
        <v>1684</v>
      </c>
      <c r="D427" s="11" t="s">
        <v>10</v>
      </c>
      <c r="E427" s="11" t="s">
        <v>11</v>
      </c>
      <c r="F427" s="12">
        <v>33347.0</v>
      </c>
      <c r="G427" s="8">
        <f t="shared" si="12"/>
        <v>35.23561644</v>
      </c>
      <c r="H427" s="49">
        <v>344.0</v>
      </c>
      <c r="I427" s="9">
        <v>-15.0</v>
      </c>
      <c r="J427" s="341" t="s">
        <v>1685</v>
      </c>
      <c r="K427" s="299"/>
    </row>
    <row r="428">
      <c r="A428" s="293"/>
      <c r="B428" s="5">
        <v>426.0</v>
      </c>
      <c r="C428" s="6" t="s">
        <v>825</v>
      </c>
      <c r="D428" s="6" t="s">
        <v>25</v>
      </c>
      <c r="E428" s="6" t="s">
        <v>22</v>
      </c>
      <c r="F428" s="12">
        <v>37056.0</v>
      </c>
      <c r="G428" s="8">
        <f t="shared" si="12"/>
        <v>25.08219178</v>
      </c>
      <c r="H428" s="49">
        <v>345.0</v>
      </c>
      <c r="I428" s="9">
        <v>83.0</v>
      </c>
      <c r="J428" s="341" t="s">
        <v>1686</v>
      </c>
      <c r="K428" s="299"/>
    </row>
    <row r="429">
      <c r="A429" s="293"/>
      <c r="B429" s="5">
        <v>427.0</v>
      </c>
      <c r="C429" s="15" t="s">
        <v>994</v>
      </c>
      <c r="D429" s="11" t="s">
        <v>10</v>
      </c>
      <c r="E429" s="11" t="s">
        <v>176</v>
      </c>
      <c r="F429" s="12">
        <v>36578.0</v>
      </c>
      <c r="G429" s="8">
        <f t="shared" si="12"/>
        <v>26.38943035</v>
      </c>
      <c r="H429" s="9">
        <v>346.0</v>
      </c>
      <c r="I429" s="9">
        <v>-13.0</v>
      </c>
      <c r="J429" s="341" t="s">
        <v>1687</v>
      </c>
      <c r="K429" s="299"/>
    </row>
    <row r="430">
      <c r="A430" s="293"/>
      <c r="B430" s="5">
        <v>428.0</v>
      </c>
      <c r="C430" s="28" t="s">
        <v>486</v>
      </c>
      <c r="D430" s="28" t="s">
        <v>36</v>
      </c>
      <c r="E430" s="29" t="s">
        <v>98</v>
      </c>
      <c r="F430" s="44">
        <v>37406.0</v>
      </c>
      <c r="G430" s="28">
        <v>23.4</v>
      </c>
      <c r="H430" s="49">
        <v>347.0</v>
      </c>
      <c r="I430" s="9">
        <v>12.0</v>
      </c>
      <c r="J430" s="54" t="s">
        <v>1688</v>
      </c>
      <c r="K430" s="299"/>
    </row>
    <row r="431">
      <c r="A431" s="293"/>
      <c r="B431" s="5">
        <v>429.0</v>
      </c>
      <c r="C431" s="6" t="s">
        <v>923</v>
      </c>
      <c r="D431" s="6" t="s">
        <v>14</v>
      </c>
      <c r="E431" s="6" t="s">
        <v>37</v>
      </c>
      <c r="F431" s="12">
        <v>32061.0</v>
      </c>
      <c r="G431" s="8">
        <f t="shared" ref="G431:G433" si="13">YEARFRAC(F431, TODAY(),1)</f>
        <v>38.75616438</v>
      </c>
      <c r="H431" s="49">
        <v>348.0</v>
      </c>
      <c r="I431" s="9">
        <v>-12.0</v>
      </c>
      <c r="J431" s="347" t="s">
        <v>1689</v>
      </c>
      <c r="K431" s="299"/>
    </row>
    <row r="432">
      <c r="A432" s="293"/>
      <c r="B432" s="5">
        <v>430.0</v>
      </c>
      <c r="C432" s="6" t="s">
        <v>903</v>
      </c>
      <c r="D432" s="6" t="s">
        <v>267</v>
      </c>
      <c r="E432" s="6" t="s">
        <v>69</v>
      </c>
      <c r="F432" s="12">
        <v>36870.0</v>
      </c>
      <c r="G432" s="8">
        <f t="shared" si="13"/>
        <v>25.59161614</v>
      </c>
      <c r="H432" s="9">
        <v>349.0</v>
      </c>
      <c r="I432" s="9">
        <v>-11.0</v>
      </c>
      <c r="J432" s="341" t="s">
        <v>904</v>
      </c>
      <c r="K432" s="299"/>
    </row>
    <row r="433">
      <c r="A433" s="293"/>
      <c r="B433" s="5">
        <v>431.0</v>
      </c>
      <c r="C433" s="28" t="s">
        <v>676</v>
      </c>
      <c r="D433" s="28" t="s">
        <v>36</v>
      </c>
      <c r="E433" s="28" t="s">
        <v>66</v>
      </c>
      <c r="F433" s="44">
        <v>37078.0</v>
      </c>
      <c r="G433" s="31">
        <f t="shared" si="13"/>
        <v>25.02191781</v>
      </c>
      <c r="H433" s="49">
        <v>350.0</v>
      </c>
      <c r="I433" s="9">
        <v>-7.0</v>
      </c>
      <c r="J433" s="345" t="s">
        <v>1690</v>
      </c>
      <c r="K433" s="299"/>
    </row>
    <row r="434">
      <c r="A434" s="293"/>
      <c r="B434" s="5">
        <v>432.0</v>
      </c>
      <c r="C434" s="28" t="s">
        <v>1691</v>
      </c>
      <c r="D434" s="28" t="s">
        <v>36</v>
      </c>
      <c r="E434" s="29" t="s">
        <v>58</v>
      </c>
      <c r="F434" s="44">
        <v>37004.0</v>
      </c>
      <c r="G434" s="28">
        <v>24.5</v>
      </c>
      <c r="H434" s="49">
        <v>351.0</v>
      </c>
      <c r="I434" s="9">
        <v>85.0</v>
      </c>
      <c r="J434" s="54" t="s">
        <v>1692</v>
      </c>
      <c r="K434" s="299"/>
    </row>
    <row r="435">
      <c r="A435" s="293"/>
      <c r="B435" s="5">
        <v>433.0</v>
      </c>
      <c r="C435" s="28" t="s">
        <v>728</v>
      </c>
      <c r="D435" s="28" t="s">
        <v>21</v>
      </c>
      <c r="E435" s="28" t="s">
        <v>32</v>
      </c>
      <c r="F435" s="44">
        <v>37284.0</v>
      </c>
      <c r="G435" s="31">
        <f t="shared" ref="G435:G436" si="14">YEARFRAC(F435, TODAY(),1)</f>
        <v>24.45753425</v>
      </c>
      <c r="H435" s="9">
        <v>352.0</v>
      </c>
      <c r="I435" s="9">
        <v>10.0</v>
      </c>
      <c r="J435" s="345" t="s">
        <v>1693</v>
      </c>
      <c r="K435" s="299"/>
    </row>
    <row r="436">
      <c r="A436" s="293"/>
      <c r="B436" s="5">
        <v>434.0</v>
      </c>
      <c r="C436" s="6" t="s">
        <v>974</v>
      </c>
      <c r="D436" s="6" t="s">
        <v>25</v>
      </c>
      <c r="E436" s="6" t="s">
        <v>82</v>
      </c>
      <c r="F436" s="12">
        <v>35706.0</v>
      </c>
      <c r="G436" s="8">
        <f t="shared" si="14"/>
        <v>28.77808219</v>
      </c>
      <c r="H436" s="49">
        <v>353.0</v>
      </c>
      <c r="I436" s="9">
        <v>-26.0</v>
      </c>
      <c r="J436" s="341" t="s">
        <v>1694</v>
      </c>
      <c r="K436" s="299"/>
    </row>
    <row r="437">
      <c r="A437" s="293"/>
      <c r="B437" s="5">
        <v>435.0</v>
      </c>
      <c r="C437" s="28" t="s">
        <v>926</v>
      </c>
      <c r="D437" s="28" t="s">
        <v>21</v>
      </c>
      <c r="E437" s="29" t="s">
        <v>37</v>
      </c>
      <c r="F437" s="44">
        <v>38909.0</v>
      </c>
      <c r="G437" s="28">
        <v>19.2</v>
      </c>
      <c r="H437" s="49">
        <v>354.0</v>
      </c>
      <c r="I437" s="9">
        <v>84.0</v>
      </c>
      <c r="J437" s="54" t="s">
        <v>1695</v>
      </c>
      <c r="K437" s="299"/>
    </row>
    <row r="438">
      <c r="A438" s="293"/>
      <c r="B438" s="5">
        <v>436.0</v>
      </c>
      <c r="C438" s="11" t="s">
        <v>1696</v>
      </c>
      <c r="D438" s="11" t="s">
        <v>25</v>
      </c>
      <c r="E438" s="35" t="s">
        <v>158</v>
      </c>
      <c r="F438" s="12">
        <v>35408.0</v>
      </c>
      <c r="G438" s="8">
        <f t="shared" ref="G438:G448" si="15">YEARFRAC(F438, TODAY(),1)</f>
        <v>29.59434838</v>
      </c>
      <c r="H438" s="9">
        <v>355.0</v>
      </c>
      <c r="I438" s="9">
        <v>28.0</v>
      </c>
      <c r="J438" s="341" t="s">
        <v>1697</v>
      </c>
      <c r="K438" s="299"/>
    </row>
    <row r="439">
      <c r="A439" s="293"/>
      <c r="B439" s="5">
        <v>437.0</v>
      </c>
      <c r="C439" s="6" t="s">
        <v>791</v>
      </c>
      <c r="D439" s="6" t="s">
        <v>10</v>
      </c>
      <c r="E439" s="6" t="s">
        <v>114</v>
      </c>
      <c r="F439" s="12">
        <v>36980.0</v>
      </c>
      <c r="G439" s="8">
        <f t="shared" si="15"/>
        <v>25.29041096</v>
      </c>
      <c r="H439" s="49">
        <v>356.0</v>
      </c>
      <c r="I439" s="9">
        <v>-12.0</v>
      </c>
      <c r="J439" s="347" t="s">
        <v>1698</v>
      </c>
      <c r="K439" s="299"/>
    </row>
    <row r="440">
      <c r="A440" s="293"/>
      <c r="B440" s="5">
        <v>438.0</v>
      </c>
      <c r="C440" s="6" t="s">
        <v>861</v>
      </c>
      <c r="D440" s="6" t="s">
        <v>36</v>
      </c>
      <c r="E440" s="6" t="s">
        <v>90</v>
      </c>
      <c r="F440" s="12">
        <v>36846.0</v>
      </c>
      <c r="G440" s="8">
        <f t="shared" si="15"/>
        <v>25.65718991</v>
      </c>
      <c r="H440" s="49">
        <v>357.0</v>
      </c>
      <c r="I440" s="9">
        <v>-3.0</v>
      </c>
      <c r="J440" s="347" t="s">
        <v>1699</v>
      </c>
      <c r="K440" s="299"/>
    </row>
    <row r="441">
      <c r="A441" s="293"/>
      <c r="B441" s="5">
        <v>439.0</v>
      </c>
      <c r="C441" s="6" t="s">
        <v>653</v>
      </c>
      <c r="D441" s="6" t="s">
        <v>36</v>
      </c>
      <c r="E441" s="6" t="s">
        <v>52</v>
      </c>
      <c r="F441" s="12">
        <v>38234.0</v>
      </c>
      <c r="G441" s="8">
        <f t="shared" si="15"/>
        <v>21.85664346</v>
      </c>
      <c r="H441" s="9">
        <v>358.0</v>
      </c>
      <c r="I441" s="9">
        <v>-13.0</v>
      </c>
      <c r="J441" s="347" t="s">
        <v>1700</v>
      </c>
      <c r="K441" s="299"/>
    </row>
    <row r="442">
      <c r="A442" s="293"/>
      <c r="B442" s="5">
        <v>440.0</v>
      </c>
      <c r="C442" s="11" t="s">
        <v>621</v>
      </c>
      <c r="D442" s="11" t="s">
        <v>25</v>
      </c>
      <c r="E442" s="11" t="s">
        <v>69</v>
      </c>
      <c r="F442" s="12">
        <v>35389.0</v>
      </c>
      <c r="G442" s="8">
        <f t="shared" si="15"/>
        <v>29.64626095</v>
      </c>
      <c r="H442" s="49">
        <v>359.0</v>
      </c>
      <c r="I442" s="9">
        <v>-7.0</v>
      </c>
      <c r="J442" s="344" t="s">
        <v>623</v>
      </c>
      <c r="K442" s="299"/>
    </row>
    <row r="443">
      <c r="A443" s="293"/>
      <c r="B443" s="5">
        <v>441.0</v>
      </c>
      <c r="C443" s="11" t="s">
        <v>711</v>
      </c>
      <c r="D443" s="11" t="s">
        <v>36</v>
      </c>
      <c r="E443" s="11" t="s">
        <v>43</v>
      </c>
      <c r="F443" s="12">
        <v>35240.0</v>
      </c>
      <c r="G443" s="8">
        <f t="shared" si="15"/>
        <v>30.05336477</v>
      </c>
      <c r="H443" s="49">
        <v>360.0</v>
      </c>
      <c r="I443" s="9">
        <v>25.0</v>
      </c>
      <c r="J443" s="344" t="s">
        <v>1701</v>
      </c>
      <c r="K443" s="299"/>
    </row>
    <row r="444">
      <c r="A444" s="293"/>
      <c r="B444" s="5">
        <v>442.0</v>
      </c>
      <c r="C444" s="35" t="s">
        <v>941</v>
      </c>
      <c r="D444" s="35" t="s">
        <v>14</v>
      </c>
      <c r="E444" s="35" t="s">
        <v>176</v>
      </c>
      <c r="F444" s="7">
        <v>35250.0</v>
      </c>
      <c r="G444" s="8">
        <f t="shared" si="15"/>
        <v>30.02604237</v>
      </c>
      <c r="H444" s="9">
        <v>361.0</v>
      </c>
      <c r="I444" s="9" t="s">
        <v>371</v>
      </c>
      <c r="J444" s="341" t="s">
        <v>1702</v>
      </c>
      <c r="K444" s="299"/>
    </row>
    <row r="445">
      <c r="A445" s="293"/>
      <c r="B445" s="5">
        <v>443.0</v>
      </c>
      <c r="C445" s="11" t="s">
        <v>1703</v>
      </c>
      <c r="D445" s="11" t="s">
        <v>14</v>
      </c>
      <c r="E445" s="11" t="s">
        <v>90</v>
      </c>
      <c r="F445" s="12">
        <v>37476.0</v>
      </c>
      <c r="G445" s="8">
        <f t="shared" si="15"/>
        <v>23.93150685</v>
      </c>
      <c r="H445" s="49">
        <v>362.0</v>
      </c>
      <c r="I445" s="9">
        <v>-20.0</v>
      </c>
      <c r="J445" s="341" t="s">
        <v>1704</v>
      </c>
      <c r="K445" s="299"/>
    </row>
    <row r="446">
      <c r="A446" s="293"/>
      <c r="B446" s="5">
        <v>444.0</v>
      </c>
      <c r="C446" s="6" t="s">
        <v>949</v>
      </c>
      <c r="D446" s="6" t="s">
        <v>14</v>
      </c>
      <c r="E446" s="6" t="s">
        <v>106</v>
      </c>
      <c r="F446" s="12">
        <v>33762.0</v>
      </c>
      <c r="G446" s="8">
        <f t="shared" si="15"/>
        <v>34.09981286</v>
      </c>
      <c r="H446" s="49">
        <v>363.0</v>
      </c>
      <c r="I446" s="9">
        <v>-22.0</v>
      </c>
      <c r="J446" s="341" t="s">
        <v>1705</v>
      </c>
      <c r="K446" s="299"/>
    </row>
    <row r="447">
      <c r="A447" s="293"/>
      <c r="B447" s="5">
        <v>445.0</v>
      </c>
      <c r="C447" s="15" t="s">
        <v>702</v>
      </c>
      <c r="D447" s="15" t="s">
        <v>10</v>
      </c>
      <c r="E447" s="15" t="s">
        <v>66</v>
      </c>
      <c r="F447" s="16">
        <v>36233.0</v>
      </c>
      <c r="G447" s="8">
        <f t="shared" si="15"/>
        <v>27.33424658</v>
      </c>
      <c r="H447" s="9">
        <v>364.0</v>
      </c>
      <c r="I447" s="9">
        <v>55.0</v>
      </c>
      <c r="J447" s="351" t="s">
        <v>1706</v>
      </c>
      <c r="K447" s="299"/>
    </row>
    <row r="448">
      <c r="A448" s="293"/>
      <c r="B448" s="5">
        <v>446.0</v>
      </c>
      <c r="C448" s="11" t="s">
        <v>1023</v>
      </c>
      <c r="D448" s="11" t="s">
        <v>21</v>
      </c>
      <c r="E448" s="11" t="s">
        <v>55</v>
      </c>
      <c r="F448" s="12">
        <v>34472.0</v>
      </c>
      <c r="G448" s="8">
        <f t="shared" si="15"/>
        <v>32.15616438</v>
      </c>
      <c r="H448" s="49">
        <v>365.0</v>
      </c>
      <c r="I448" s="9">
        <v>-15.0</v>
      </c>
      <c r="J448" s="344" t="s">
        <v>1707</v>
      </c>
      <c r="K448" s="299"/>
    </row>
    <row r="449">
      <c r="A449" s="293"/>
      <c r="B449" s="5">
        <v>447.0</v>
      </c>
      <c r="C449" s="28" t="s">
        <v>563</v>
      </c>
      <c r="D449" s="28" t="s">
        <v>10</v>
      </c>
      <c r="E449" s="29" t="s">
        <v>98</v>
      </c>
      <c r="F449" s="44">
        <v>37694.0</v>
      </c>
      <c r="G449" s="28">
        <v>22.6</v>
      </c>
      <c r="H449" s="49">
        <v>366.0</v>
      </c>
      <c r="I449" s="9">
        <v>37.0</v>
      </c>
      <c r="J449" s="54" t="s">
        <v>1708</v>
      </c>
      <c r="K449" s="299"/>
    </row>
    <row r="450">
      <c r="A450" s="293"/>
      <c r="B450" s="5">
        <v>448.0</v>
      </c>
      <c r="C450" s="6" t="s">
        <v>992</v>
      </c>
      <c r="D450" s="6" t="s">
        <v>25</v>
      </c>
      <c r="E450" s="6" t="s">
        <v>106</v>
      </c>
      <c r="F450" s="12">
        <v>38560.0</v>
      </c>
      <c r="G450" s="8">
        <f t="shared" ref="G450:G464" si="16">YEARFRAC(F450, TODAY(),1)</f>
        <v>20.96438356</v>
      </c>
      <c r="H450" s="9">
        <v>367.0</v>
      </c>
      <c r="I450" s="9">
        <v>-27.0</v>
      </c>
      <c r="J450" s="341" t="s">
        <v>1709</v>
      </c>
      <c r="K450" s="299"/>
    </row>
    <row r="451">
      <c r="A451" s="293"/>
      <c r="B451" s="5">
        <v>449.0</v>
      </c>
      <c r="C451" s="6" t="s">
        <v>919</v>
      </c>
      <c r="D451" s="6" t="s">
        <v>14</v>
      </c>
      <c r="E451" s="6" t="s">
        <v>55</v>
      </c>
      <c r="F451" s="12">
        <v>35338.0</v>
      </c>
      <c r="G451" s="8">
        <f t="shared" si="16"/>
        <v>29.78560521</v>
      </c>
      <c r="H451" s="49">
        <v>368.0</v>
      </c>
      <c r="I451" s="9">
        <v>-11.0</v>
      </c>
      <c r="J451" s="347" t="s">
        <v>1710</v>
      </c>
      <c r="K451" s="299"/>
    </row>
    <row r="452">
      <c r="A452" s="293"/>
      <c r="B452" s="5">
        <v>450.0</v>
      </c>
      <c r="C452" s="6" t="s">
        <v>1711</v>
      </c>
      <c r="D452" s="6" t="s">
        <v>14</v>
      </c>
      <c r="E452" s="6" t="s">
        <v>95</v>
      </c>
      <c r="F452" s="12">
        <v>37696.0</v>
      </c>
      <c r="G452" s="8">
        <f t="shared" si="16"/>
        <v>23.32876712</v>
      </c>
      <c r="H452" s="49">
        <v>369.0</v>
      </c>
      <c r="I452" s="9">
        <v>-18.0</v>
      </c>
      <c r="J452" s="347" t="s">
        <v>1712</v>
      </c>
      <c r="K452" s="299"/>
    </row>
    <row r="453">
      <c r="A453" s="293"/>
      <c r="B453" s="5">
        <v>451.0</v>
      </c>
      <c r="C453" s="6" t="s">
        <v>705</v>
      </c>
      <c r="D453" s="6" t="s">
        <v>869</v>
      </c>
      <c r="E453" s="6" t="s">
        <v>37</v>
      </c>
      <c r="F453" s="12">
        <v>37951.0</v>
      </c>
      <c r="G453" s="8">
        <f t="shared" si="16"/>
        <v>22.63013699</v>
      </c>
      <c r="H453" s="9">
        <v>370.0</v>
      </c>
      <c r="I453" s="9">
        <v>-6.0</v>
      </c>
      <c r="J453" s="341" t="s">
        <v>1713</v>
      </c>
      <c r="K453" s="299"/>
    </row>
    <row r="454">
      <c r="A454" s="293"/>
      <c r="B454" s="5">
        <v>452.0</v>
      </c>
      <c r="C454" s="35" t="s">
        <v>1714</v>
      </c>
      <c r="D454" s="35" t="s">
        <v>573</v>
      </c>
      <c r="E454" s="35" t="s">
        <v>158</v>
      </c>
      <c r="F454" s="7">
        <v>36226.0</v>
      </c>
      <c r="G454" s="8">
        <f t="shared" si="16"/>
        <v>27.35342466</v>
      </c>
      <c r="H454" s="49">
        <v>371.0</v>
      </c>
      <c r="I454" s="9">
        <v>8.0</v>
      </c>
      <c r="J454" s="341" t="s">
        <v>1715</v>
      </c>
      <c r="K454" s="299"/>
    </row>
    <row r="455">
      <c r="A455" s="293"/>
      <c r="B455" s="5">
        <v>453.0</v>
      </c>
      <c r="C455" s="28" t="s">
        <v>985</v>
      </c>
      <c r="D455" s="28" t="s">
        <v>36</v>
      </c>
      <c r="E455" s="28" t="s">
        <v>111</v>
      </c>
      <c r="F455" s="44">
        <v>37566.0</v>
      </c>
      <c r="G455" s="31">
        <f t="shared" si="16"/>
        <v>23.68493151</v>
      </c>
      <c r="H455" s="49">
        <v>372.0</v>
      </c>
      <c r="I455" s="9">
        <v>-20.0</v>
      </c>
      <c r="J455" s="345" t="s">
        <v>986</v>
      </c>
      <c r="K455" s="299"/>
    </row>
    <row r="456">
      <c r="A456" s="293"/>
      <c r="B456" s="5">
        <v>454.0</v>
      </c>
      <c r="C456" s="11" t="s">
        <v>852</v>
      </c>
      <c r="D456" s="11" t="s">
        <v>10</v>
      </c>
      <c r="E456" s="11" t="s">
        <v>114</v>
      </c>
      <c r="F456" s="12">
        <v>35101.0</v>
      </c>
      <c r="G456" s="8">
        <f t="shared" si="16"/>
        <v>30.43314619</v>
      </c>
      <c r="H456" s="9">
        <v>373.0</v>
      </c>
      <c r="I456" s="9">
        <v>-5.0</v>
      </c>
      <c r="J456" s="344" t="s">
        <v>1716</v>
      </c>
      <c r="K456" s="299"/>
    </row>
    <row r="457">
      <c r="A457" s="293"/>
      <c r="B457" s="5"/>
      <c r="C457" s="11" t="s">
        <v>587</v>
      </c>
      <c r="D457" s="11" t="s">
        <v>10</v>
      </c>
      <c r="E457" s="11" t="s">
        <v>111</v>
      </c>
      <c r="F457" s="12">
        <v>37439.0</v>
      </c>
      <c r="G457" s="8">
        <f t="shared" si="16"/>
        <v>24.03287671</v>
      </c>
      <c r="H457" s="49">
        <v>374.0</v>
      </c>
      <c r="I457" s="9">
        <v>7.0</v>
      </c>
      <c r="J457" s="344" t="s">
        <v>1717</v>
      </c>
      <c r="K457" s="299"/>
    </row>
    <row r="458">
      <c r="A458" s="293"/>
      <c r="B458" s="5"/>
      <c r="C458" s="67" t="s">
        <v>876</v>
      </c>
      <c r="D458" s="67" t="s">
        <v>10</v>
      </c>
      <c r="E458" s="67" t="s">
        <v>18</v>
      </c>
      <c r="F458" s="12">
        <v>36669.0</v>
      </c>
      <c r="G458" s="8">
        <f t="shared" si="16"/>
        <v>26.14079647</v>
      </c>
      <c r="H458" s="49">
        <v>375.0</v>
      </c>
      <c r="I458" s="9">
        <v>28.0</v>
      </c>
      <c r="J458" s="344" t="s">
        <v>1718</v>
      </c>
      <c r="K458" s="299"/>
    </row>
    <row r="459">
      <c r="A459" s="293"/>
      <c r="B459" s="5"/>
      <c r="C459" s="6" t="s">
        <v>1010</v>
      </c>
      <c r="D459" s="6" t="s">
        <v>36</v>
      </c>
      <c r="E459" s="6" t="s">
        <v>82</v>
      </c>
      <c r="F459" s="12">
        <v>37878.0</v>
      </c>
      <c r="G459" s="8">
        <f t="shared" si="16"/>
        <v>22.83013699</v>
      </c>
      <c r="H459" s="9">
        <v>376.0</v>
      </c>
      <c r="I459" s="9">
        <v>-3.0</v>
      </c>
      <c r="J459" s="347" t="s">
        <v>1719</v>
      </c>
      <c r="K459" s="299"/>
    </row>
    <row r="460">
      <c r="A460" s="293"/>
      <c r="B460" s="5"/>
      <c r="C460" s="6" t="s">
        <v>1720</v>
      </c>
      <c r="D460" s="6" t="s">
        <v>869</v>
      </c>
      <c r="E460" s="6" t="s">
        <v>213</v>
      </c>
      <c r="F460" s="12">
        <v>38293.0</v>
      </c>
      <c r="G460" s="8">
        <f t="shared" si="16"/>
        <v>21.69544128</v>
      </c>
      <c r="H460" s="49">
        <v>377.0</v>
      </c>
      <c r="I460" s="9">
        <v>-18.0</v>
      </c>
      <c r="J460" s="347" t="s">
        <v>1721</v>
      </c>
      <c r="K460" s="299"/>
    </row>
    <row r="461">
      <c r="A461" s="293"/>
      <c r="B461" s="5"/>
      <c r="C461" s="35" t="s">
        <v>707</v>
      </c>
      <c r="D461" s="35" t="s">
        <v>10</v>
      </c>
      <c r="E461" s="35" t="s">
        <v>40</v>
      </c>
      <c r="F461" s="7">
        <v>37767.0</v>
      </c>
      <c r="G461" s="8">
        <f t="shared" si="16"/>
        <v>23.13424658</v>
      </c>
      <c r="H461" s="49">
        <v>378.0</v>
      </c>
      <c r="I461" s="9">
        <v>10.0</v>
      </c>
      <c r="J461" s="341" t="s">
        <v>1722</v>
      </c>
      <c r="K461" s="299"/>
    </row>
    <row r="462">
      <c r="A462" s="293"/>
      <c r="B462" s="5"/>
      <c r="C462" s="35" t="s">
        <v>1015</v>
      </c>
      <c r="D462" s="35" t="s">
        <v>25</v>
      </c>
      <c r="E462" s="35" t="s">
        <v>58</v>
      </c>
      <c r="F462" s="7">
        <v>35591.0</v>
      </c>
      <c r="G462" s="8">
        <f t="shared" si="16"/>
        <v>29.09315068</v>
      </c>
      <c r="H462" s="9">
        <v>379.0</v>
      </c>
      <c r="I462" s="9">
        <v>13.0</v>
      </c>
      <c r="J462" s="341" t="s">
        <v>1723</v>
      </c>
      <c r="K462" s="299"/>
    </row>
    <row r="463">
      <c r="A463" s="293"/>
      <c r="B463" s="5"/>
      <c r="C463" s="11" t="s">
        <v>1008</v>
      </c>
      <c r="D463" s="11" t="s">
        <v>25</v>
      </c>
      <c r="E463" s="11" t="s">
        <v>95</v>
      </c>
      <c r="F463" s="12">
        <v>36757.0</v>
      </c>
      <c r="G463" s="8">
        <f t="shared" si="16"/>
        <v>25.90035931</v>
      </c>
      <c r="H463" s="49">
        <v>380.0</v>
      </c>
      <c r="I463" s="9">
        <v>14.0</v>
      </c>
      <c r="J463" s="344" t="s">
        <v>1724</v>
      </c>
      <c r="K463" s="299"/>
    </row>
    <row r="464">
      <c r="A464" s="293"/>
      <c r="B464" s="5"/>
      <c r="C464" s="6" t="s">
        <v>939</v>
      </c>
      <c r="D464" s="6" t="s">
        <v>10</v>
      </c>
      <c r="E464" s="6" t="s">
        <v>87</v>
      </c>
      <c r="F464" s="12">
        <v>35753.0</v>
      </c>
      <c r="G464" s="8">
        <f t="shared" si="16"/>
        <v>28.64931507</v>
      </c>
      <c r="H464" s="49">
        <v>381.0</v>
      </c>
      <c r="I464" s="9">
        <v>19.0</v>
      </c>
      <c r="J464" s="347" t="s">
        <v>1725</v>
      </c>
      <c r="K464" s="299"/>
    </row>
    <row r="465">
      <c r="A465" s="293"/>
      <c r="B465" s="5"/>
      <c r="C465" s="28" t="s">
        <v>899</v>
      </c>
      <c r="D465" s="28" t="s">
        <v>573</v>
      </c>
      <c r="E465" s="29" t="s">
        <v>52</v>
      </c>
      <c r="F465" s="44">
        <v>37251.0</v>
      </c>
      <c r="G465" s="28">
        <v>23.8</v>
      </c>
      <c r="H465" s="9">
        <v>382.0</v>
      </c>
      <c r="I465" s="9">
        <v>-16.0</v>
      </c>
      <c r="J465" s="54" t="s">
        <v>1726</v>
      </c>
      <c r="K465" s="299"/>
    </row>
    <row r="466">
      <c r="A466" s="293"/>
      <c r="B466" s="5"/>
      <c r="C466" s="28" t="s">
        <v>905</v>
      </c>
      <c r="D466" s="28" t="s">
        <v>36</v>
      </c>
      <c r="E466" s="28" t="s">
        <v>114</v>
      </c>
      <c r="F466" s="44">
        <v>37088.0</v>
      </c>
      <c r="G466" s="31">
        <f t="shared" ref="G466:G480" si="17">YEARFRAC(F466, TODAY(),1)</f>
        <v>24.99452055</v>
      </c>
      <c r="H466" s="49">
        <v>383.0</v>
      </c>
      <c r="I466" s="9">
        <v>-28.0</v>
      </c>
      <c r="J466" s="345" t="s">
        <v>1727</v>
      </c>
      <c r="K466" s="299"/>
    </row>
    <row r="467">
      <c r="A467" s="293"/>
      <c r="B467" s="352"/>
      <c r="C467" s="6" t="s">
        <v>1728</v>
      </c>
      <c r="D467" s="6" t="s">
        <v>14</v>
      </c>
      <c r="E467" s="35" t="s">
        <v>932</v>
      </c>
      <c r="F467" s="12">
        <v>31173.0</v>
      </c>
      <c r="G467" s="8">
        <f t="shared" si="17"/>
        <v>41.1890411</v>
      </c>
      <c r="H467" s="49">
        <v>384.0</v>
      </c>
      <c r="I467" s="9">
        <v>-56.0</v>
      </c>
      <c r="J467" s="341" t="s">
        <v>1729</v>
      </c>
      <c r="K467" s="299"/>
    </row>
    <row r="468">
      <c r="A468" s="293"/>
      <c r="B468" s="353"/>
      <c r="C468" s="6" t="s">
        <v>542</v>
      </c>
      <c r="D468" s="6" t="s">
        <v>25</v>
      </c>
      <c r="E468" s="6" t="s">
        <v>15</v>
      </c>
      <c r="F468" s="12">
        <v>37762.0</v>
      </c>
      <c r="G468" s="8">
        <f t="shared" si="17"/>
        <v>23.14794521</v>
      </c>
      <c r="H468" s="9">
        <v>385.0</v>
      </c>
      <c r="I468" s="9">
        <v>1.0</v>
      </c>
      <c r="J468" s="341" t="s">
        <v>1730</v>
      </c>
      <c r="K468" s="299"/>
    </row>
    <row r="469">
      <c r="A469" s="293"/>
      <c r="B469" s="353"/>
      <c r="C469" s="11" t="s">
        <v>843</v>
      </c>
      <c r="D469" s="11" t="s">
        <v>14</v>
      </c>
      <c r="E469" s="11" t="s">
        <v>932</v>
      </c>
      <c r="F469" s="12">
        <v>33939.0</v>
      </c>
      <c r="G469" s="8">
        <f t="shared" si="17"/>
        <v>33.6162063</v>
      </c>
      <c r="H469" s="49">
        <v>386.0</v>
      </c>
      <c r="I469" s="9">
        <v>10.0</v>
      </c>
      <c r="J469" s="344" t="s">
        <v>845</v>
      </c>
      <c r="K469" s="299"/>
    </row>
    <row r="470">
      <c r="A470" s="293"/>
      <c r="B470" s="353"/>
      <c r="C470" s="6" t="s">
        <v>1731</v>
      </c>
      <c r="D470" s="6" t="s">
        <v>10</v>
      </c>
      <c r="E470" s="35" t="s">
        <v>90</v>
      </c>
      <c r="F470" s="12">
        <v>37308.0</v>
      </c>
      <c r="G470" s="8">
        <f t="shared" si="17"/>
        <v>24.39178082</v>
      </c>
      <c r="H470" s="49">
        <v>387.0</v>
      </c>
      <c r="I470" s="9">
        <v>-29.0</v>
      </c>
      <c r="J470" s="341" t="s">
        <v>1732</v>
      </c>
      <c r="K470" s="299"/>
    </row>
    <row r="471">
      <c r="A471" s="293"/>
      <c r="B471" s="353"/>
      <c r="C471" s="6" t="s">
        <v>955</v>
      </c>
      <c r="D471" s="6" t="s">
        <v>573</v>
      </c>
      <c r="E471" s="6" t="s">
        <v>18</v>
      </c>
      <c r="F471" s="12">
        <v>38266.0</v>
      </c>
      <c r="G471" s="8">
        <f t="shared" si="17"/>
        <v>21.76921177</v>
      </c>
      <c r="H471" s="9">
        <v>388.0</v>
      </c>
      <c r="I471" s="9">
        <v>-40.0</v>
      </c>
      <c r="J471" s="341" t="s">
        <v>1733</v>
      </c>
      <c r="K471" s="299"/>
    </row>
    <row r="472">
      <c r="A472" s="293"/>
      <c r="B472" s="353"/>
      <c r="C472" s="6" t="s">
        <v>779</v>
      </c>
      <c r="D472" s="6" t="s">
        <v>25</v>
      </c>
      <c r="E472" s="6" t="s">
        <v>90</v>
      </c>
      <c r="F472" s="12">
        <v>36129.0</v>
      </c>
      <c r="G472" s="8">
        <f t="shared" si="17"/>
        <v>27.61917808</v>
      </c>
      <c r="H472" s="49">
        <v>389.0</v>
      </c>
      <c r="I472" s="9">
        <v>-20.0</v>
      </c>
      <c r="J472" s="347" t="s">
        <v>780</v>
      </c>
      <c r="K472" s="299"/>
    </row>
    <row r="473">
      <c r="A473" s="293"/>
      <c r="B473" s="353"/>
      <c r="C473" s="11" t="s">
        <v>1013</v>
      </c>
      <c r="D473" s="11" t="s">
        <v>36</v>
      </c>
      <c r="E473" s="11" t="s">
        <v>26</v>
      </c>
      <c r="F473" s="12">
        <v>34970.0</v>
      </c>
      <c r="G473" s="8">
        <f t="shared" si="17"/>
        <v>30.79178082</v>
      </c>
      <c r="H473" s="49">
        <v>390.0</v>
      </c>
      <c r="I473" s="9">
        <v>-19.0</v>
      </c>
      <c r="J473" s="344" t="s">
        <v>1734</v>
      </c>
      <c r="K473" s="299"/>
    </row>
    <row r="474">
      <c r="A474" s="293"/>
      <c r="B474" s="353"/>
      <c r="C474" s="6" t="s">
        <v>1735</v>
      </c>
      <c r="D474" s="6" t="s">
        <v>21</v>
      </c>
      <c r="E474" s="6" t="s">
        <v>90</v>
      </c>
      <c r="F474" s="12">
        <v>32937.0</v>
      </c>
      <c r="G474" s="8">
        <f t="shared" si="17"/>
        <v>36.35890411</v>
      </c>
      <c r="H474" s="9">
        <v>391.0</v>
      </c>
      <c r="I474" s="9">
        <v>-15.0</v>
      </c>
      <c r="J474" s="347" t="s">
        <v>1736</v>
      </c>
      <c r="K474" s="299"/>
    </row>
    <row r="475">
      <c r="A475" s="293"/>
      <c r="B475" s="353"/>
      <c r="C475" s="6" t="s">
        <v>911</v>
      </c>
      <c r="D475" s="6" t="s">
        <v>36</v>
      </c>
      <c r="E475" s="6" t="s">
        <v>55</v>
      </c>
      <c r="F475" s="12">
        <v>36039.0</v>
      </c>
      <c r="G475" s="8">
        <f t="shared" si="17"/>
        <v>27.86575342</v>
      </c>
      <c r="H475" s="49">
        <v>392.0</v>
      </c>
      <c r="I475" s="9">
        <v>-1.0</v>
      </c>
      <c r="J475" s="347" t="s">
        <v>1737</v>
      </c>
      <c r="K475" s="299"/>
    </row>
    <row r="476">
      <c r="A476" s="293"/>
      <c r="B476" s="353"/>
      <c r="C476" s="6" t="s">
        <v>921</v>
      </c>
      <c r="D476" s="6" t="s">
        <v>21</v>
      </c>
      <c r="E476" s="6" t="s">
        <v>213</v>
      </c>
      <c r="F476" s="12">
        <v>36088.0</v>
      </c>
      <c r="G476" s="8">
        <f t="shared" si="17"/>
        <v>27.73150685</v>
      </c>
      <c r="H476" s="49">
        <v>393.0</v>
      </c>
      <c r="I476" s="9">
        <v>4.0</v>
      </c>
      <c r="J476" s="341" t="s">
        <v>1738</v>
      </c>
      <c r="K476" s="299"/>
    </row>
    <row r="477">
      <c r="A477" s="293"/>
      <c r="B477" s="353"/>
      <c r="C477" s="11" t="s">
        <v>884</v>
      </c>
      <c r="D477" s="11" t="s">
        <v>25</v>
      </c>
      <c r="E477" s="11" t="s">
        <v>213</v>
      </c>
      <c r="F477" s="12">
        <v>34415.0</v>
      </c>
      <c r="G477" s="8">
        <f t="shared" si="17"/>
        <v>32.31232877</v>
      </c>
      <c r="H477" s="9">
        <v>394.0</v>
      </c>
      <c r="I477" s="9">
        <v>-16.0</v>
      </c>
      <c r="J477" s="344" t="s">
        <v>1739</v>
      </c>
      <c r="K477" s="299"/>
    </row>
    <row r="478">
      <c r="A478" s="293"/>
      <c r="B478" s="353"/>
      <c r="C478" s="6" t="s">
        <v>1740</v>
      </c>
      <c r="D478" s="6" t="s">
        <v>14</v>
      </c>
      <c r="E478" s="6" t="s">
        <v>22</v>
      </c>
      <c r="F478" s="12">
        <v>36455.0</v>
      </c>
      <c r="G478" s="8">
        <f t="shared" si="17"/>
        <v>26.7260274</v>
      </c>
      <c r="H478" s="49">
        <v>395.0</v>
      </c>
      <c r="I478" s="9">
        <v>-28.0</v>
      </c>
      <c r="J478" s="341" t="s">
        <v>1741</v>
      </c>
      <c r="K478" s="299"/>
    </row>
    <row r="479">
      <c r="A479" s="293"/>
      <c r="B479" s="353"/>
      <c r="C479" s="6" t="s">
        <v>1029</v>
      </c>
      <c r="D479" s="6" t="s">
        <v>25</v>
      </c>
      <c r="E479" s="6" t="s">
        <v>158</v>
      </c>
      <c r="F479" s="12">
        <v>36834.0</v>
      </c>
      <c r="G479" s="8">
        <f t="shared" si="17"/>
        <v>25.68997679</v>
      </c>
      <c r="H479" s="49">
        <v>396.0</v>
      </c>
      <c r="I479" s="9">
        <v>-29.0</v>
      </c>
      <c r="J479" s="347" t="s">
        <v>1742</v>
      </c>
      <c r="K479" s="299"/>
    </row>
    <row r="480">
      <c r="A480" s="293"/>
      <c r="B480" s="353"/>
      <c r="C480" s="11" t="s">
        <v>934</v>
      </c>
      <c r="D480" s="11" t="s">
        <v>21</v>
      </c>
      <c r="E480" s="11" t="s">
        <v>106</v>
      </c>
      <c r="F480" s="12">
        <v>37357.0</v>
      </c>
      <c r="G480" s="8">
        <f t="shared" si="17"/>
        <v>24.25753425</v>
      </c>
      <c r="H480" s="9">
        <v>397.0</v>
      </c>
      <c r="I480" s="9">
        <v>-10.0</v>
      </c>
      <c r="J480" s="344" t="s">
        <v>1743</v>
      </c>
      <c r="K480" s="299"/>
    </row>
    <row r="481">
      <c r="A481" s="293"/>
      <c r="B481" s="353"/>
      <c r="C481" s="28" t="s">
        <v>970</v>
      </c>
      <c r="D481" s="28" t="s">
        <v>36</v>
      </c>
      <c r="E481" s="29" t="s">
        <v>29</v>
      </c>
      <c r="F481" s="44">
        <v>37244.0</v>
      </c>
      <c r="G481" s="28">
        <v>23.8</v>
      </c>
      <c r="H481" s="49">
        <v>398.0</v>
      </c>
      <c r="I481" s="9">
        <v>-14.0</v>
      </c>
      <c r="J481" s="54" t="s">
        <v>971</v>
      </c>
      <c r="K481" s="299"/>
    </row>
    <row r="482">
      <c r="A482" s="293"/>
      <c r="B482" s="353"/>
      <c r="C482" s="6" t="s">
        <v>1002</v>
      </c>
      <c r="D482" s="6" t="s">
        <v>36</v>
      </c>
      <c r="E482" s="6" t="s">
        <v>26</v>
      </c>
      <c r="F482" s="12">
        <v>37442.0</v>
      </c>
      <c r="G482" s="8">
        <f t="shared" ref="G482:G485" si="18">YEARFRAC(F482, TODAY(),1)</f>
        <v>24.02465753</v>
      </c>
      <c r="H482" s="49">
        <v>399.0</v>
      </c>
      <c r="I482" s="9">
        <v>-25.0</v>
      </c>
      <c r="J482" s="347" t="s">
        <v>1744</v>
      </c>
      <c r="K482" s="299"/>
    </row>
    <row r="483">
      <c r="A483" s="293"/>
      <c r="B483" s="353"/>
      <c r="C483" s="6" t="s">
        <v>1745</v>
      </c>
      <c r="D483" s="6" t="s">
        <v>573</v>
      </c>
      <c r="E483" s="35" t="s">
        <v>158</v>
      </c>
      <c r="F483" s="12">
        <v>37885.0</v>
      </c>
      <c r="G483" s="8">
        <f t="shared" si="18"/>
        <v>22.8109589</v>
      </c>
      <c r="H483" s="9">
        <v>400.0</v>
      </c>
      <c r="I483" s="9">
        <v>-28.0</v>
      </c>
      <c r="J483" s="341" t="s">
        <v>1746</v>
      </c>
      <c r="K483" s="299"/>
    </row>
    <row r="484">
      <c r="A484" s="293"/>
      <c r="B484" s="353"/>
      <c r="C484" s="11" t="s">
        <v>1747</v>
      </c>
      <c r="D484" s="11" t="s">
        <v>25</v>
      </c>
      <c r="E484" s="11" t="s">
        <v>128</v>
      </c>
      <c r="F484" s="12">
        <v>37065.0</v>
      </c>
      <c r="G484" s="8">
        <f t="shared" si="18"/>
        <v>25.05753425</v>
      </c>
      <c r="H484" s="49">
        <v>401.0</v>
      </c>
      <c r="I484" s="9">
        <v>-19.0</v>
      </c>
      <c r="J484" s="344" t="s">
        <v>1748</v>
      </c>
      <c r="K484" s="299"/>
    </row>
    <row r="485">
      <c r="A485" s="293"/>
      <c r="B485" s="353"/>
      <c r="C485" s="6" t="s">
        <v>816</v>
      </c>
      <c r="D485" s="6" t="s">
        <v>10</v>
      </c>
      <c r="E485" s="35" t="s">
        <v>167</v>
      </c>
      <c r="F485" s="12">
        <v>36422.0</v>
      </c>
      <c r="G485" s="8">
        <f t="shared" si="18"/>
        <v>26.81643836</v>
      </c>
      <c r="H485" s="49">
        <v>402.0</v>
      </c>
      <c r="I485" s="9">
        <v>-3.0</v>
      </c>
      <c r="J485" s="341" t="s">
        <v>1070</v>
      </c>
      <c r="K485" s="299"/>
    </row>
    <row r="486">
      <c r="A486" s="293"/>
      <c r="B486" s="353"/>
      <c r="K486" s="299"/>
    </row>
    <row r="487">
      <c r="A487" s="293"/>
      <c r="B487" s="353"/>
      <c r="C487" s="6" t="s">
        <v>889</v>
      </c>
      <c r="D487" s="6" t="s">
        <v>36</v>
      </c>
      <c r="E487" s="6" t="s">
        <v>95</v>
      </c>
      <c r="F487" s="12">
        <v>38138.0</v>
      </c>
      <c r="G487" s="8">
        <f t="shared" ref="G487:G504" si="19">YEARFRAC(F487, TODAY(),1)</f>
        <v>22.11893854</v>
      </c>
      <c r="H487" s="49">
        <v>404.0</v>
      </c>
      <c r="I487" s="9">
        <v>-3.0</v>
      </c>
      <c r="J487" s="347" t="s">
        <v>1749</v>
      </c>
      <c r="K487" s="299"/>
    </row>
    <row r="488">
      <c r="A488" s="293"/>
      <c r="B488" s="353"/>
      <c r="C488" s="6" t="s">
        <v>1750</v>
      </c>
      <c r="D488" s="6" t="s">
        <v>21</v>
      </c>
      <c r="E488" s="6" t="s">
        <v>95</v>
      </c>
      <c r="F488" s="12">
        <v>35242.0</v>
      </c>
      <c r="G488" s="8">
        <f t="shared" si="19"/>
        <v>30.04790029</v>
      </c>
      <c r="H488" s="49">
        <v>405.0</v>
      </c>
      <c r="I488" s="9">
        <v>-1.0</v>
      </c>
      <c r="J488" s="347" t="s">
        <v>1751</v>
      </c>
      <c r="K488" s="299"/>
    </row>
    <row r="489">
      <c r="A489" s="293"/>
      <c r="B489" s="353"/>
      <c r="C489" s="15" t="s">
        <v>957</v>
      </c>
      <c r="D489" s="15" t="s">
        <v>10</v>
      </c>
      <c r="E489" s="15" t="s">
        <v>15</v>
      </c>
      <c r="F489" s="16">
        <v>34670.0</v>
      </c>
      <c r="G489" s="17">
        <f t="shared" si="19"/>
        <v>31.61369863</v>
      </c>
      <c r="H489" s="9">
        <v>406.0</v>
      </c>
      <c r="I489" s="9">
        <v>35.0</v>
      </c>
      <c r="J489" s="351" t="s">
        <v>1752</v>
      </c>
      <c r="K489" s="299"/>
    </row>
    <row r="490">
      <c r="A490" s="293"/>
      <c r="B490" s="353"/>
      <c r="C490" s="6" t="s">
        <v>613</v>
      </c>
      <c r="D490" s="6" t="s">
        <v>25</v>
      </c>
      <c r="E490" s="6" t="s">
        <v>98</v>
      </c>
      <c r="F490" s="12">
        <v>36548.0</v>
      </c>
      <c r="G490" s="8">
        <f t="shared" si="19"/>
        <v>26.47139756</v>
      </c>
      <c r="H490" s="49">
        <v>407.0</v>
      </c>
      <c r="I490" s="9">
        <v>-1.0</v>
      </c>
      <c r="J490" s="341" t="s">
        <v>1753</v>
      </c>
      <c r="K490" s="299"/>
    </row>
    <row r="491">
      <c r="A491" s="293"/>
      <c r="B491" s="353"/>
      <c r="C491" s="11" t="s">
        <v>1754</v>
      </c>
      <c r="D491" s="11" t="s">
        <v>1755</v>
      </c>
      <c r="E491" s="11" t="s">
        <v>932</v>
      </c>
      <c r="F491" s="12">
        <v>35266.0</v>
      </c>
      <c r="G491" s="8">
        <f t="shared" si="19"/>
        <v>29.98232652</v>
      </c>
      <c r="H491" s="49">
        <v>408.0</v>
      </c>
      <c r="I491" s="9">
        <v>-28.0</v>
      </c>
      <c r="J491" s="344" t="s">
        <v>1756</v>
      </c>
      <c r="K491" s="299"/>
    </row>
    <row r="492">
      <c r="A492" s="293"/>
      <c r="B492" s="353"/>
      <c r="C492" s="35" t="s">
        <v>781</v>
      </c>
      <c r="D492" s="6" t="s">
        <v>14</v>
      </c>
      <c r="E492" s="35" t="s">
        <v>18</v>
      </c>
      <c r="F492" s="7">
        <v>36091.0</v>
      </c>
      <c r="G492" s="8">
        <f t="shared" si="19"/>
        <v>27.72328767</v>
      </c>
      <c r="H492" s="9">
        <v>409.0</v>
      </c>
      <c r="I492" s="9" t="s">
        <v>371</v>
      </c>
      <c r="J492" s="341" t="s">
        <v>782</v>
      </c>
      <c r="K492" s="299"/>
    </row>
    <row r="493">
      <c r="A493" s="293"/>
      <c r="B493" s="353"/>
      <c r="C493" s="61" t="s">
        <v>1757</v>
      </c>
      <c r="D493" s="61" t="s">
        <v>10</v>
      </c>
      <c r="E493" s="61" t="s">
        <v>32</v>
      </c>
      <c r="F493" s="12">
        <v>36172.0</v>
      </c>
      <c r="G493" s="8">
        <f t="shared" si="19"/>
        <v>27.50136986</v>
      </c>
      <c r="H493" s="49">
        <v>410.0</v>
      </c>
      <c r="I493" s="9">
        <v>3.0</v>
      </c>
      <c r="J493" s="341" t="s">
        <v>1758</v>
      </c>
      <c r="K493" s="299"/>
    </row>
    <row r="494">
      <c r="A494" s="293"/>
      <c r="B494" s="353"/>
      <c r="C494" s="35" t="s">
        <v>987</v>
      </c>
      <c r="D494" s="35" t="s">
        <v>21</v>
      </c>
      <c r="E494" s="35" t="s">
        <v>69</v>
      </c>
      <c r="F494" s="7">
        <v>35642.0</v>
      </c>
      <c r="G494" s="8">
        <f t="shared" si="19"/>
        <v>28.95342466</v>
      </c>
      <c r="H494" s="49">
        <v>411.0</v>
      </c>
      <c r="I494" s="9" t="s">
        <v>371</v>
      </c>
      <c r="J494" s="341" t="s">
        <v>1759</v>
      </c>
      <c r="K494" s="299"/>
    </row>
    <row r="495">
      <c r="A495" s="293"/>
      <c r="B495" s="353"/>
      <c r="C495" s="6" t="s">
        <v>1760</v>
      </c>
      <c r="D495" s="6" t="s">
        <v>25</v>
      </c>
      <c r="E495" s="6" t="s">
        <v>58</v>
      </c>
      <c r="F495" s="12">
        <v>34137.0</v>
      </c>
      <c r="G495" s="8">
        <f t="shared" si="19"/>
        <v>33.0739726</v>
      </c>
      <c r="H495" s="9">
        <v>412.0</v>
      </c>
      <c r="I495" s="9">
        <v>-3.0</v>
      </c>
      <c r="J495" s="341" t="s">
        <v>1761</v>
      </c>
      <c r="K495" s="299"/>
    </row>
    <row r="496">
      <c r="A496" s="293"/>
      <c r="B496" s="353"/>
      <c r="C496" s="11" t="s">
        <v>1762</v>
      </c>
      <c r="D496" s="35" t="s">
        <v>25</v>
      </c>
      <c r="E496" s="11" t="s">
        <v>40</v>
      </c>
      <c r="F496" s="12">
        <v>37467.0</v>
      </c>
      <c r="G496" s="8">
        <f t="shared" si="19"/>
        <v>23.95616438</v>
      </c>
      <c r="H496" s="49">
        <v>413.0</v>
      </c>
      <c r="I496" s="9">
        <v>-8.0</v>
      </c>
      <c r="J496" s="344" t="s">
        <v>1763</v>
      </c>
      <c r="K496" s="299"/>
    </row>
    <row r="497">
      <c r="A497" s="293"/>
      <c r="B497" s="353"/>
      <c r="C497" s="11" t="s">
        <v>989</v>
      </c>
      <c r="D497" s="11" t="s">
        <v>10</v>
      </c>
      <c r="E497" s="11" t="s">
        <v>69</v>
      </c>
      <c r="F497" s="12">
        <v>33970.0</v>
      </c>
      <c r="G497" s="8">
        <f t="shared" si="19"/>
        <v>33.53150685</v>
      </c>
      <c r="H497" s="49">
        <v>414.0</v>
      </c>
      <c r="I497" s="9">
        <v>-37.0</v>
      </c>
      <c r="J497" s="344" t="s">
        <v>1764</v>
      </c>
      <c r="K497" s="299"/>
    </row>
    <row r="498">
      <c r="A498" s="293"/>
      <c r="B498" s="353"/>
      <c r="C498" s="6" t="s">
        <v>1765</v>
      </c>
      <c r="D498" s="6" t="s">
        <v>74</v>
      </c>
      <c r="E498" s="6" t="s">
        <v>87</v>
      </c>
      <c r="F498" s="12">
        <v>37449.0</v>
      </c>
      <c r="G498" s="8">
        <f t="shared" si="19"/>
        <v>24.00547945</v>
      </c>
      <c r="H498" s="9">
        <v>415.0</v>
      </c>
      <c r="I498" s="9">
        <v>3.0</v>
      </c>
      <c r="J498" s="347" t="s">
        <v>1766</v>
      </c>
      <c r="K498" s="299"/>
    </row>
    <row r="499">
      <c r="A499" s="293"/>
      <c r="B499" s="353"/>
      <c r="C499" s="6" t="s">
        <v>1767</v>
      </c>
      <c r="D499" s="6" t="s">
        <v>25</v>
      </c>
      <c r="E499" s="6" t="s">
        <v>52</v>
      </c>
      <c r="F499" s="12">
        <v>37021.0</v>
      </c>
      <c r="G499" s="8">
        <f t="shared" si="19"/>
        <v>25.17808219</v>
      </c>
      <c r="H499" s="49">
        <v>416.0</v>
      </c>
      <c r="I499" s="9">
        <v>6.0</v>
      </c>
      <c r="J499" s="347" t="s">
        <v>1768</v>
      </c>
      <c r="K499" s="299"/>
    </row>
    <row r="500">
      <c r="A500" s="293"/>
      <c r="B500" s="353"/>
      <c r="C500" s="15" t="s">
        <v>833</v>
      </c>
      <c r="D500" s="15" t="s">
        <v>14</v>
      </c>
      <c r="E500" s="15" t="s">
        <v>29</v>
      </c>
      <c r="F500" s="16">
        <v>36790.0</v>
      </c>
      <c r="G500" s="17">
        <f t="shared" si="19"/>
        <v>25.81019537</v>
      </c>
      <c r="H500" s="49">
        <v>417.0</v>
      </c>
      <c r="I500" s="9">
        <v>16.0</v>
      </c>
      <c r="J500" s="354" t="s">
        <v>1769</v>
      </c>
      <c r="K500" s="299"/>
    </row>
    <row r="501">
      <c r="A501" s="293"/>
      <c r="B501" s="353"/>
      <c r="C501" s="11" t="s">
        <v>944</v>
      </c>
      <c r="D501" s="11" t="s">
        <v>25</v>
      </c>
      <c r="E501" s="11" t="s">
        <v>58</v>
      </c>
      <c r="F501" s="12">
        <v>34232.0</v>
      </c>
      <c r="G501" s="8">
        <f t="shared" si="19"/>
        <v>32.81369863</v>
      </c>
      <c r="H501" s="9">
        <v>418.0</v>
      </c>
      <c r="I501" s="9">
        <v>-8.0</v>
      </c>
      <c r="J501" s="344" t="s">
        <v>1770</v>
      </c>
      <c r="K501" s="299"/>
    </row>
    <row r="502">
      <c r="A502" s="293"/>
      <c r="B502" s="353"/>
      <c r="C502" s="35" t="s">
        <v>907</v>
      </c>
      <c r="D502" s="35" t="s">
        <v>573</v>
      </c>
      <c r="E502" s="35" t="s">
        <v>128</v>
      </c>
      <c r="F502" s="7">
        <v>35794.0</v>
      </c>
      <c r="G502" s="8">
        <f t="shared" si="19"/>
        <v>28.5369863</v>
      </c>
      <c r="H502" s="49">
        <v>419.0</v>
      </c>
      <c r="I502" s="9" t="s">
        <v>371</v>
      </c>
      <c r="J502" s="341" t="s">
        <v>1771</v>
      </c>
      <c r="K502" s="299"/>
    </row>
    <row r="503">
      <c r="A503" s="293"/>
      <c r="B503" s="353"/>
      <c r="C503" s="6" t="s">
        <v>1772</v>
      </c>
      <c r="D503" s="6" t="s">
        <v>36</v>
      </c>
      <c r="E503" s="6" t="s">
        <v>49</v>
      </c>
      <c r="F503" s="12">
        <v>35146.0</v>
      </c>
      <c r="G503" s="8">
        <f t="shared" si="19"/>
        <v>30.31019537</v>
      </c>
      <c r="H503" s="49">
        <v>420.0</v>
      </c>
      <c r="I503" s="9">
        <v>12.0</v>
      </c>
      <c r="J503" s="347" t="s">
        <v>1773</v>
      </c>
      <c r="K503" s="299"/>
    </row>
    <row r="504">
      <c r="A504" s="293"/>
      <c r="B504" s="353"/>
      <c r="C504" s="6" t="s">
        <v>1774</v>
      </c>
      <c r="D504" s="6" t="s">
        <v>25</v>
      </c>
      <c r="E504" s="6" t="s">
        <v>111</v>
      </c>
      <c r="F504" s="12">
        <v>34684.0</v>
      </c>
      <c r="G504" s="8">
        <f t="shared" si="19"/>
        <v>31.57534247</v>
      </c>
      <c r="H504" s="9">
        <v>421.0</v>
      </c>
      <c r="I504" s="9">
        <v>-31.0</v>
      </c>
      <c r="J504" s="341" t="s">
        <v>1775</v>
      </c>
      <c r="K504" s="299"/>
    </row>
    <row r="505">
      <c r="A505" s="293"/>
      <c r="B505" s="353"/>
      <c r="C505" s="28" t="s">
        <v>981</v>
      </c>
      <c r="D505" s="28" t="s">
        <v>25</v>
      </c>
      <c r="E505" s="28" t="s">
        <v>932</v>
      </c>
      <c r="F505" s="44">
        <v>38112.0</v>
      </c>
      <c r="G505" s="28">
        <v>21.4</v>
      </c>
      <c r="H505" s="49">
        <v>422.0</v>
      </c>
      <c r="I505" s="9">
        <v>15.0</v>
      </c>
      <c r="J505" s="54" t="s">
        <v>1776</v>
      </c>
      <c r="K505" s="299"/>
    </row>
    <row r="506">
      <c r="A506" s="293"/>
      <c r="B506" s="353"/>
      <c r="C506" s="6" t="s">
        <v>1777</v>
      </c>
      <c r="D506" s="6" t="s">
        <v>25</v>
      </c>
      <c r="E506" s="35" t="s">
        <v>95</v>
      </c>
      <c r="F506" s="12">
        <v>37193.0</v>
      </c>
      <c r="G506" s="8">
        <f t="shared" ref="G506:G510" si="20">YEARFRAC(F506, TODAY(),1)</f>
        <v>24.70684932</v>
      </c>
      <c r="H506" s="49">
        <v>423.0</v>
      </c>
      <c r="I506" s="9">
        <v>-34.0</v>
      </c>
      <c r="J506" s="341" t="s">
        <v>1778</v>
      </c>
      <c r="K506" s="299"/>
    </row>
    <row r="507">
      <c r="A507" s="293"/>
      <c r="B507" s="353"/>
      <c r="C507" s="334" t="s">
        <v>1779</v>
      </c>
      <c r="D507" s="334" t="s">
        <v>10</v>
      </c>
      <c r="E507" s="334" t="s">
        <v>58</v>
      </c>
      <c r="F507" s="335">
        <v>32393.0</v>
      </c>
      <c r="G507" s="336">
        <f t="shared" si="20"/>
        <v>37.84844674</v>
      </c>
      <c r="H507" s="9">
        <v>424.0</v>
      </c>
      <c r="I507" s="9">
        <v>25.0</v>
      </c>
      <c r="J507" s="355" t="s">
        <v>1780</v>
      </c>
      <c r="K507" s="299"/>
    </row>
    <row r="508">
      <c r="A508" s="293"/>
      <c r="B508" s="353"/>
      <c r="C508" s="35" t="s">
        <v>855</v>
      </c>
      <c r="D508" s="6" t="s">
        <v>14</v>
      </c>
      <c r="E508" s="35" t="s">
        <v>111</v>
      </c>
      <c r="F508" s="7">
        <v>36338.0</v>
      </c>
      <c r="G508" s="8">
        <f t="shared" si="20"/>
        <v>27.04657534</v>
      </c>
      <c r="H508" s="49">
        <v>425.0</v>
      </c>
      <c r="I508" s="9" t="s">
        <v>371</v>
      </c>
      <c r="J508" s="341" t="s">
        <v>1781</v>
      </c>
      <c r="K508" s="299"/>
    </row>
    <row r="509">
      <c r="A509" s="293"/>
      <c r="B509" s="353"/>
      <c r="C509" s="6" t="s">
        <v>1782</v>
      </c>
      <c r="D509" s="6" t="s">
        <v>10</v>
      </c>
      <c r="E509" s="6" t="s">
        <v>32</v>
      </c>
      <c r="F509" s="12">
        <v>33980.0</v>
      </c>
      <c r="G509" s="8">
        <f t="shared" si="20"/>
        <v>33.50410959</v>
      </c>
      <c r="H509" s="49">
        <v>426.0</v>
      </c>
      <c r="I509" s="9">
        <v>-31.0</v>
      </c>
      <c r="J509" s="341" t="s">
        <v>1783</v>
      </c>
      <c r="K509" s="299"/>
    </row>
    <row r="510">
      <c r="A510" s="293"/>
      <c r="B510" s="353"/>
      <c r="C510" s="6" t="s">
        <v>1784</v>
      </c>
      <c r="D510" s="6" t="s">
        <v>14</v>
      </c>
      <c r="E510" s="6" t="s">
        <v>18</v>
      </c>
      <c r="F510" s="12">
        <v>38095.0</v>
      </c>
      <c r="G510" s="8">
        <f t="shared" si="20"/>
        <v>22.23642488</v>
      </c>
      <c r="H510" s="9">
        <v>427.0</v>
      </c>
      <c r="I510" s="9">
        <v>-29.0</v>
      </c>
      <c r="J510" s="341" t="s">
        <v>1785</v>
      </c>
      <c r="K510" s="299"/>
    </row>
    <row r="511">
      <c r="A511" s="293"/>
      <c r="B511" s="353"/>
      <c r="C511" s="28" t="s">
        <v>1786</v>
      </c>
      <c r="D511" s="28" t="s">
        <v>10</v>
      </c>
      <c r="E511" s="28" t="s">
        <v>87</v>
      </c>
      <c r="F511" s="44">
        <v>37985.0</v>
      </c>
      <c r="G511" s="28">
        <v>21.8</v>
      </c>
      <c r="H511" s="49">
        <v>428.0</v>
      </c>
      <c r="I511" s="9">
        <v>9.0</v>
      </c>
      <c r="J511" s="54" t="s">
        <v>1787</v>
      </c>
      <c r="K511" s="299"/>
    </row>
    <row r="512">
      <c r="A512" s="293"/>
      <c r="B512" s="353"/>
      <c r="C512" s="35" t="s">
        <v>1788</v>
      </c>
      <c r="D512" s="11" t="s">
        <v>14</v>
      </c>
      <c r="E512" s="35" t="s">
        <v>43</v>
      </c>
      <c r="F512" s="7">
        <v>36217.0</v>
      </c>
      <c r="G512" s="8">
        <f>YEARFRAC(F512, TODAY(),1)</f>
        <v>27.37808219</v>
      </c>
      <c r="H512" s="49">
        <v>429.0</v>
      </c>
      <c r="I512" s="9">
        <v>-9.0</v>
      </c>
      <c r="J512" s="341" t="s">
        <v>1789</v>
      </c>
      <c r="K512" s="299"/>
    </row>
    <row r="513">
      <c r="A513" s="293"/>
      <c r="B513" s="353"/>
      <c r="C513" s="28" t="s">
        <v>649</v>
      </c>
      <c r="D513" s="28" t="s">
        <v>267</v>
      </c>
      <c r="E513" s="29" t="s">
        <v>213</v>
      </c>
      <c r="F513" s="44">
        <v>38545.0</v>
      </c>
      <c r="G513" s="28">
        <v>20.2</v>
      </c>
      <c r="H513" s="9">
        <v>430.0</v>
      </c>
      <c r="I513" s="9">
        <v>15.0</v>
      </c>
      <c r="J513" s="54" t="s">
        <v>1790</v>
      </c>
      <c r="K513" s="299"/>
    </row>
    <row r="514">
      <c r="A514" s="293"/>
      <c r="B514" s="353"/>
      <c r="C514" s="6" t="s">
        <v>1791</v>
      </c>
      <c r="D514" s="6" t="s">
        <v>25</v>
      </c>
      <c r="E514" s="6" t="s">
        <v>98</v>
      </c>
      <c r="F514" s="12">
        <v>32491.0</v>
      </c>
      <c r="G514" s="8">
        <f t="shared" ref="G514:G520" si="21">YEARFRAC(F514, TODAY(),1)</f>
        <v>37.58068718</v>
      </c>
      <c r="H514" s="49">
        <v>431.0</v>
      </c>
      <c r="I514" s="9">
        <v>4.0</v>
      </c>
      <c r="J514" s="347" t="s">
        <v>1792</v>
      </c>
      <c r="K514" s="299"/>
    </row>
    <row r="515">
      <c r="A515" s="293"/>
      <c r="B515" s="353"/>
      <c r="C515" s="6" t="s">
        <v>1793</v>
      </c>
      <c r="D515" s="6" t="s">
        <v>36</v>
      </c>
      <c r="E515" s="6" t="s">
        <v>158</v>
      </c>
      <c r="F515" s="12">
        <v>37325.0</v>
      </c>
      <c r="G515" s="8">
        <f t="shared" si="21"/>
        <v>24.34520548</v>
      </c>
      <c r="H515" s="49">
        <v>432.0</v>
      </c>
      <c r="I515" s="9">
        <v>-21.0</v>
      </c>
      <c r="J515" s="341" t="s">
        <v>1794</v>
      </c>
      <c r="K515" s="299"/>
    </row>
    <row r="516">
      <c r="A516" s="293"/>
      <c r="B516" s="353"/>
      <c r="C516" s="6" t="s">
        <v>1795</v>
      </c>
      <c r="D516" s="6" t="s">
        <v>36</v>
      </c>
      <c r="E516" s="35" t="s">
        <v>37</v>
      </c>
      <c r="F516" s="12">
        <v>36967.0</v>
      </c>
      <c r="G516" s="8">
        <f t="shared" si="21"/>
        <v>25.3260274</v>
      </c>
      <c r="H516" s="9">
        <v>433.0</v>
      </c>
      <c r="I516" s="9">
        <v>-26.0</v>
      </c>
      <c r="J516" s="341" t="s">
        <v>1796</v>
      </c>
      <c r="K516" s="299"/>
    </row>
    <row r="517">
      <c r="A517" s="293"/>
      <c r="B517" s="353"/>
      <c r="C517" s="6" t="s">
        <v>1797</v>
      </c>
      <c r="D517" s="6" t="s">
        <v>25</v>
      </c>
      <c r="E517" s="6" t="s">
        <v>87</v>
      </c>
      <c r="F517" s="12">
        <v>37930.0</v>
      </c>
      <c r="G517" s="8">
        <f t="shared" si="21"/>
        <v>22.68767123</v>
      </c>
      <c r="H517" s="49">
        <v>434.0</v>
      </c>
      <c r="I517" s="9">
        <v>-26.0</v>
      </c>
      <c r="J517" s="347" t="s">
        <v>1798</v>
      </c>
      <c r="K517" s="299"/>
    </row>
    <row r="518">
      <c r="A518" s="293"/>
      <c r="B518" s="353"/>
      <c r="C518" s="6" t="s">
        <v>1799</v>
      </c>
      <c r="D518" s="6" t="s">
        <v>14</v>
      </c>
      <c r="E518" s="6" t="s">
        <v>95</v>
      </c>
      <c r="F518" s="12">
        <v>37753.0</v>
      </c>
      <c r="G518" s="8">
        <f t="shared" si="21"/>
        <v>23.17260274</v>
      </c>
      <c r="H518" s="49">
        <v>435.0</v>
      </c>
      <c r="I518" s="9">
        <v>-14.0</v>
      </c>
      <c r="J518" s="347" t="s">
        <v>1800</v>
      </c>
      <c r="K518" s="299"/>
    </row>
    <row r="519">
      <c r="A519" s="293"/>
      <c r="B519" s="353"/>
      <c r="C519" s="6" t="s">
        <v>1801</v>
      </c>
      <c r="D519" s="6" t="s">
        <v>25</v>
      </c>
      <c r="E519" s="35" t="s">
        <v>29</v>
      </c>
      <c r="F519" s="12">
        <v>36718.0</v>
      </c>
      <c r="G519" s="8">
        <f t="shared" si="21"/>
        <v>26.00691669</v>
      </c>
      <c r="H519" s="9">
        <v>436.0</v>
      </c>
      <c r="I519" s="9">
        <v>-21.0</v>
      </c>
      <c r="J519" s="347" t="s">
        <v>1802</v>
      </c>
      <c r="K519" s="299"/>
    </row>
    <row r="520">
      <c r="A520" s="293"/>
      <c r="B520" s="353"/>
      <c r="C520" s="6" t="s">
        <v>1803</v>
      </c>
      <c r="D520" s="6" t="s">
        <v>36</v>
      </c>
      <c r="E520" s="6" t="s">
        <v>43</v>
      </c>
      <c r="F520" s="12">
        <v>38040.0</v>
      </c>
      <c r="G520" s="8">
        <f t="shared" si="21"/>
        <v>22.38669811</v>
      </c>
      <c r="H520" s="49">
        <v>437.0</v>
      </c>
      <c r="I520" s="9">
        <v>-11.0</v>
      </c>
      <c r="J520" s="347" t="s">
        <v>1804</v>
      </c>
      <c r="K520" s="299"/>
    </row>
    <row r="521">
      <c r="A521" s="293"/>
      <c r="B521" s="353"/>
      <c r="C521" s="28" t="s">
        <v>1021</v>
      </c>
      <c r="D521" s="28" t="s">
        <v>573</v>
      </c>
      <c r="E521" s="28" t="s">
        <v>46</v>
      </c>
      <c r="F521" s="44">
        <v>37314.0</v>
      </c>
      <c r="G521" s="28">
        <v>23.6</v>
      </c>
      <c r="H521" s="49">
        <v>438.0</v>
      </c>
      <c r="I521" s="49">
        <v>0.0</v>
      </c>
      <c r="J521" s="54" t="s">
        <v>1805</v>
      </c>
      <c r="K521" s="299"/>
    </row>
    <row r="522">
      <c r="A522" s="293"/>
      <c r="B522" s="353"/>
      <c r="C522" s="6" t="s">
        <v>1806</v>
      </c>
      <c r="D522" s="6" t="s">
        <v>14</v>
      </c>
      <c r="E522" s="6" t="s">
        <v>18</v>
      </c>
      <c r="F522" s="12">
        <v>35230.0</v>
      </c>
      <c r="G522" s="8">
        <f t="shared" ref="G522:G533" si="22">YEARFRAC(F522, TODAY(),1)</f>
        <v>30.08068718</v>
      </c>
      <c r="H522" s="9">
        <v>439.0</v>
      </c>
      <c r="I522" s="9">
        <v>-8.0</v>
      </c>
      <c r="J522" s="347" t="s">
        <v>1807</v>
      </c>
      <c r="K522" s="299"/>
    </row>
    <row r="523">
      <c r="A523" s="293"/>
      <c r="B523" s="353"/>
      <c r="C523" s="6" t="s">
        <v>1017</v>
      </c>
      <c r="D523" s="6" t="s">
        <v>183</v>
      </c>
      <c r="E523" s="6" t="s">
        <v>11</v>
      </c>
      <c r="F523" s="12">
        <v>38142.0</v>
      </c>
      <c r="G523" s="8">
        <f t="shared" si="22"/>
        <v>22.10800958</v>
      </c>
      <c r="H523" s="49">
        <v>440.0</v>
      </c>
      <c r="I523" s="9">
        <v>-15.0</v>
      </c>
      <c r="J523" s="341" t="s">
        <v>1808</v>
      </c>
      <c r="K523" s="299"/>
    </row>
    <row r="524">
      <c r="A524" s="293"/>
      <c r="B524" s="353"/>
      <c r="C524" s="15" t="s">
        <v>1809</v>
      </c>
      <c r="D524" s="15" t="s">
        <v>21</v>
      </c>
      <c r="E524" s="15" t="s">
        <v>15</v>
      </c>
      <c r="F524" s="16">
        <v>36325.0</v>
      </c>
      <c r="G524" s="17">
        <f t="shared" si="22"/>
        <v>27.08219178</v>
      </c>
      <c r="H524" s="49">
        <v>441.0</v>
      </c>
      <c r="I524" s="9">
        <v>-7.0</v>
      </c>
      <c r="J524" s="351" t="s">
        <v>1810</v>
      </c>
      <c r="K524" s="299"/>
    </row>
    <row r="525">
      <c r="A525" s="293"/>
      <c r="B525" s="353"/>
      <c r="C525" s="11" t="s">
        <v>1027</v>
      </c>
      <c r="D525" s="11" t="s">
        <v>25</v>
      </c>
      <c r="E525" s="35" t="s">
        <v>49</v>
      </c>
      <c r="F525" s="12">
        <v>37440.0</v>
      </c>
      <c r="G525" s="8">
        <f t="shared" si="22"/>
        <v>24.03013699</v>
      </c>
      <c r="H525" s="9">
        <v>442.0</v>
      </c>
      <c r="I525" s="9">
        <v>-12.0</v>
      </c>
      <c r="J525" s="341" t="s">
        <v>1811</v>
      </c>
      <c r="K525" s="299"/>
    </row>
    <row r="526">
      <c r="A526" s="293"/>
      <c r="B526" s="353"/>
      <c r="C526" s="6" t="s">
        <v>1812</v>
      </c>
      <c r="D526" s="6" t="s">
        <v>36</v>
      </c>
      <c r="E526" s="35" t="s">
        <v>213</v>
      </c>
      <c r="F526" s="12">
        <v>35598.0</v>
      </c>
      <c r="G526" s="8">
        <f t="shared" si="22"/>
        <v>29.0739726</v>
      </c>
      <c r="H526" s="49">
        <v>443.0</v>
      </c>
      <c r="I526" s="9">
        <v>-19.0</v>
      </c>
      <c r="J526" s="341" t="s">
        <v>1813</v>
      </c>
      <c r="K526" s="299"/>
    </row>
    <row r="527">
      <c r="A527" s="293"/>
      <c r="B527" s="353"/>
      <c r="C527" s="6" t="s">
        <v>1814</v>
      </c>
      <c r="D527" s="6" t="s">
        <v>25</v>
      </c>
      <c r="E527" s="6" t="s">
        <v>29</v>
      </c>
      <c r="F527" s="12">
        <v>37686.0</v>
      </c>
      <c r="G527" s="8">
        <f t="shared" si="22"/>
        <v>23.35616438</v>
      </c>
      <c r="H527" s="49">
        <v>444.0</v>
      </c>
      <c r="I527" s="9">
        <v>-13.0</v>
      </c>
      <c r="J527" s="341" t="s">
        <v>1815</v>
      </c>
      <c r="K527" s="299"/>
    </row>
    <row r="528">
      <c r="A528" s="293"/>
      <c r="B528" s="353"/>
      <c r="C528" s="6" t="s">
        <v>1816</v>
      </c>
      <c r="D528" s="6" t="s">
        <v>36</v>
      </c>
      <c r="E528" s="6" t="s">
        <v>98</v>
      </c>
      <c r="F528" s="12">
        <v>38557.0</v>
      </c>
      <c r="G528" s="8">
        <f t="shared" si="22"/>
        <v>20.97260274</v>
      </c>
      <c r="H528" s="9">
        <v>445.0</v>
      </c>
      <c r="I528" s="9">
        <v>-1.0</v>
      </c>
      <c r="J528" s="347" t="s">
        <v>1817</v>
      </c>
      <c r="K528" s="299"/>
    </row>
    <row r="529">
      <c r="A529" s="293"/>
      <c r="B529" s="353"/>
      <c r="C529" s="15" t="s">
        <v>1818</v>
      </c>
      <c r="D529" s="15" t="s">
        <v>25</v>
      </c>
      <c r="E529" s="15" t="s">
        <v>43</v>
      </c>
      <c r="F529" s="16">
        <v>37630.0</v>
      </c>
      <c r="G529" s="17">
        <f t="shared" si="22"/>
        <v>23.50958904</v>
      </c>
      <c r="H529" s="49">
        <v>446.0</v>
      </c>
      <c r="I529" s="9">
        <v>-4.0</v>
      </c>
      <c r="J529" s="354" t="s">
        <v>1819</v>
      </c>
      <c r="K529" s="299"/>
    </row>
    <row r="530">
      <c r="A530" s="293"/>
      <c r="B530" s="353"/>
      <c r="C530" s="6" t="s">
        <v>1820</v>
      </c>
      <c r="D530" s="6" t="s">
        <v>14</v>
      </c>
      <c r="E530" s="6" t="s">
        <v>26</v>
      </c>
      <c r="F530" s="12">
        <v>34893.0</v>
      </c>
      <c r="G530" s="8">
        <f t="shared" si="22"/>
        <v>31.00273973</v>
      </c>
      <c r="H530" s="49">
        <v>447.0</v>
      </c>
      <c r="I530" s="9">
        <v>-35.0</v>
      </c>
      <c r="J530" s="341" t="s">
        <v>1821</v>
      </c>
      <c r="K530" s="299"/>
    </row>
    <row r="531">
      <c r="A531" s="293"/>
      <c r="B531" s="353"/>
      <c r="C531" s="14" t="s">
        <v>442</v>
      </c>
      <c r="D531" s="14" t="s">
        <v>25</v>
      </c>
      <c r="E531" s="14" t="s">
        <v>176</v>
      </c>
      <c r="F531" s="16">
        <v>37429.0</v>
      </c>
      <c r="G531" s="17">
        <f t="shared" si="22"/>
        <v>24.06027397</v>
      </c>
      <c r="H531" s="9">
        <v>448.0</v>
      </c>
      <c r="I531" s="356">
        <v>-1.0</v>
      </c>
      <c r="J531" s="51" t="s">
        <v>443</v>
      </c>
      <c r="K531" s="299"/>
    </row>
    <row r="532">
      <c r="A532" s="293"/>
      <c r="B532" s="353"/>
      <c r="C532" s="6" t="s">
        <v>1822</v>
      </c>
      <c r="D532" s="6" t="s">
        <v>36</v>
      </c>
      <c r="E532" s="6" t="s">
        <v>213</v>
      </c>
      <c r="F532" s="12">
        <v>37208.0</v>
      </c>
      <c r="G532" s="8">
        <f t="shared" si="22"/>
        <v>24.66575342</v>
      </c>
      <c r="H532" s="49">
        <v>449.0</v>
      </c>
      <c r="I532" s="9">
        <v>-33.0</v>
      </c>
      <c r="J532" s="341" t="s">
        <v>1823</v>
      </c>
      <c r="K532" s="299"/>
    </row>
    <row r="533">
      <c r="A533" s="293"/>
      <c r="B533" s="353"/>
      <c r="C533" s="357" t="s">
        <v>1824</v>
      </c>
      <c r="D533" s="357" t="s">
        <v>10</v>
      </c>
      <c r="E533" s="357" t="s">
        <v>932</v>
      </c>
      <c r="F533" s="358">
        <v>36480.0</v>
      </c>
      <c r="G533" s="359">
        <f t="shared" si="22"/>
        <v>26.65753425</v>
      </c>
      <c r="H533" s="49">
        <v>450.0</v>
      </c>
      <c r="I533" s="360">
        <v>-36.0</v>
      </c>
      <c r="J533" s="361" t="s">
        <v>1825</v>
      </c>
      <c r="K533" s="299"/>
    </row>
    <row r="534">
      <c r="A534" s="293"/>
      <c r="B534" s="353"/>
      <c r="C534" s="362"/>
      <c r="D534" s="362"/>
      <c r="E534" s="362"/>
      <c r="F534" s="363"/>
      <c r="G534" s="364"/>
      <c r="H534" s="365"/>
      <c r="I534" s="366"/>
      <c r="J534" s="367"/>
      <c r="K534" s="299"/>
    </row>
    <row r="535">
      <c r="A535" s="293"/>
      <c r="B535" s="353"/>
      <c r="C535" s="362"/>
      <c r="D535" s="362"/>
      <c r="E535" s="362"/>
      <c r="F535" s="363"/>
      <c r="G535" s="364"/>
      <c r="H535" s="365"/>
      <c r="I535" s="366"/>
      <c r="J535" s="367"/>
      <c r="K535" s="299"/>
    </row>
    <row r="536">
      <c r="A536" s="293"/>
      <c r="B536" s="353"/>
      <c r="C536" s="362"/>
      <c r="D536" s="362"/>
      <c r="E536" s="362"/>
      <c r="F536" s="363"/>
      <c r="G536" s="364"/>
      <c r="H536" s="365"/>
      <c r="I536" s="366"/>
      <c r="J536" s="367"/>
      <c r="K536" s="299"/>
    </row>
    <row r="537">
      <c r="A537" s="293"/>
      <c r="B537" s="353"/>
      <c r="C537" s="362"/>
      <c r="D537" s="362"/>
      <c r="E537" s="362"/>
      <c r="F537" s="363"/>
      <c r="G537" s="364"/>
      <c r="H537" s="365"/>
      <c r="I537" s="366"/>
      <c r="J537" s="367"/>
      <c r="K537" s="299"/>
    </row>
    <row r="538">
      <c r="A538" s="293"/>
      <c r="B538" s="353"/>
      <c r="C538" s="362"/>
      <c r="D538" s="362"/>
      <c r="E538" s="362"/>
      <c r="F538" s="363"/>
      <c r="G538" s="364"/>
      <c r="H538" s="365"/>
      <c r="I538" s="366"/>
      <c r="J538" s="367"/>
      <c r="K538" s="299"/>
    </row>
    <row r="539">
      <c r="A539" s="293"/>
      <c r="B539" s="353"/>
      <c r="C539" s="362"/>
      <c r="D539" s="362"/>
      <c r="E539" s="362"/>
      <c r="F539" s="363"/>
      <c r="G539" s="364"/>
      <c r="H539" s="365"/>
      <c r="I539" s="366"/>
      <c r="J539" s="367"/>
      <c r="K539" s="299"/>
    </row>
    <row r="540">
      <c r="A540" s="293"/>
      <c r="B540" s="353"/>
      <c r="C540" s="362"/>
      <c r="D540" s="362"/>
      <c r="E540" s="362"/>
      <c r="F540" s="363"/>
      <c r="G540" s="364"/>
      <c r="H540" s="365"/>
      <c r="I540" s="366"/>
      <c r="J540" s="367"/>
      <c r="K540" s="299"/>
    </row>
    <row r="541">
      <c r="A541" s="293"/>
      <c r="B541" s="353"/>
      <c r="C541" s="362"/>
      <c r="D541" s="362"/>
      <c r="E541" s="362"/>
      <c r="F541" s="363"/>
      <c r="G541" s="364"/>
      <c r="H541" s="365"/>
      <c r="I541" s="366"/>
      <c r="J541" s="367"/>
      <c r="K541" s="299"/>
    </row>
    <row r="542">
      <c r="A542" s="293"/>
      <c r="B542" s="353"/>
      <c r="C542" s="362"/>
      <c r="D542" s="362"/>
      <c r="E542" s="362"/>
      <c r="F542" s="363"/>
      <c r="G542" s="364"/>
      <c r="H542" s="365"/>
      <c r="I542" s="366"/>
      <c r="J542" s="367"/>
      <c r="K542" s="299"/>
    </row>
    <row r="543">
      <c r="A543" s="293"/>
      <c r="B543" s="353"/>
      <c r="C543" s="362"/>
      <c r="D543" s="362"/>
      <c r="E543" s="362"/>
      <c r="F543" s="363"/>
      <c r="G543" s="364"/>
      <c r="H543" s="365"/>
      <c r="I543" s="366"/>
      <c r="J543" s="367"/>
      <c r="K543" s="299"/>
    </row>
    <row r="544">
      <c r="A544" s="293"/>
      <c r="B544" s="353"/>
      <c r="C544" s="362"/>
      <c r="D544" s="362"/>
      <c r="E544" s="362"/>
      <c r="F544" s="363"/>
      <c r="G544" s="364"/>
      <c r="H544" s="365"/>
      <c r="I544" s="366"/>
      <c r="J544" s="367"/>
      <c r="K544" s="299"/>
    </row>
    <row r="545">
      <c r="A545" s="293"/>
      <c r="B545" s="353"/>
      <c r="C545" s="362"/>
      <c r="D545" s="362"/>
      <c r="E545" s="362"/>
      <c r="F545" s="363"/>
      <c r="G545" s="364"/>
      <c r="H545" s="365"/>
      <c r="I545" s="366"/>
      <c r="J545" s="367"/>
      <c r="K545" s="299"/>
    </row>
    <row r="546">
      <c r="A546" s="293"/>
      <c r="B546" s="353"/>
      <c r="C546" s="362"/>
      <c r="D546" s="362"/>
      <c r="E546" s="362"/>
      <c r="F546" s="363"/>
      <c r="G546" s="364"/>
      <c r="H546" s="365"/>
      <c r="I546" s="366"/>
      <c r="J546" s="367"/>
      <c r="K546" s="299"/>
    </row>
    <row r="547">
      <c r="A547" s="293"/>
      <c r="B547" s="353"/>
      <c r="C547" s="362"/>
      <c r="D547" s="362"/>
      <c r="E547" s="362"/>
      <c r="F547" s="363"/>
      <c r="G547" s="364"/>
      <c r="H547" s="365"/>
      <c r="I547" s="366"/>
      <c r="J547" s="367"/>
      <c r="K547" s="299"/>
    </row>
    <row r="548">
      <c r="A548" s="293"/>
      <c r="B548" s="353"/>
      <c r="C548" s="362"/>
      <c r="D548" s="362"/>
      <c r="E548" s="362"/>
      <c r="F548" s="363"/>
      <c r="G548" s="364"/>
      <c r="H548" s="365"/>
      <c r="I548" s="366"/>
      <c r="J548" s="367"/>
      <c r="K548" s="299"/>
    </row>
    <row r="549">
      <c r="A549" s="293"/>
      <c r="B549" s="353"/>
      <c r="C549" s="362"/>
      <c r="D549" s="362"/>
      <c r="E549" s="362"/>
      <c r="F549" s="363"/>
      <c r="G549" s="364"/>
      <c r="H549" s="365"/>
      <c r="I549" s="366"/>
      <c r="J549" s="367"/>
      <c r="K549" s="299"/>
    </row>
    <row r="550">
      <c r="A550" s="293"/>
      <c r="B550" s="353"/>
      <c r="C550" s="362"/>
      <c r="D550" s="362"/>
      <c r="E550" s="362"/>
      <c r="F550" s="363"/>
      <c r="G550" s="364"/>
      <c r="H550" s="365"/>
      <c r="I550" s="366"/>
      <c r="J550" s="367"/>
      <c r="K550" s="299"/>
    </row>
    <row r="551">
      <c r="A551" s="293"/>
      <c r="B551" s="353"/>
      <c r="C551" s="362"/>
      <c r="D551" s="362"/>
      <c r="E551" s="362"/>
      <c r="F551" s="363"/>
      <c r="G551" s="364"/>
      <c r="H551" s="365"/>
      <c r="I551" s="366"/>
      <c r="J551" s="367"/>
      <c r="K551" s="299"/>
    </row>
    <row r="552">
      <c r="A552" s="293"/>
      <c r="B552" s="353"/>
      <c r="C552" s="362"/>
      <c r="D552" s="362"/>
      <c r="E552" s="362"/>
      <c r="F552" s="363"/>
      <c r="G552" s="364"/>
      <c r="H552" s="365"/>
      <c r="I552" s="366"/>
      <c r="J552" s="367"/>
      <c r="K552" s="299"/>
    </row>
    <row r="553">
      <c r="A553" s="293"/>
      <c r="B553" s="353"/>
      <c r="C553" s="362"/>
      <c r="D553" s="362"/>
      <c r="E553" s="362"/>
      <c r="F553" s="363"/>
      <c r="G553" s="364"/>
      <c r="H553" s="365"/>
      <c r="I553" s="366"/>
      <c r="J553" s="367"/>
      <c r="K553" s="299"/>
    </row>
    <row r="554">
      <c r="A554" s="293"/>
      <c r="B554" s="353"/>
      <c r="C554" s="362"/>
      <c r="D554" s="362"/>
      <c r="E554" s="362"/>
      <c r="F554" s="363"/>
      <c r="G554" s="364"/>
      <c r="H554" s="365"/>
      <c r="I554" s="366"/>
      <c r="J554" s="367"/>
      <c r="K554" s="299"/>
    </row>
    <row r="555">
      <c r="A555" s="293"/>
      <c r="B555" s="353"/>
      <c r="C555" s="362"/>
      <c r="D555" s="362"/>
      <c r="E555" s="362"/>
      <c r="F555" s="363"/>
      <c r="G555" s="364"/>
      <c r="H555" s="365"/>
      <c r="I555" s="366"/>
      <c r="J555" s="367"/>
      <c r="K555" s="299"/>
    </row>
    <row r="556">
      <c r="A556" s="293"/>
      <c r="B556" s="353"/>
      <c r="C556" s="362"/>
      <c r="D556" s="362"/>
      <c r="E556" s="362"/>
      <c r="F556" s="363"/>
      <c r="G556" s="364"/>
      <c r="H556" s="365"/>
      <c r="I556" s="366"/>
      <c r="J556" s="367"/>
      <c r="K556" s="299"/>
    </row>
    <row r="557">
      <c r="A557" s="293"/>
      <c r="B557" s="353"/>
      <c r="C557" s="362"/>
      <c r="D557" s="362"/>
      <c r="E557" s="362"/>
      <c r="F557" s="363"/>
      <c r="G557" s="364"/>
      <c r="H557" s="365"/>
      <c r="I557" s="366"/>
      <c r="J557" s="367"/>
      <c r="K557" s="299"/>
    </row>
    <row r="558">
      <c r="A558" s="293"/>
      <c r="B558" s="353"/>
      <c r="C558" s="362"/>
      <c r="D558" s="362"/>
      <c r="E558" s="362"/>
      <c r="F558" s="363"/>
      <c r="G558" s="364"/>
      <c r="H558" s="365"/>
      <c r="I558" s="366"/>
      <c r="J558" s="367"/>
      <c r="K558" s="299"/>
    </row>
    <row r="559">
      <c r="A559" s="293"/>
      <c r="B559" s="353"/>
      <c r="C559" s="362"/>
      <c r="D559" s="362"/>
      <c r="E559" s="362"/>
      <c r="F559" s="363"/>
      <c r="G559" s="364"/>
      <c r="H559" s="365"/>
      <c r="I559" s="366"/>
      <c r="J559" s="367"/>
      <c r="K559" s="299"/>
    </row>
    <row r="560">
      <c r="A560" s="293"/>
      <c r="B560" s="353"/>
      <c r="C560" s="362"/>
      <c r="D560" s="362"/>
      <c r="E560" s="362"/>
      <c r="F560" s="363"/>
      <c r="G560" s="364"/>
      <c r="H560" s="365"/>
      <c r="I560" s="366"/>
      <c r="J560" s="367"/>
      <c r="K560" s="299"/>
    </row>
    <row r="561">
      <c r="A561" s="293"/>
      <c r="B561" s="353"/>
      <c r="C561" s="362"/>
      <c r="D561" s="362"/>
      <c r="E561" s="362"/>
      <c r="F561" s="363"/>
      <c r="G561" s="364"/>
      <c r="H561" s="365"/>
      <c r="I561" s="366"/>
      <c r="J561" s="367"/>
      <c r="K561" s="299"/>
    </row>
    <row r="562">
      <c r="A562" s="293"/>
      <c r="B562" s="353"/>
      <c r="C562" s="362"/>
      <c r="D562" s="362"/>
      <c r="E562" s="362"/>
      <c r="F562" s="363"/>
      <c r="G562" s="364"/>
      <c r="H562" s="365"/>
      <c r="I562" s="366"/>
      <c r="J562" s="367"/>
      <c r="K562" s="299"/>
    </row>
    <row r="563">
      <c r="A563" s="293"/>
      <c r="B563" s="353"/>
      <c r="C563" s="362"/>
      <c r="D563" s="362"/>
      <c r="E563" s="362"/>
      <c r="F563" s="363"/>
      <c r="G563" s="364"/>
      <c r="H563" s="365"/>
      <c r="I563" s="366"/>
      <c r="J563" s="367"/>
      <c r="K563" s="299"/>
    </row>
    <row r="564">
      <c r="A564" s="293"/>
      <c r="B564" s="353"/>
      <c r="C564" s="362"/>
      <c r="D564" s="362"/>
      <c r="E564" s="362"/>
      <c r="F564" s="363"/>
      <c r="G564" s="364"/>
      <c r="H564" s="365"/>
      <c r="I564" s="366"/>
      <c r="J564" s="367"/>
      <c r="K564" s="299"/>
    </row>
    <row r="565">
      <c r="A565" s="293"/>
      <c r="B565" s="353"/>
      <c r="C565" s="362"/>
      <c r="D565" s="362"/>
      <c r="E565" s="362"/>
      <c r="F565" s="363"/>
      <c r="G565" s="364"/>
      <c r="H565" s="365"/>
      <c r="I565" s="366"/>
      <c r="J565" s="367"/>
      <c r="K565" s="299"/>
    </row>
    <row r="566">
      <c r="A566" s="293"/>
      <c r="B566" s="353"/>
      <c r="C566" s="362"/>
      <c r="D566" s="362"/>
      <c r="E566" s="362"/>
      <c r="F566" s="363"/>
      <c r="G566" s="364"/>
      <c r="H566" s="365"/>
      <c r="I566" s="366"/>
      <c r="J566" s="367"/>
      <c r="K566" s="299"/>
    </row>
    <row r="567">
      <c r="A567" s="293"/>
      <c r="B567" s="353"/>
      <c r="C567" s="362"/>
      <c r="D567" s="362"/>
      <c r="E567" s="362"/>
      <c r="F567" s="363"/>
      <c r="G567" s="364"/>
      <c r="H567" s="365"/>
      <c r="I567" s="366"/>
      <c r="J567" s="367"/>
      <c r="K567" s="299"/>
    </row>
  </sheetData>
  <mergeCells count="3">
    <mergeCell ref="A1:A335"/>
    <mergeCell ref="B1:K1"/>
    <mergeCell ref="K2:K335"/>
  </mergeCells>
  <conditionalFormatting sqref="I3:I567">
    <cfRule type="colorScale" priority="1">
      <colorScale>
        <cfvo type="min"/>
        <cfvo type="formula" val="0"/>
        <cfvo type="max"/>
        <color rgb="FFE67C73"/>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6.75"/>
    <col customWidth="1" min="3" max="3" width="22.63"/>
    <col customWidth="1" min="4" max="4" width="10.0"/>
    <col customWidth="1" min="5" max="5" width="8.75"/>
    <col customWidth="1" min="6" max="6" width="10.0"/>
    <col customWidth="1" min="7" max="7" width="10.25"/>
    <col customWidth="1" min="8" max="8" width="11.25"/>
    <col customWidth="1" min="9" max="9" width="10.38"/>
    <col customWidth="1" min="10" max="10" width="70.5"/>
    <col customWidth="1" min="11" max="11" width="1.75"/>
  </cols>
  <sheetData>
    <row r="1" ht="8.25" customHeight="1">
      <c r="A1" s="293"/>
      <c r="B1" s="1"/>
    </row>
    <row r="2">
      <c r="B2" s="294" t="s">
        <v>0</v>
      </c>
      <c r="C2" s="295" t="s">
        <v>1</v>
      </c>
      <c r="D2" s="295" t="s">
        <v>2</v>
      </c>
      <c r="E2" s="295" t="s">
        <v>3</v>
      </c>
      <c r="F2" s="296" t="s">
        <v>4</v>
      </c>
      <c r="G2" s="297" t="s">
        <v>1826</v>
      </c>
      <c r="H2" s="296" t="s">
        <v>1080</v>
      </c>
      <c r="I2" s="296" t="s">
        <v>7</v>
      </c>
      <c r="J2" s="298" t="s">
        <v>1360</v>
      </c>
      <c r="K2" s="299"/>
    </row>
    <row r="3">
      <c r="B3" s="239">
        <f t="array" ref="B3:B452">SEQUENCE(COUNTA(C3:C452),1)</f>
        <v>1</v>
      </c>
      <c r="C3" s="6" t="s">
        <v>9</v>
      </c>
      <c r="D3" s="6" t="s">
        <v>10</v>
      </c>
      <c r="E3" s="6" t="s">
        <v>11</v>
      </c>
      <c r="F3" s="7">
        <v>37990.0</v>
      </c>
      <c r="G3" s="8">
        <f t="shared" ref="G3:G222" si="1">YEARFRAC(F3, TODAY(),1)</f>
        <v>22.52331013</v>
      </c>
      <c r="H3" s="9">
        <v>1.0</v>
      </c>
      <c r="I3" s="9">
        <v>0.0</v>
      </c>
      <c r="J3" s="10" t="s">
        <v>1361</v>
      </c>
    </row>
    <row r="4">
      <c r="B4" s="239">
        <v>2.0</v>
      </c>
      <c r="C4" s="11" t="s">
        <v>13</v>
      </c>
      <c r="D4" s="11" t="s">
        <v>14</v>
      </c>
      <c r="E4" s="11" t="s">
        <v>15</v>
      </c>
      <c r="F4" s="12">
        <v>35988.0</v>
      </c>
      <c r="G4" s="8">
        <f t="shared" si="1"/>
        <v>28.00547945</v>
      </c>
      <c r="H4" s="49">
        <v>2.0</v>
      </c>
      <c r="I4" s="9">
        <v>0.0</v>
      </c>
      <c r="J4" s="339" t="s">
        <v>1362</v>
      </c>
    </row>
    <row r="5">
      <c r="B5" s="239">
        <v>3.0</v>
      </c>
      <c r="C5" s="11" t="s">
        <v>20</v>
      </c>
      <c r="D5" s="11" t="s">
        <v>21</v>
      </c>
      <c r="E5" s="11" t="s">
        <v>22</v>
      </c>
      <c r="F5" s="12">
        <v>34749.0</v>
      </c>
      <c r="G5" s="8">
        <f t="shared" si="1"/>
        <v>31.39726027</v>
      </c>
      <c r="H5" s="9">
        <v>3.0</v>
      </c>
      <c r="I5" s="49">
        <v>0.0</v>
      </c>
      <c r="J5" s="339" t="s">
        <v>1827</v>
      </c>
    </row>
    <row r="6">
      <c r="B6" s="239">
        <v>4.0</v>
      </c>
      <c r="C6" s="11" t="s">
        <v>17</v>
      </c>
      <c r="D6" s="11" t="s">
        <v>14</v>
      </c>
      <c r="E6" s="6" t="s">
        <v>18</v>
      </c>
      <c r="F6" s="12">
        <v>36219.0</v>
      </c>
      <c r="G6" s="8">
        <f t="shared" si="1"/>
        <v>27.37260274</v>
      </c>
      <c r="H6" s="49">
        <v>4.0</v>
      </c>
      <c r="I6" s="9">
        <v>0.0</v>
      </c>
      <c r="J6" s="339" t="s">
        <v>1828</v>
      </c>
    </row>
    <row r="7">
      <c r="B7" s="27">
        <v>5.0</v>
      </c>
      <c r="C7" s="34" t="s">
        <v>24</v>
      </c>
      <c r="D7" s="29" t="s">
        <v>25</v>
      </c>
      <c r="E7" s="34" t="s">
        <v>26</v>
      </c>
      <c r="F7" s="30">
        <v>39072.0</v>
      </c>
      <c r="G7" s="31">
        <f t="shared" si="1"/>
        <v>19.56164384</v>
      </c>
      <c r="H7" s="9">
        <v>5.0</v>
      </c>
      <c r="I7" s="9">
        <v>0.0</v>
      </c>
      <c r="J7" s="368" t="s">
        <v>1829</v>
      </c>
    </row>
    <row r="8">
      <c r="B8" s="239">
        <v>6.0</v>
      </c>
      <c r="C8" s="11" t="s">
        <v>28</v>
      </c>
      <c r="D8" s="11" t="s">
        <v>14</v>
      </c>
      <c r="E8" s="11" t="s">
        <v>29</v>
      </c>
      <c r="F8" s="12">
        <v>37159.0</v>
      </c>
      <c r="G8" s="8">
        <f t="shared" si="1"/>
        <v>24.8</v>
      </c>
      <c r="H8" s="49">
        <v>6.0</v>
      </c>
      <c r="I8" s="9">
        <v>0.0</v>
      </c>
      <c r="J8" s="339" t="s">
        <v>1830</v>
      </c>
    </row>
    <row r="9">
      <c r="B9" s="239">
        <v>7.0</v>
      </c>
      <c r="C9" s="6" t="s">
        <v>39</v>
      </c>
      <c r="D9" s="6" t="s">
        <v>14</v>
      </c>
      <c r="E9" s="6" t="s">
        <v>40</v>
      </c>
      <c r="F9" s="12">
        <v>36834.0</v>
      </c>
      <c r="G9" s="8">
        <f t="shared" si="1"/>
        <v>25.68997679</v>
      </c>
      <c r="H9" s="9">
        <v>7.0</v>
      </c>
      <c r="I9" s="9">
        <v>0.0</v>
      </c>
      <c r="J9" s="339" t="s">
        <v>1365</v>
      </c>
    </row>
    <row r="10">
      <c r="B10" s="239">
        <v>8.0</v>
      </c>
      <c r="C10" s="11" t="s">
        <v>35</v>
      </c>
      <c r="D10" s="11" t="s">
        <v>36</v>
      </c>
      <c r="E10" s="11" t="s">
        <v>37</v>
      </c>
      <c r="F10" s="12">
        <v>37108.0</v>
      </c>
      <c r="G10" s="8">
        <f t="shared" si="1"/>
        <v>24.93972603</v>
      </c>
      <c r="H10" s="49">
        <v>8.0</v>
      </c>
      <c r="I10" s="9">
        <v>0.0</v>
      </c>
      <c r="J10" s="339" t="s">
        <v>1831</v>
      </c>
    </row>
    <row r="11">
      <c r="B11" s="5">
        <v>9.0</v>
      </c>
      <c r="C11" s="6" t="s">
        <v>42</v>
      </c>
      <c r="D11" s="6" t="s">
        <v>25</v>
      </c>
      <c r="E11" s="6" t="s">
        <v>43</v>
      </c>
      <c r="F11" s="12">
        <v>37243.0</v>
      </c>
      <c r="G11" s="8">
        <f t="shared" si="1"/>
        <v>24.56986301</v>
      </c>
      <c r="H11" s="9">
        <v>9.0</v>
      </c>
      <c r="I11" s="9">
        <v>8.0</v>
      </c>
      <c r="J11" s="42" t="s">
        <v>1367</v>
      </c>
    </row>
    <row r="12">
      <c r="B12" s="239">
        <v>10.0</v>
      </c>
      <c r="C12" s="11" t="s">
        <v>76</v>
      </c>
      <c r="D12" s="6" t="s">
        <v>77</v>
      </c>
      <c r="E12" s="11" t="s">
        <v>15</v>
      </c>
      <c r="F12" s="12">
        <v>36995.0</v>
      </c>
      <c r="G12" s="8">
        <f t="shared" si="1"/>
        <v>25.24931507</v>
      </c>
      <c r="H12" s="49">
        <v>10.0</v>
      </c>
      <c r="I12" s="9">
        <v>0.0</v>
      </c>
      <c r="J12" s="42" t="s">
        <v>1832</v>
      </c>
    </row>
    <row r="13">
      <c r="B13" s="239">
        <v>11.0</v>
      </c>
      <c r="C13" s="6" t="s">
        <v>54</v>
      </c>
      <c r="D13" s="6" t="s">
        <v>21</v>
      </c>
      <c r="E13" s="6" t="s">
        <v>55</v>
      </c>
      <c r="F13" s="12">
        <v>37462.0</v>
      </c>
      <c r="G13" s="8">
        <f t="shared" si="1"/>
        <v>23.96986301</v>
      </c>
      <c r="H13" s="9">
        <v>11.0</v>
      </c>
      <c r="I13" s="9">
        <v>2.0</v>
      </c>
      <c r="J13" s="339" t="s">
        <v>1833</v>
      </c>
    </row>
    <row r="14">
      <c r="B14" s="239">
        <v>12.0</v>
      </c>
      <c r="C14" s="11" t="s">
        <v>60</v>
      </c>
      <c r="D14" s="11" t="s">
        <v>10</v>
      </c>
      <c r="E14" s="11" t="s">
        <v>15</v>
      </c>
      <c r="F14" s="12">
        <v>37377.0</v>
      </c>
      <c r="G14" s="8">
        <f t="shared" si="1"/>
        <v>24.20273973</v>
      </c>
      <c r="H14" s="49">
        <v>12.0</v>
      </c>
      <c r="I14" s="9">
        <v>0.0</v>
      </c>
      <c r="J14" s="42" t="s">
        <v>1371</v>
      </c>
    </row>
    <row r="15">
      <c r="B15" s="239">
        <v>13.0</v>
      </c>
      <c r="C15" s="11" t="s">
        <v>68</v>
      </c>
      <c r="D15" s="11" t="s">
        <v>10</v>
      </c>
      <c r="E15" s="11" t="s">
        <v>69</v>
      </c>
      <c r="F15" s="12">
        <v>37060.0</v>
      </c>
      <c r="G15" s="8">
        <f t="shared" si="1"/>
        <v>25.07123288</v>
      </c>
      <c r="H15" s="9">
        <v>13.0</v>
      </c>
      <c r="I15" s="9">
        <v>-2.0</v>
      </c>
      <c r="J15" s="339" t="s">
        <v>1834</v>
      </c>
    </row>
    <row r="16">
      <c r="B16" s="239">
        <v>14.0</v>
      </c>
      <c r="C16" s="11" t="s">
        <v>73</v>
      </c>
      <c r="D16" s="11" t="s">
        <v>74</v>
      </c>
      <c r="E16" s="11" t="s">
        <v>55</v>
      </c>
      <c r="F16" s="12">
        <v>37651.0</v>
      </c>
      <c r="G16" s="8">
        <f t="shared" si="1"/>
        <v>23.45205479</v>
      </c>
      <c r="H16" s="49">
        <v>14.0</v>
      </c>
      <c r="I16" s="9">
        <v>-6.0</v>
      </c>
      <c r="J16" s="42" t="s">
        <v>75</v>
      </c>
    </row>
    <row r="17">
      <c r="B17" s="239">
        <v>15.0</v>
      </c>
      <c r="C17" s="11" t="s">
        <v>45</v>
      </c>
      <c r="D17" s="11" t="s">
        <v>14</v>
      </c>
      <c r="E17" s="11" t="s">
        <v>46</v>
      </c>
      <c r="F17" s="12">
        <v>36585.0</v>
      </c>
      <c r="G17" s="8">
        <f t="shared" si="1"/>
        <v>26.37030466</v>
      </c>
      <c r="H17" s="9">
        <v>15.0</v>
      </c>
      <c r="I17" s="9">
        <v>0.0</v>
      </c>
      <c r="J17" s="339" t="s">
        <v>1835</v>
      </c>
    </row>
    <row r="18">
      <c r="B18" s="239">
        <v>16.0</v>
      </c>
      <c r="C18" s="11" t="s">
        <v>31</v>
      </c>
      <c r="D18" s="11" t="s">
        <v>25</v>
      </c>
      <c r="E18" s="11" t="s">
        <v>32</v>
      </c>
      <c r="F18" s="12">
        <v>35857.0</v>
      </c>
      <c r="G18" s="8">
        <f t="shared" si="1"/>
        <v>28.36438356</v>
      </c>
      <c r="H18" s="49">
        <v>16.0</v>
      </c>
      <c r="I18" s="9">
        <v>0.0</v>
      </c>
      <c r="J18" s="339" t="s">
        <v>1836</v>
      </c>
    </row>
    <row r="19">
      <c r="B19" s="239">
        <v>17.0</v>
      </c>
      <c r="C19" s="11" t="s">
        <v>62</v>
      </c>
      <c r="D19" s="11" t="s">
        <v>10</v>
      </c>
      <c r="E19" s="11" t="s">
        <v>213</v>
      </c>
      <c r="F19" s="12">
        <v>34674.0</v>
      </c>
      <c r="G19" s="8">
        <f t="shared" si="1"/>
        <v>31.60273973</v>
      </c>
      <c r="H19" s="9">
        <v>17.0</v>
      </c>
      <c r="I19" s="9">
        <v>-3.0</v>
      </c>
      <c r="J19" s="42" t="s">
        <v>1377</v>
      </c>
    </row>
    <row r="20">
      <c r="B20" s="27">
        <v>18.0</v>
      </c>
      <c r="C20" s="28" t="s">
        <v>1095</v>
      </c>
      <c r="D20" s="29" t="s">
        <v>10</v>
      </c>
      <c r="E20" s="34" t="s">
        <v>1369</v>
      </c>
      <c r="F20" s="30">
        <v>39281.0</v>
      </c>
      <c r="G20" s="31">
        <f t="shared" si="1"/>
        <v>18.9890411</v>
      </c>
      <c r="H20" s="49">
        <v>18.0</v>
      </c>
      <c r="I20" s="9">
        <v>7.0</v>
      </c>
      <c r="J20" s="340" t="s">
        <v>1837</v>
      </c>
    </row>
    <row r="21">
      <c r="B21" s="27">
        <v>19.0</v>
      </c>
      <c r="C21" s="34" t="s">
        <v>1100</v>
      </c>
      <c r="D21" s="34" t="s">
        <v>14</v>
      </c>
      <c r="E21" s="34" t="s">
        <v>1378</v>
      </c>
      <c r="F21" s="30">
        <v>39099.0</v>
      </c>
      <c r="G21" s="31">
        <f t="shared" si="1"/>
        <v>19.48767123</v>
      </c>
      <c r="H21" s="9">
        <v>19.0</v>
      </c>
      <c r="I21" s="9">
        <v>-1.0</v>
      </c>
      <c r="J21" s="340" t="s">
        <v>1838</v>
      </c>
    </row>
    <row r="22">
      <c r="B22" s="239">
        <v>20.0</v>
      </c>
      <c r="C22" s="11" t="s">
        <v>51</v>
      </c>
      <c r="D22" s="11" t="s">
        <v>25</v>
      </c>
      <c r="E22" s="11" t="s">
        <v>52</v>
      </c>
      <c r="F22" s="12">
        <v>37104.0</v>
      </c>
      <c r="G22" s="8">
        <f t="shared" si="1"/>
        <v>24.95068493</v>
      </c>
      <c r="H22" s="49">
        <v>20.0</v>
      </c>
      <c r="I22" s="9">
        <v>4.0</v>
      </c>
      <c r="J22" s="42" t="s">
        <v>1839</v>
      </c>
    </row>
    <row r="23">
      <c r="B23" s="239">
        <v>21.0</v>
      </c>
      <c r="C23" s="6" t="s">
        <v>81</v>
      </c>
      <c r="D23" s="6" t="s">
        <v>77</v>
      </c>
      <c r="E23" s="6" t="s">
        <v>82</v>
      </c>
      <c r="F23" s="12">
        <v>37130.0</v>
      </c>
      <c r="G23" s="8">
        <f t="shared" si="1"/>
        <v>24.87945205</v>
      </c>
      <c r="H23" s="9">
        <v>21.0</v>
      </c>
      <c r="I23" s="9">
        <v>-1.0</v>
      </c>
      <c r="J23" s="339" t="s">
        <v>1840</v>
      </c>
    </row>
    <row r="24">
      <c r="B24" s="5">
        <v>22.0</v>
      </c>
      <c r="C24" s="11" t="s">
        <v>125</v>
      </c>
      <c r="D24" s="11" t="s">
        <v>14</v>
      </c>
      <c r="E24" s="11" t="s">
        <v>43</v>
      </c>
      <c r="F24" s="12">
        <v>36057.0</v>
      </c>
      <c r="G24" s="8">
        <f t="shared" si="1"/>
        <v>27.81643836</v>
      </c>
      <c r="H24" s="49">
        <v>22.0</v>
      </c>
      <c r="I24" s="9">
        <v>0.0</v>
      </c>
      <c r="J24" s="42" t="s">
        <v>1841</v>
      </c>
    </row>
    <row r="25">
      <c r="B25" s="239">
        <v>23.0</v>
      </c>
      <c r="C25" s="11" t="s">
        <v>84</v>
      </c>
      <c r="D25" s="11" t="s">
        <v>14</v>
      </c>
      <c r="E25" s="11" t="s">
        <v>69</v>
      </c>
      <c r="F25" s="12">
        <v>35315.0</v>
      </c>
      <c r="G25" s="8">
        <f t="shared" si="1"/>
        <v>29.84844674</v>
      </c>
      <c r="H25" s="9">
        <v>23.0</v>
      </c>
      <c r="I25" s="9">
        <v>-2.0</v>
      </c>
      <c r="J25" s="42" t="s">
        <v>1842</v>
      </c>
    </row>
    <row r="26">
      <c r="B26" s="239">
        <v>24.0</v>
      </c>
      <c r="C26" s="11" t="s">
        <v>79</v>
      </c>
      <c r="D26" s="11" t="s">
        <v>14</v>
      </c>
      <c r="E26" s="11" t="s">
        <v>18</v>
      </c>
      <c r="F26" s="12">
        <v>35944.0</v>
      </c>
      <c r="G26" s="8">
        <f t="shared" si="1"/>
        <v>28.1260274</v>
      </c>
      <c r="H26" s="49">
        <v>24.0</v>
      </c>
      <c r="I26" s="9">
        <v>9.0</v>
      </c>
      <c r="J26" s="339" t="s">
        <v>1843</v>
      </c>
    </row>
    <row r="27">
      <c r="B27" s="239">
        <v>25.0</v>
      </c>
      <c r="C27" s="11" t="s">
        <v>110</v>
      </c>
      <c r="D27" s="11" t="s">
        <v>36</v>
      </c>
      <c r="E27" s="11" t="s">
        <v>111</v>
      </c>
      <c r="F27" s="12">
        <v>35368.0</v>
      </c>
      <c r="G27" s="8">
        <f t="shared" si="1"/>
        <v>29.703638</v>
      </c>
      <c r="H27" s="9">
        <v>25.0</v>
      </c>
      <c r="I27" s="9">
        <v>-6.0</v>
      </c>
      <c r="J27" s="42" t="s">
        <v>1844</v>
      </c>
    </row>
    <row r="28">
      <c r="B28" s="239">
        <v>26.0</v>
      </c>
      <c r="C28" s="11" t="s">
        <v>105</v>
      </c>
      <c r="D28" s="11" t="s">
        <v>14</v>
      </c>
      <c r="E28" s="11" t="s">
        <v>106</v>
      </c>
      <c r="F28" s="12">
        <v>35308.0</v>
      </c>
      <c r="G28" s="8">
        <f t="shared" si="1"/>
        <v>29.86757242</v>
      </c>
      <c r="H28" s="49">
        <v>26.0</v>
      </c>
      <c r="I28" s="9">
        <v>0.0</v>
      </c>
      <c r="J28" s="339" t="s">
        <v>1845</v>
      </c>
    </row>
    <row r="29">
      <c r="B29" s="27">
        <v>27.0</v>
      </c>
      <c r="C29" s="34" t="s">
        <v>71</v>
      </c>
      <c r="D29" s="34" t="s">
        <v>14</v>
      </c>
      <c r="E29" s="34" t="s">
        <v>11</v>
      </c>
      <c r="F29" s="30">
        <v>38778.0</v>
      </c>
      <c r="G29" s="31">
        <f t="shared" si="1"/>
        <v>20.36712329</v>
      </c>
      <c r="H29" s="9">
        <v>27.0</v>
      </c>
      <c r="I29" s="32">
        <v>5.0</v>
      </c>
      <c r="J29" s="368" t="s">
        <v>1846</v>
      </c>
    </row>
    <row r="30">
      <c r="B30" s="27">
        <v>28.0</v>
      </c>
      <c r="C30" s="34" t="s">
        <v>1104</v>
      </c>
      <c r="D30" s="34" t="s">
        <v>36</v>
      </c>
      <c r="E30" s="34" t="s">
        <v>1384</v>
      </c>
      <c r="F30" s="30">
        <v>39111.0</v>
      </c>
      <c r="G30" s="31">
        <f t="shared" si="1"/>
        <v>19.45479452</v>
      </c>
      <c r="H30" s="49">
        <v>28.0</v>
      </c>
      <c r="I30" s="32">
        <v>2.0</v>
      </c>
      <c r="J30" s="368" t="s">
        <v>1847</v>
      </c>
    </row>
    <row r="31">
      <c r="B31" s="5">
        <v>29.0</v>
      </c>
      <c r="C31" s="6" t="s">
        <v>94</v>
      </c>
      <c r="D31" s="6" t="s">
        <v>25</v>
      </c>
      <c r="E31" s="6" t="s">
        <v>95</v>
      </c>
      <c r="F31" s="12">
        <v>36894.0</v>
      </c>
      <c r="G31" s="8">
        <f t="shared" si="1"/>
        <v>25.5260274</v>
      </c>
      <c r="H31" s="9">
        <v>29.0</v>
      </c>
      <c r="I31" s="9">
        <v>6.0</v>
      </c>
      <c r="J31" s="339" t="s">
        <v>1848</v>
      </c>
    </row>
    <row r="32">
      <c r="B32" s="5">
        <v>30.0</v>
      </c>
      <c r="C32" s="11" t="s">
        <v>102</v>
      </c>
      <c r="D32" s="11" t="s">
        <v>14</v>
      </c>
      <c r="E32" s="11" t="s">
        <v>90</v>
      </c>
      <c r="F32" s="12">
        <v>37125.0</v>
      </c>
      <c r="G32" s="8">
        <f t="shared" si="1"/>
        <v>24.89315068</v>
      </c>
      <c r="H32" s="49">
        <v>30.0</v>
      </c>
      <c r="I32" s="9">
        <v>-3.0</v>
      </c>
      <c r="J32" s="42" t="s">
        <v>1849</v>
      </c>
    </row>
    <row r="33">
      <c r="B33" s="5">
        <v>31.0</v>
      </c>
      <c r="C33" s="11" t="s">
        <v>86</v>
      </c>
      <c r="D33" s="6" t="s">
        <v>74</v>
      </c>
      <c r="E33" s="6" t="s">
        <v>87</v>
      </c>
      <c r="F33" s="12">
        <v>37539.0</v>
      </c>
      <c r="G33" s="8">
        <f t="shared" si="1"/>
        <v>23.75890411</v>
      </c>
      <c r="H33" s="9">
        <v>31.0</v>
      </c>
      <c r="I33" s="9">
        <v>0.0</v>
      </c>
      <c r="J33" s="42" t="s">
        <v>88</v>
      </c>
    </row>
    <row r="34">
      <c r="B34" s="5">
        <v>32.0</v>
      </c>
      <c r="C34" s="11" t="s">
        <v>118</v>
      </c>
      <c r="D34" s="11" t="s">
        <v>25</v>
      </c>
      <c r="E34" s="11" t="s">
        <v>82</v>
      </c>
      <c r="F34" s="12">
        <v>37572.0</v>
      </c>
      <c r="G34" s="8">
        <f t="shared" si="1"/>
        <v>23.66849315</v>
      </c>
      <c r="H34" s="49">
        <v>32.0</v>
      </c>
      <c r="I34" s="9">
        <v>-4.0</v>
      </c>
      <c r="J34" s="339" t="s">
        <v>1850</v>
      </c>
    </row>
    <row r="35">
      <c r="B35" s="5">
        <v>33.0</v>
      </c>
      <c r="C35" s="11" t="s">
        <v>116</v>
      </c>
      <c r="D35" s="11" t="s">
        <v>10</v>
      </c>
      <c r="E35" s="11" t="s">
        <v>37</v>
      </c>
      <c r="F35" s="12">
        <v>35018.0</v>
      </c>
      <c r="G35" s="8">
        <f t="shared" si="1"/>
        <v>30.66027397</v>
      </c>
      <c r="H35" s="9">
        <v>33.0</v>
      </c>
      <c r="I35" s="9">
        <v>-10.0</v>
      </c>
      <c r="J35" s="42" t="s">
        <v>1851</v>
      </c>
    </row>
    <row r="36">
      <c r="B36" s="5">
        <v>34.0</v>
      </c>
      <c r="C36" s="6" t="s">
        <v>138</v>
      </c>
      <c r="D36" s="11" t="s">
        <v>10</v>
      </c>
      <c r="E36" s="6" t="s">
        <v>66</v>
      </c>
      <c r="F36" s="12">
        <v>38468.0</v>
      </c>
      <c r="G36" s="8">
        <f t="shared" si="1"/>
        <v>21.21643836</v>
      </c>
      <c r="H36" s="49">
        <v>34.0</v>
      </c>
      <c r="I36" s="9">
        <v>7.0</v>
      </c>
      <c r="J36" s="339" t="s">
        <v>1852</v>
      </c>
    </row>
    <row r="37">
      <c r="B37" s="5">
        <v>35.0</v>
      </c>
      <c r="C37" s="11" t="s">
        <v>113</v>
      </c>
      <c r="D37" s="11" t="s">
        <v>77</v>
      </c>
      <c r="E37" s="11" t="s">
        <v>114</v>
      </c>
      <c r="F37" s="12">
        <v>36695.0</v>
      </c>
      <c r="G37" s="8">
        <f t="shared" si="1"/>
        <v>26.06975822</v>
      </c>
      <c r="H37" s="9">
        <v>35.0</v>
      </c>
      <c r="I37" s="9">
        <v>1.0</v>
      </c>
      <c r="J37" s="339" t="s">
        <v>1853</v>
      </c>
    </row>
    <row r="38">
      <c r="B38" s="5">
        <v>36.0</v>
      </c>
      <c r="C38" s="15" t="s">
        <v>108</v>
      </c>
      <c r="D38" s="11" t="s">
        <v>21</v>
      </c>
      <c r="E38" s="11" t="s">
        <v>29</v>
      </c>
      <c r="F38" s="46">
        <v>37943.0</v>
      </c>
      <c r="G38" s="8">
        <f t="shared" si="1"/>
        <v>22.65205479</v>
      </c>
      <c r="H38" s="49">
        <v>36.0</v>
      </c>
      <c r="I38" s="9">
        <v>9.0</v>
      </c>
      <c r="J38" s="339" t="s">
        <v>1854</v>
      </c>
    </row>
    <row r="39">
      <c r="B39" s="239">
        <v>37.0</v>
      </c>
      <c r="C39" s="11" t="s">
        <v>97</v>
      </c>
      <c r="D39" s="11" t="s">
        <v>14</v>
      </c>
      <c r="E39" s="11" t="s">
        <v>69</v>
      </c>
      <c r="F39" s="12">
        <v>36551.0</v>
      </c>
      <c r="G39" s="8">
        <f t="shared" si="1"/>
        <v>26.46320084</v>
      </c>
      <c r="H39" s="9">
        <v>37.0</v>
      </c>
      <c r="I39" s="9">
        <v>0.0</v>
      </c>
      <c r="J39" s="339" t="s">
        <v>1855</v>
      </c>
    </row>
    <row r="40">
      <c r="B40" s="239">
        <v>38.0</v>
      </c>
      <c r="C40" s="11" t="s">
        <v>173</v>
      </c>
      <c r="D40" s="11" t="s">
        <v>14</v>
      </c>
      <c r="E40" s="6" t="s">
        <v>11</v>
      </c>
      <c r="F40" s="12">
        <v>35784.0</v>
      </c>
      <c r="G40" s="8">
        <f t="shared" si="1"/>
        <v>28.56438356</v>
      </c>
      <c r="H40" s="49">
        <v>38.0</v>
      </c>
      <c r="I40" s="9">
        <v>-4.0</v>
      </c>
      <c r="J40" s="339" t="s">
        <v>1856</v>
      </c>
    </row>
    <row r="41">
      <c r="B41" s="239">
        <v>39.0</v>
      </c>
      <c r="C41" s="11" t="s">
        <v>120</v>
      </c>
      <c r="D41" s="11" t="s">
        <v>10</v>
      </c>
      <c r="E41" s="11" t="s">
        <v>49</v>
      </c>
      <c r="F41" s="12">
        <v>36418.0</v>
      </c>
      <c r="G41" s="8">
        <f t="shared" si="1"/>
        <v>26.82739726</v>
      </c>
      <c r="H41" s="9">
        <v>39.0</v>
      </c>
      <c r="I41" s="9">
        <v>-10.0</v>
      </c>
      <c r="J41" s="42" t="s">
        <v>1857</v>
      </c>
    </row>
    <row r="42">
      <c r="B42" s="239">
        <v>40.0</v>
      </c>
      <c r="C42" s="11" t="s">
        <v>100</v>
      </c>
      <c r="D42" s="11" t="s">
        <v>14</v>
      </c>
      <c r="E42" s="11" t="s">
        <v>22</v>
      </c>
      <c r="F42" s="12">
        <v>35484.0</v>
      </c>
      <c r="G42" s="8">
        <f t="shared" si="1"/>
        <v>29.38630137</v>
      </c>
      <c r="H42" s="49">
        <v>40.0</v>
      </c>
      <c r="I42" s="9">
        <v>6.0</v>
      </c>
      <c r="J42" s="42" t="s">
        <v>1858</v>
      </c>
    </row>
    <row r="43">
      <c r="B43" s="239">
        <v>41.0</v>
      </c>
      <c r="C43" s="11" t="s">
        <v>127</v>
      </c>
      <c r="D43" s="11" t="s">
        <v>10</v>
      </c>
      <c r="E43" s="11" t="s">
        <v>128</v>
      </c>
      <c r="F43" s="12">
        <v>35629.0</v>
      </c>
      <c r="G43" s="8">
        <f t="shared" si="1"/>
        <v>28.9890411</v>
      </c>
      <c r="H43" s="9">
        <v>41.0</v>
      </c>
      <c r="I43" s="9">
        <v>-1.0</v>
      </c>
      <c r="J43" s="339" t="s">
        <v>1859</v>
      </c>
    </row>
    <row r="44">
      <c r="B44" s="239">
        <v>42.0</v>
      </c>
      <c r="C44" s="6" t="s">
        <v>122</v>
      </c>
      <c r="D44" s="6" t="s">
        <v>36</v>
      </c>
      <c r="E44" s="6" t="s">
        <v>32</v>
      </c>
      <c r="F44" s="12">
        <v>35362.0</v>
      </c>
      <c r="G44" s="8">
        <f t="shared" si="1"/>
        <v>29.72003144</v>
      </c>
      <c r="H44" s="49">
        <v>42.0</v>
      </c>
      <c r="I44" s="9">
        <v>-4.0</v>
      </c>
      <c r="J44" s="339" t="s">
        <v>1860</v>
      </c>
    </row>
    <row r="45">
      <c r="B45" s="27">
        <v>43.0</v>
      </c>
      <c r="C45" s="34" t="s">
        <v>89</v>
      </c>
      <c r="D45" s="34" t="s">
        <v>36</v>
      </c>
      <c r="E45" s="34" t="s">
        <v>90</v>
      </c>
      <c r="F45" s="30">
        <v>38567.0</v>
      </c>
      <c r="G45" s="31">
        <f t="shared" si="1"/>
        <v>20.94520548</v>
      </c>
      <c r="H45" s="9">
        <v>43.0</v>
      </c>
      <c r="I45" s="9">
        <v>22.0</v>
      </c>
      <c r="J45" s="340" t="s">
        <v>1861</v>
      </c>
    </row>
    <row r="46">
      <c r="B46" s="239">
        <v>44.0</v>
      </c>
      <c r="C46" s="15" t="s">
        <v>195</v>
      </c>
      <c r="D46" s="11" t="s">
        <v>14</v>
      </c>
      <c r="E46" s="11" t="s">
        <v>128</v>
      </c>
      <c r="F46" s="12">
        <v>36545.0</v>
      </c>
      <c r="G46" s="8">
        <f t="shared" si="1"/>
        <v>26.47959428</v>
      </c>
      <c r="H46" s="49">
        <v>44.0</v>
      </c>
      <c r="I46" s="9">
        <v>0.0</v>
      </c>
      <c r="J46" s="339" t="s">
        <v>1862</v>
      </c>
    </row>
    <row r="47">
      <c r="B47" s="239">
        <v>45.0</v>
      </c>
      <c r="C47" s="11" t="s">
        <v>166</v>
      </c>
      <c r="D47" s="11" t="s">
        <v>10</v>
      </c>
      <c r="E47" s="11" t="s">
        <v>167</v>
      </c>
      <c r="F47" s="12">
        <v>35188.0</v>
      </c>
      <c r="G47" s="8">
        <f t="shared" si="1"/>
        <v>30.19544128</v>
      </c>
      <c r="H47" s="9">
        <v>45.0</v>
      </c>
      <c r="I47" s="9">
        <v>-2.0</v>
      </c>
      <c r="J47" s="339" t="s">
        <v>1863</v>
      </c>
    </row>
    <row r="48">
      <c r="B48" s="239">
        <v>46.0</v>
      </c>
      <c r="C48" s="11" t="s">
        <v>178</v>
      </c>
      <c r="D48" s="11" t="s">
        <v>10</v>
      </c>
      <c r="E48" s="6" t="s">
        <v>26</v>
      </c>
      <c r="F48" s="12">
        <v>34039.0</v>
      </c>
      <c r="G48" s="8">
        <f t="shared" si="1"/>
        <v>33.34246575</v>
      </c>
      <c r="H48" s="49">
        <v>46.0</v>
      </c>
      <c r="I48" s="9">
        <v>-4.0</v>
      </c>
      <c r="J48" s="339" t="s">
        <v>1864</v>
      </c>
    </row>
    <row r="49">
      <c r="B49" s="27">
        <v>47.0</v>
      </c>
      <c r="C49" s="34" t="s">
        <v>130</v>
      </c>
      <c r="D49" s="34" t="s">
        <v>14</v>
      </c>
      <c r="E49" s="34" t="s">
        <v>40</v>
      </c>
      <c r="F49" s="30">
        <v>38563.0</v>
      </c>
      <c r="G49" s="31">
        <f t="shared" si="1"/>
        <v>20.95616438</v>
      </c>
      <c r="H49" s="9">
        <v>47.0</v>
      </c>
      <c r="I49" s="32">
        <v>-8.0</v>
      </c>
      <c r="J49" s="368" t="s">
        <v>1865</v>
      </c>
    </row>
    <row r="50">
      <c r="B50" s="239">
        <v>48.0</v>
      </c>
      <c r="C50" s="11" t="s">
        <v>144</v>
      </c>
      <c r="D50" s="11" t="s">
        <v>36</v>
      </c>
      <c r="E50" s="6" t="s">
        <v>82</v>
      </c>
      <c r="F50" s="12">
        <v>35971.0</v>
      </c>
      <c r="G50" s="8">
        <f t="shared" si="1"/>
        <v>28.05205479</v>
      </c>
      <c r="H50" s="49">
        <v>48.0</v>
      </c>
      <c r="I50" s="9">
        <v>3.0</v>
      </c>
      <c r="J50" s="339" t="s">
        <v>1866</v>
      </c>
    </row>
    <row r="51">
      <c r="B51" s="239">
        <v>49.0</v>
      </c>
      <c r="C51" s="11" t="s">
        <v>140</v>
      </c>
      <c r="D51" s="11" t="s">
        <v>25</v>
      </c>
      <c r="E51" s="11" t="s">
        <v>58</v>
      </c>
      <c r="F51" s="12">
        <v>35572.0</v>
      </c>
      <c r="G51" s="8">
        <f t="shared" si="1"/>
        <v>29.14520548</v>
      </c>
      <c r="H51" s="9">
        <v>49.0</v>
      </c>
      <c r="I51" s="9">
        <v>0.0</v>
      </c>
      <c r="J51" s="339" t="s">
        <v>1867</v>
      </c>
    </row>
    <row r="52">
      <c r="B52" s="239">
        <v>50.0</v>
      </c>
      <c r="C52" s="11" t="s">
        <v>171</v>
      </c>
      <c r="D52" s="11" t="s">
        <v>25</v>
      </c>
      <c r="E52" s="6" t="s">
        <v>55</v>
      </c>
      <c r="F52" s="12">
        <v>32415.0</v>
      </c>
      <c r="G52" s="8">
        <f t="shared" si="1"/>
        <v>37.78833745</v>
      </c>
      <c r="H52" s="49">
        <v>50.0</v>
      </c>
      <c r="I52" s="9">
        <v>-3.0</v>
      </c>
      <c r="J52" s="339" t="s">
        <v>1868</v>
      </c>
    </row>
    <row r="53">
      <c r="B53" s="5">
        <v>51.0</v>
      </c>
      <c r="C53" s="11" t="s">
        <v>169</v>
      </c>
      <c r="D53" s="11" t="s">
        <v>14</v>
      </c>
      <c r="E53" s="11" t="s">
        <v>98</v>
      </c>
      <c r="F53" s="39">
        <v>32746.0</v>
      </c>
      <c r="G53" s="8">
        <f t="shared" si="1"/>
        <v>36.88219178</v>
      </c>
      <c r="H53" s="9">
        <v>51.0</v>
      </c>
      <c r="I53" s="9">
        <v>1.0</v>
      </c>
      <c r="J53" s="339" t="s">
        <v>1869</v>
      </c>
    </row>
    <row r="54">
      <c r="B54" s="5">
        <v>52.0</v>
      </c>
      <c r="C54" s="14" t="s">
        <v>142</v>
      </c>
      <c r="D54" s="14" t="s">
        <v>21</v>
      </c>
      <c r="E54" s="14" t="s">
        <v>49</v>
      </c>
      <c r="F54" s="16">
        <v>37390.0</v>
      </c>
      <c r="G54" s="17">
        <f t="shared" si="1"/>
        <v>24.16712329</v>
      </c>
      <c r="H54" s="49">
        <v>52.0</v>
      </c>
      <c r="I54" s="9">
        <v>36.0</v>
      </c>
      <c r="J54" s="369" t="s">
        <v>1870</v>
      </c>
    </row>
    <row r="55">
      <c r="B55" s="5">
        <v>53.0</v>
      </c>
      <c r="C55" s="11" t="s">
        <v>175</v>
      </c>
      <c r="D55" s="11" t="s">
        <v>14</v>
      </c>
      <c r="E55" s="6" t="s">
        <v>176</v>
      </c>
      <c r="F55" s="12">
        <v>32216.0</v>
      </c>
      <c r="G55" s="8">
        <f t="shared" si="1"/>
        <v>38.3320533</v>
      </c>
      <c r="H55" s="9">
        <v>53.0</v>
      </c>
      <c r="I55" s="9">
        <v>2.0</v>
      </c>
      <c r="J55" s="339" t="s">
        <v>1871</v>
      </c>
    </row>
    <row r="56">
      <c r="B56" s="239">
        <v>54.0</v>
      </c>
      <c r="C56" s="6" t="s">
        <v>134</v>
      </c>
      <c r="D56" s="6" t="s">
        <v>25</v>
      </c>
      <c r="E56" s="6" t="s">
        <v>90</v>
      </c>
      <c r="F56" s="12">
        <v>37582.0</v>
      </c>
      <c r="G56" s="8">
        <f t="shared" si="1"/>
        <v>23.64109589</v>
      </c>
      <c r="H56" s="49">
        <v>54.0</v>
      </c>
      <c r="I56" s="9">
        <v>5.0</v>
      </c>
      <c r="J56" s="339" t="s">
        <v>1415</v>
      </c>
    </row>
    <row r="57">
      <c r="B57" s="239">
        <v>55.0</v>
      </c>
      <c r="C57" s="6" t="s">
        <v>155</v>
      </c>
      <c r="D57" s="6" t="s">
        <v>21</v>
      </c>
      <c r="E57" s="6" t="s">
        <v>98</v>
      </c>
      <c r="F57" s="12">
        <v>35507.0</v>
      </c>
      <c r="G57" s="8">
        <f t="shared" si="1"/>
        <v>29.32328767</v>
      </c>
      <c r="H57" s="9">
        <v>55.0</v>
      </c>
      <c r="I57" s="9">
        <v>2.0</v>
      </c>
      <c r="J57" s="339" t="s">
        <v>1872</v>
      </c>
    </row>
    <row r="58">
      <c r="B58" s="27">
        <v>56.0</v>
      </c>
      <c r="C58" s="34" t="s">
        <v>1107</v>
      </c>
      <c r="D58" s="34" t="s">
        <v>25</v>
      </c>
      <c r="E58" s="34" t="s">
        <v>1398</v>
      </c>
      <c r="F58" s="30">
        <v>38916.0</v>
      </c>
      <c r="G58" s="31">
        <f t="shared" si="1"/>
        <v>19.9890411</v>
      </c>
      <c r="H58" s="49">
        <v>56.0</v>
      </c>
      <c r="I58" s="9">
        <v>-3.0</v>
      </c>
      <c r="J58" s="340" t="s">
        <v>1873</v>
      </c>
    </row>
    <row r="59">
      <c r="B59" s="27">
        <v>57.0</v>
      </c>
      <c r="C59" s="28" t="s">
        <v>1119</v>
      </c>
      <c r="D59" s="34" t="s">
        <v>14</v>
      </c>
      <c r="E59" s="28" t="s">
        <v>1407</v>
      </c>
      <c r="F59" s="44">
        <v>39085.0</v>
      </c>
      <c r="G59" s="31">
        <f t="shared" si="1"/>
        <v>19.5260274</v>
      </c>
      <c r="H59" s="9">
        <v>57.0</v>
      </c>
      <c r="I59" s="9" t="s">
        <v>371</v>
      </c>
      <c r="J59" s="340" t="s">
        <v>1874</v>
      </c>
    </row>
    <row r="60">
      <c r="B60" s="5">
        <v>58.0</v>
      </c>
      <c r="C60" s="6" t="s">
        <v>191</v>
      </c>
      <c r="D60" s="6" t="s">
        <v>10</v>
      </c>
      <c r="E60" s="6" t="s">
        <v>46</v>
      </c>
      <c r="F60" s="12">
        <v>34426.0</v>
      </c>
      <c r="G60" s="8">
        <f t="shared" si="1"/>
        <v>32.28219178</v>
      </c>
      <c r="H60" s="49">
        <v>58.0</v>
      </c>
      <c r="I60" s="9">
        <v>-8.0</v>
      </c>
      <c r="J60" s="339" t="s">
        <v>1875</v>
      </c>
    </row>
    <row r="61">
      <c r="B61" s="5">
        <v>59.0</v>
      </c>
      <c r="C61" s="6" t="s">
        <v>132</v>
      </c>
      <c r="D61" s="6" t="s">
        <v>74</v>
      </c>
      <c r="E61" s="6" t="s">
        <v>11</v>
      </c>
      <c r="F61" s="12">
        <v>38292.0</v>
      </c>
      <c r="G61" s="8">
        <f t="shared" si="1"/>
        <v>21.69817352</v>
      </c>
      <c r="H61" s="9">
        <v>59.0</v>
      </c>
      <c r="I61" s="9">
        <v>10.0</v>
      </c>
      <c r="J61" s="339" t="s">
        <v>1876</v>
      </c>
    </row>
    <row r="62">
      <c r="B62" s="5">
        <v>60.0</v>
      </c>
      <c r="C62" s="6" t="s">
        <v>203</v>
      </c>
      <c r="D62" s="6" t="s">
        <v>14</v>
      </c>
      <c r="E62" s="6" t="s">
        <v>43</v>
      </c>
      <c r="F62" s="12">
        <v>37697.0</v>
      </c>
      <c r="G62" s="8">
        <f t="shared" si="1"/>
        <v>23.3260274</v>
      </c>
      <c r="H62" s="49">
        <v>60.0</v>
      </c>
      <c r="I62" s="9">
        <v>-4.0</v>
      </c>
      <c r="J62" s="339" t="s">
        <v>1877</v>
      </c>
    </row>
    <row r="63">
      <c r="B63" s="27">
        <v>61.0</v>
      </c>
      <c r="C63" s="34" t="s">
        <v>232</v>
      </c>
      <c r="D63" s="34" t="s">
        <v>10</v>
      </c>
      <c r="E63" s="34" t="s">
        <v>114</v>
      </c>
      <c r="F63" s="30">
        <v>38348.0</v>
      </c>
      <c r="G63" s="31">
        <f t="shared" si="1"/>
        <v>21.54516805</v>
      </c>
      <c r="H63" s="9">
        <v>61.0</v>
      </c>
      <c r="I63" s="9">
        <v>24.0</v>
      </c>
      <c r="J63" s="368" t="s">
        <v>1878</v>
      </c>
    </row>
    <row r="64">
      <c r="B64" s="5">
        <v>62.0</v>
      </c>
      <c r="C64" s="6" t="s">
        <v>163</v>
      </c>
      <c r="D64" s="11" t="s">
        <v>21</v>
      </c>
      <c r="E64" s="6" t="s">
        <v>128</v>
      </c>
      <c r="F64" s="12">
        <v>38097.0</v>
      </c>
      <c r="G64" s="8">
        <f t="shared" si="1"/>
        <v>22.2309604</v>
      </c>
      <c r="H64" s="49">
        <v>62.0</v>
      </c>
      <c r="I64" s="9">
        <v>17.0</v>
      </c>
      <c r="J64" s="339" t="s">
        <v>1879</v>
      </c>
    </row>
    <row r="65">
      <c r="B65" s="5">
        <v>63.0</v>
      </c>
      <c r="C65" s="11" t="s">
        <v>189</v>
      </c>
      <c r="D65" s="11" t="s">
        <v>10</v>
      </c>
      <c r="E65" s="11" t="s">
        <v>114</v>
      </c>
      <c r="F65" s="12">
        <v>36713.0</v>
      </c>
      <c r="G65" s="8">
        <f t="shared" si="1"/>
        <v>26.02057789</v>
      </c>
      <c r="H65" s="9">
        <v>63.0</v>
      </c>
      <c r="I65" s="9">
        <v>-9.0</v>
      </c>
      <c r="J65" s="339" t="s">
        <v>1880</v>
      </c>
    </row>
    <row r="66">
      <c r="B66" s="5">
        <v>64.0</v>
      </c>
      <c r="C66" s="11" t="s">
        <v>217</v>
      </c>
      <c r="D66" s="11" t="s">
        <v>14</v>
      </c>
      <c r="E66" s="11" t="s">
        <v>49</v>
      </c>
      <c r="F66" s="12">
        <v>36382.0</v>
      </c>
      <c r="G66" s="8">
        <f t="shared" si="1"/>
        <v>26.9260274</v>
      </c>
      <c r="H66" s="49">
        <v>64.0</v>
      </c>
      <c r="I66" s="9">
        <v>-2.0</v>
      </c>
      <c r="J66" s="339" t="s">
        <v>1426</v>
      </c>
    </row>
    <row r="67">
      <c r="B67" s="5">
        <v>65.0</v>
      </c>
      <c r="C67" s="6" t="s">
        <v>224</v>
      </c>
      <c r="D67" s="11" t="s">
        <v>36</v>
      </c>
      <c r="E67" s="11" t="s">
        <v>29</v>
      </c>
      <c r="F67" s="12">
        <v>37651.0</v>
      </c>
      <c r="G67" s="8">
        <f t="shared" si="1"/>
        <v>23.45205479</v>
      </c>
      <c r="H67" s="9">
        <v>65.0</v>
      </c>
      <c r="I67" s="9">
        <v>-17.0</v>
      </c>
      <c r="J67" s="42" t="s">
        <v>1881</v>
      </c>
    </row>
    <row r="68">
      <c r="B68" s="239">
        <v>66.0</v>
      </c>
      <c r="C68" s="6" t="s">
        <v>150</v>
      </c>
      <c r="D68" s="6" t="s">
        <v>10</v>
      </c>
      <c r="E68" s="6" t="s">
        <v>43</v>
      </c>
      <c r="F68" s="12">
        <v>36871.0</v>
      </c>
      <c r="G68" s="8">
        <f t="shared" si="1"/>
        <v>25.5888839</v>
      </c>
      <c r="H68" s="49">
        <v>66.0</v>
      </c>
      <c r="I68" s="49">
        <v>0.0</v>
      </c>
      <c r="J68" s="339" t="s">
        <v>1882</v>
      </c>
    </row>
    <row r="69">
      <c r="B69" s="239">
        <v>67.0</v>
      </c>
      <c r="C69" s="6" t="s">
        <v>187</v>
      </c>
      <c r="D69" s="6" t="s">
        <v>25</v>
      </c>
      <c r="E69" s="6" t="s">
        <v>87</v>
      </c>
      <c r="F69" s="12">
        <v>38263.0</v>
      </c>
      <c r="G69" s="8">
        <f t="shared" si="1"/>
        <v>21.77740849</v>
      </c>
      <c r="H69" s="9">
        <v>67.0</v>
      </c>
      <c r="I69" s="9">
        <v>-7.0</v>
      </c>
      <c r="J69" s="339" t="s">
        <v>1433</v>
      </c>
    </row>
    <row r="70">
      <c r="B70" s="239">
        <v>68.0</v>
      </c>
      <c r="C70" s="11" t="s">
        <v>180</v>
      </c>
      <c r="D70" s="11" t="s">
        <v>77</v>
      </c>
      <c r="E70" s="6" t="s">
        <v>106</v>
      </c>
      <c r="F70" s="12">
        <v>35628.0</v>
      </c>
      <c r="G70" s="8">
        <f t="shared" si="1"/>
        <v>28.99178082</v>
      </c>
      <c r="H70" s="49">
        <v>68.0</v>
      </c>
      <c r="I70" s="9">
        <v>-7.0</v>
      </c>
      <c r="J70" s="339" t="s">
        <v>181</v>
      </c>
    </row>
    <row r="71">
      <c r="B71" s="27">
        <v>69.0</v>
      </c>
      <c r="C71" s="34" t="s">
        <v>1113</v>
      </c>
      <c r="D71" s="34" t="s">
        <v>14</v>
      </c>
      <c r="E71" s="34" t="s">
        <v>1437</v>
      </c>
      <c r="F71" s="30">
        <v>38810.0</v>
      </c>
      <c r="G71" s="31">
        <f t="shared" si="1"/>
        <v>20.27945205</v>
      </c>
      <c r="H71" s="9">
        <v>69.0</v>
      </c>
      <c r="I71" s="9">
        <v>-11.0</v>
      </c>
      <c r="J71" s="368" t="s">
        <v>159</v>
      </c>
    </row>
    <row r="72">
      <c r="B72" s="5">
        <v>70.0</v>
      </c>
      <c r="C72" s="14" t="s">
        <v>228</v>
      </c>
      <c r="D72" s="14" t="s">
        <v>21</v>
      </c>
      <c r="E72" s="14" t="s">
        <v>15</v>
      </c>
      <c r="F72" s="16">
        <v>35920.0</v>
      </c>
      <c r="G72" s="17">
        <f t="shared" si="1"/>
        <v>28.19178082</v>
      </c>
      <c r="H72" s="49">
        <v>70.0</v>
      </c>
      <c r="I72" s="9">
        <v>-7.0</v>
      </c>
      <c r="J72" s="370" t="s">
        <v>1883</v>
      </c>
    </row>
    <row r="73">
      <c r="B73" s="239">
        <v>71.0</v>
      </c>
      <c r="C73" s="6" t="s">
        <v>201</v>
      </c>
      <c r="D73" s="6" t="s">
        <v>14</v>
      </c>
      <c r="E73" s="6" t="s">
        <v>26</v>
      </c>
      <c r="F73" s="12">
        <v>33686.0</v>
      </c>
      <c r="G73" s="8">
        <f t="shared" si="1"/>
        <v>34.30746313</v>
      </c>
      <c r="H73" s="9">
        <v>71.0</v>
      </c>
      <c r="I73" s="9">
        <v>2.0</v>
      </c>
      <c r="J73" s="339" t="s">
        <v>1436</v>
      </c>
    </row>
    <row r="74">
      <c r="B74" s="239">
        <v>72.0</v>
      </c>
      <c r="C74" s="14" t="s">
        <v>185</v>
      </c>
      <c r="D74" s="6" t="s">
        <v>14</v>
      </c>
      <c r="E74" s="6" t="s">
        <v>32</v>
      </c>
      <c r="F74" s="12">
        <v>34517.0</v>
      </c>
      <c r="G74" s="8">
        <f t="shared" si="1"/>
        <v>32.03287671</v>
      </c>
      <c r="H74" s="49">
        <v>72.0</v>
      </c>
      <c r="I74" s="9">
        <v>-4.0</v>
      </c>
      <c r="J74" s="339" t="s">
        <v>1884</v>
      </c>
    </row>
    <row r="75">
      <c r="B75" s="239">
        <v>73.0</v>
      </c>
      <c r="C75" s="11" t="s">
        <v>234</v>
      </c>
      <c r="D75" s="11" t="s">
        <v>36</v>
      </c>
      <c r="E75" s="6" t="s">
        <v>106</v>
      </c>
      <c r="F75" s="12">
        <v>35307.0</v>
      </c>
      <c r="G75" s="8">
        <f t="shared" si="1"/>
        <v>29.87030466</v>
      </c>
      <c r="H75" s="9">
        <v>73.0</v>
      </c>
      <c r="I75" s="9">
        <v>2.0</v>
      </c>
      <c r="J75" s="339" t="s">
        <v>1885</v>
      </c>
    </row>
    <row r="76">
      <c r="B76" s="239">
        <v>74.0</v>
      </c>
      <c r="C76" s="6" t="s">
        <v>226</v>
      </c>
      <c r="D76" s="6" t="s">
        <v>14</v>
      </c>
      <c r="E76" s="6" t="s">
        <v>55</v>
      </c>
      <c r="F76" s="12">
        <v>38162.0</v>
      </c>
      <c r="G76" s="8">
        <f t="shared" si="1"/>
        <v>22.05336477</v>
      </c>
      <c r="H76" s="49">
        <v>74.0</v>
      </c>
      <c r="I76" s="9">
        <v>6.0</v>
      </c>
      <c r="J76" s="339" t="s">
        <v>1434</v>
      </c>
    </row>
    <row r="77">
      <c r="B77" s="27">
        <v>75.0</v>
      </c>
      <c r="C77" s="34" t="s">
        <v>242</v>
      </c>
      <c r="D77" s="34" t="s">
        <v>25</v>
      </c>
      <c r="E77" s="34" t="s">
        <v>58</v>
      </c>
      <c r="F77" s="30">
        <v>38942.0</v>
      </c>
      <c r="G77" s="31">
        <f t="shared" si="1"/>
        <v>19.91780822</v>
      </c>
      <c r="H77" s="9">
        <v>75.0</v>
      </c>
      <c r="I77" s="9">
        <v>1.0</v>
      </c>
      <c r="J77" s="368" t="s">
        <v>1886</v>
      </c>
    </row>
    <row r="78">
      <c r="B78" s="5">
        <v>76.0</v>
      </c>
      <c r="C78" s="11" t="s">
        <v>152</v>
      </c>
      <c r="D78" s="11" t="s">
        <v>21</v>
      </c>
      <c r="E78" s="11" t="s">
        <v>58</v>
      </c>
      <c r="F78" s="12">
        <v>37098.0</v>
      </c>
      <c r="G78" s="8">
        <f t="shared" si="1"/>
        <v>24.96712329</v>
      </c>
      <c r="H78" s="49">
        <v>76.0</v>
      </c>
      <c r="I78" s="9">
        <v>-2.0</v>
      </c>
      <c r="J78" s="339" t="s">
        <v>1887</v>
      </c>
    </row>
    <row r="79">
      <c r="B79" s="239">
        <v>77.0</v>
      </c>
      <c r="C79" s="11" t="s">
        <v>240</v>
      </c>
      <c r="D79" s="11" t="s">
        <v>14</v>
      </c>
      <c r="E79" s="6" t="s">
        <v>95</v>
      </c>
      <c r="F79" s="12">
        <v>38020.0</v>
      </c>
      <c r="G79" s="8">
        <f t="shared" si="1"/>
        <v>22.44134291</v>
      </c>
      <c r="H79" s="9">
        <v>77.0</v>
      </c>
      <c r="I79" s="9">
        <v>-10.0</v>
      </c>
      <c r="J79" s="339" t="s">
        <v>1888</v>
      </c>
    </row>
    <row r="80">
      <c r="B80" s="239">
        <v>78.0</v>
      </c>
      <c r="C80" s="11" t="s">
        <v>160</v>
      </c>
      <c r="D80" s="11" t="s">
        <v>25</v>
      </c>
      <c r="E80" s="6" t="s">
        <v>52</v>
      </c>
      <c r="F80" s="12">
        <v>35675.0</v>
      </c>
      <c r="G80" s="8">
        <f t="shared" si="1"/>
        <v>28.8630137</v>
      </c>
      <c r="H80" s="49">
        <v>78.0</v>
      </c>
      <c r="I80" s="9">
        <v>-6.0</v>
      </c>
      <c r="J80" s="339" t="s">
        <v>1889</v>
      </c>
    </row>
    <row r="81">
      <c r="B81" s="27">
        <v>79.0</v>
      </c>
      <c r="C81" s="34" t="s">
        <v>276</v>
      </c>
      <c r="D81" s="34" t="s">
        <v>14</v>
      </c>
      <c r="E81" s="34" t="s">
        <v>114</v>
      </c>
      <c r="F81" s="30">
        <v>39004.0</v>
      </c>
      <c r="G81" s="31">
        <f t="shared" si="1"/>
        <v>19.74794521</v>
      </c>
      <c r="H81" s="9">
        <v>79.0</v>
      </c>
      <c r="I81" s="9">
        <v>16.0</v>
      </c>
      <c r="J81" s="368" t="s">
        <v>1452</v>
      </c>
    </row>
    <row r="82">
      <c r="B82" s="27">
        <v>80.0</v>
      </c>
      <c r="C82" s="34" t="s">
        <v>1170</v>
      </c>
      <c r="D82" s="34" t="s">
        <v>10</v>
      </c>
      <c r="E82" s="34" t="s">
        <v>1446</v>
      </c>
      <c r="F82" s="30">
        <v>39274.0</v>
      </c>
      <c r="G82" s="31">
        <f t="shared" si="1"/>
        <v>19.00821918</v>
      </c>
      <c r="H82" s="49">
        <v>80.0</v>
      </c>
      <c r="I82" s="9">
        <v>-16.0</v>
      </c>
      <c r="J82" s="340" t="s">
        <v>1890</v>
      </c>
    </row>
    <row r="83">
      <c r="B83" s="239">
        <v>81.0</v>
      </c>
      <c r="C83" s="6" t="s">
        <v>222</v>
      </c>
      <c r="D83" s="6" t="s">
        <v>21</v>
      </c>
      <c r="E83" s="6" t="s">
        <v>69</v>
      </c>
      <c r="F83" s="12">
        <v>35906.0</v>
      </c>
      <c r="G83" s="8">
        <f t="shared" si="1"/>
        <v>28.23013699</v>
      </c>
      <c r="H83" s="9">
        <v>81.0</v>
      </c>
      <c r="I83" s="9">
        <v>-10.0</v>
      </c>
      <c r="J83" s="339" t="s">
        <v>1891</v>
      </c>
    </row>
    <row r="84">
      <c r="B84" s="239">
        <v>82.0</v>
      </c>
      <c r="C84" s="11" t="s">
        <v>146</v>
      </c>
      <c r="D84" s="11" t="s">
        <v>14</v>
      </c>
      <c r="E84" s="11" t="s">
        <v>58</v>
      </c>
      <c r="F84" s="12">
        <v>37933.0</v>
      </c>
      <c r="G84" s="8">
        <f t="shared" si="1"/>
        <v>22.67945205</v>
      </c>
      <c r="H84" s="49">
        <v>82.0</v>
      </c>
      <c r="I84" s="9">
        <v>20.0</v>
      </c>
      <c r="J84" s="371" t="s">
        <v>1416</v>
      </c>
    </row>
    <row r="85">
      <c r="B85" s="239">
        <v>83.0</v>
      </c>
      <c r="C85" s="6" t="s">
        <v>220</v>
      </c>
      <c r="D85" s="6" t="s">
        <v>36</v>
      </c>
      <c r="E85" s="6" t="s">
        <v>66</v>
      </c>
      <c r="F85" s="46">
        <v>37967.0</v>
      </c>
      <c r="G85" s="8">
        <f t="shared" si="1"/>
        <v>22.58630137</v>
      </c>
      <c r="H85" s="9">
        <v>83.0</v>
      </c>
      <c r="I85" s="9">
        <v>3.0</v>
      </c>
      <c r="J85" s="371" t="s">
        <v>1892</v>
      </c>
    </row>
    <row r="86">
      <c r="B86" s="239">
        <v>84.0</v>
      </c>
      <c r="C86" s="6" t="s">
        <v>258</v>
      </c>
      <c r="D86" s="6" t="s">
        <v>14</v>
      </c>
      <c r="E86" s="6" t="s">
        <v>52</v>
      </c>
      <c r="F86" s="12">
        <v>36328.0</v>
      </c>
      <c r="G86" s="8">
        <f t="shared" si="1"/>
        <v>27.0739726</v>
      </c>
      <c r="H86" s="49">
        <v>84.0</v>
      </c>
      <c r="I86" s="9">
        <v>-7.0</v>
      </c>
      <c r="J86" s="42" t="s">
        <v>1893</v>
      </c>
    </row>
    <row r="87">
      <c r="B87" s="239">
        <v>85.0</v>
      </c>
      <c r="C87" s="6" t="s">
        <v>305</v>
      </c>
      <c r="D87" s="6" t="s">
        <v>21</v>
      </c>
      <c r="E87" s="6" t="s">
        <v>213</v>
      </c>
      <c r="F87" s="12">
        <v>35148.0</v>
      </c>
      <c r="G87" s="8">
        <f t="shared" si="1"/>
        <v>30.30473089</v>
      </c>
      <c r="H87" s="9">
        <v>85.0</v>
      </c>
      <c r="I87" s="9">
        <v>-15.0</v>
      </c>
      <c r="J87" s="42" t="s">
        <v>1894</v>
      </c>
    </row>
    <row r="88">
      <c r="B88" s="27">
        <v>86.0</v>
      </c>
      <c r="C88" s="34" t="s">
        <v>210</v>
      </c>
      <c r="D88" s="29" t="s">
        <v>36</v>
      </c>
      <c r="E88" s="29" t="s">
        <v>49</v>
      </c>
      <c r="F88" s="30">
        <v>37875.0</v>
      </c>
      <c r="G88" s="31">
        <f t="shared" si="1"/>
        <v>22.83835616</v>
      </c>
      <c r="H88" s="49">
        <v>86.0</v>
      </c>
      <c r="I88" s="9">
        <v>-3.0</v>
      </c>
      <c r="J88" s="340" t="s">
        <v>211</v>
      </c>
    </row>
    <row r="89">
      <c r="B89" s="239">
        <v>87.0</v>
      </c>
      <c r="C89" s="11" t="s">
        <v>215</v>
      </c>
      <c r="D89" s="11" t="s">
        <v>21</v>
      </c>
      <c r="E89" s="11" t="s">
        <v>40</v>
      </c>
      <c r="F89" s="12">
        <v>34409.0</v>
      </c>
      <c r="G89" s="8">
        <f t="shared" si="1"/>
        <v>32.32876712</v>
      </c>
      <c r="H89" s="9">
        <v>87.0</v>
      </c>
      <c r="I89" s="49">
        <v>0.0</v>
      </c>
      <c r="J89" s="42" t="s">
        <v>1445</v>
      </c>
    </row>
    <row r="90">
      <c r="B90" s="239">
        <v>88.0</v>
      </c>
      <c r="C90" s="11" t="s">
        <v>197</v>
      </c>
      <c r="D90" s="11" t="s">
        <v>25</v>
      </c>
      <c r="E90" s="11" t="s">
        <v>37</v>
      </c>
      <c r="F90" s="12">
        <v>36798.0</v>
      </c>
      <c r="G90" s="8">
        <f t="shared" si="1"/>
        <v>25.78833745</v>
      </c>
      <c r="H90" s="49">
        <v>88.0</v>
      </c>
      <c r="I90" s="9">
        <v>2.0</v>
      </c>
      <c r="J90" s="339" t="s">
        <v>1895</v>
      </c>
    </row>
    <row r="91">
      <c r="B91" s="239">
        <v>89.0</v>
      </c>
      <c r="C91" s="6" t="s">
        <v>199</v>
      </c>
      <c r="D91" s="6" t="s">
        <v>14</v>
      </c>
      <c r="E91" s="6" t="s">
        <v>82</v>
      </c>
      <c r="F91" s="12">
        <v>37045.0</v>
      </c>
      <c r="G91" s="8">
        <f t="shared" si="1"/>
        <v>25.11232877</v>
      </c>
      <c r="H91" s="9">
        <v>89.0</v>
      </c>
      <c r="I91" s="9">
        <v>-5.0</v>
      </c>
      <c r="J91" s="339" t="s">
        <v>1896</v>
      </c>
    </row>
    <row r="92">
      <c r="B92" s="239">
        <v>90.0</v>
      </c>
      <c r="C92" s="6" t="s">
        <v>238</v>
      </c>
      <c r="D92" s="6" t="s">
        <v>14</v>
      </c>
      <c r="E92" s="6" t="s">
        <v>87</v>
      </c>
      <c r="F92" s="12">
        <v>36572.0</v>
      </c>
      <c r="G92" s="8">
        <f t="shared" si="1"/>
        <v>26.40582379</v>
      </c>
      <c r="H92" s="49">
        <v>90.0</v>
      </c>
      <c r="I92" s="9">
        <v>-12.0</v>
      </c>
      <c r="J92" s="42" t="s">
        <v>1897</v>
      </c>
    </row>
    <row r="93">
      <c r="B93" s="5">
        <v>91.0</v>
      </c>
      <c r="C93" s="6" t="s">
        <v>136</v>
      </c>
      <c r="D93" s="11" t="s">
        <v>21</v>
      </c>
      <c r="E93" s="6" t="s">
        <v>95</v>
      </c>
      <c r="F93" s="12">
        <v>38040.0</v>
      </c>
      <c r="G93" s="8">
        <f t="shared" si="1"/>
        <v>22.38669811</v>
      </c>
      <c r="H93" s="9">
        <v>91.0</v>
      </c>
      <c r="I93" s="9">
        <v>1.0</v>
      </c>
      <c r="J93" s="339" t="s">
        <v>1898</v>
      </c>
    </row>
    <row r="94">
      <c r="B94" s="239">
        <v>92.0</v>
      </c>
      <c r="C94" s="6" t="s">
        <v>254</v>
      </c>
      <c r="D94" s="6" t="s">
        <v>25</v>
      </c>
      <c r="E94" s="6" t="s">
        <v>55</v>
      </c>
      <c r="F94" s="12">
        <v>37021.0</v>
      </c>
      <c r="G94" s="8">
        <f t="shared" si="1"/>
        <v>25.17808219</v>
      </c>
      <c r="H94" s="49">
        <v>92.0</v>
      </c>
      <c r="I94" s="9">
        <v>-3.0</v>
      </c>
      <c r="J94" s="339" t="s">
        <v>1899</v>
      </c>
    </row>
    <row r="95">
      <c r="B95" s="239">
        <v>93.0</v>
      </c>
      <c r="C95" s="11" t="s">
        <v>266</v>
      </c>
      <c r="D95" s="6" t="s">
        <v>267</v>
      </c>
      <c r="E95" s="6" t="s">
        <v>37</v>
      </c>
      <c r="F95" s="12">
        <v>34667.0</v>
      </c>
      <c r="G95" s="8">
        <f t="shared" si="1"/>
        <v>31.62191781</v>
      </c>
      <c r="H95" s="9">
        <v>93.0</v>
      </c>
      <c r="I95" s="9">
        <v>5.0</v>
      </c>
      <c r="J95" s="339" t="s">
        <v>1900</v>
      </c>
    </row>
    <row r="96">
      <c r="B96" s="239">
        <v>94.0</v>
      </c>
      <c r="C96" s="6" t="s">
        <v>280</v>
      </c>
      <c r="D96" s="6" t="s">
        <v>21</v>
      </c>
      <c r="E96" s="6" t="s">
        <v>111</v>
      </c>
      <c r="F96" s="12">
        <v>37241.0</v>
      </c>
      <c r="G96" s="8">
        <f t="shared" si="1"/>
        <v>24.57534247</v>
      </c>
      <c r="H96" s="49">
        <v>94.0</v>
      </c>
      <c r="I96" s="9">
        <v>0.0</v>
      </c>
      <c r="J96" s="339" t="s">
        <v>1901</v>
      </c>
    </row>
    <row r="97">
      <c r="B97" s="239">
        <v>95.0</v>
      </c>
      <c r="C97" s="6" t="s">
        <v>249</v>
      </c>
      <c r="D97" s="6" t="s">
        <v>25</v>
      </c>
      <c r="E97" s="6" t="s">
        <v>158</v>
      </c>
      <c r="F97" s="12">
        <v>35975.0</v>
      </c>
      <c r="G97" s="8">
        <f t="shared" si="1"/>
        <v>28.04109589</v>
      </c>
      <c r="H97" s="9">
        <v>95.0</v>
      </c>
      <c r="I97" s="9">
        <v>15.0</v>
      </c>
      <c r="J97" s="339" t="s">
        <v>1902</v>
      </c>
    </row>
    <row r="98">
      <c r="B98" s="239">
        <v>96.0</v>
      </c>
      <c r="C98" s="6" t="s">
        <v>358</v>
      </c>
      <c r="D98" s="11" t="s">
        <v>14</v>
      </c>
      <c r="E98" s="11" t="s">
        <v>40</v>
      </c>
      <c r="F98" s="12">
        <v>38037.0</v>
      </c>
      <c r="G98" s="8">
        <f t="shared" si="1"/>
        <v>22.39489483</v>
      </c>
      <c r="H98" s="49">
        <v>96.0</v>
      </c>
      <c r="I98" s="9">
        <v>-14.0</v>
      </c>
      <c r="J98" s="339" t="s">
        <v>1903</v>
      </c>
    </row>
    <row r="99">
      <c r="B99" s="239">
        <v>97.0</v>
      </c>
      <c r="C99" s="15" t="s">
        <v>327</v>
      </c>
      <c r="D99" s="15" t="s">
        <v>21</v>
      </c>
      <c r="E99" s="15" t="s">
        <v>52</v>
      </c>
      <c r="F99" s="16">
        <v>34987.0</v>
      </c>
      <c r="G99" s="17">
        <f t="shared" si="1"/>
        <v>30.74520548</v>
      </c>
      <c r="H99" s="9">
        <v>97.0</v>
      </c>
      <c r="I99" s="9">
        <v>2.0</v>
      </c>
      <c r="J99" s="370" t="s">
        <v>1904</v>
      </c>
    </row>
    <row r="100">
      <c r="B100" s="5">
        <v>98.0</v>
      </c>
      <c r="C100" s="6" t="s">
        <v>274</v>
      </c>
      <c r="D100" s="6" t="s">
        <v>14</v>
      </c>
      <c r="E100" s="6" t="s">
        <v>111</v>
      </c>
      <c r="F100" s="12">
        <v>37296.0</v>
      </c>
      <c r="G100" s="8">
        <f t="shared" si="1"/>
        <v>24.42465753</v>
      </c>
      <c r="H100" s="49">
        <v>98.0</v>
      </c>
      <c r="I100" s="9">
        <v>9.0</v>
      </c>
      <c r="J100" s="339" t="s">
        <v>1905</v>
      </c>
    </row>
    <row r="101">
      <c r="B101" s="5">
        <v>99.0</v>
      </c>
      <c r="C101" s="6" t="s">
        <v>322</v>
      </c>
      <c r="D101" s="6" t="s">
        <v>36</v>
      </c>
      <c r="E101" s="6" t="s">
        <v>95</v>
      </c>
      <c r="F101" s="12">
        <v>37771.0</v>
      </c>
      <c r="G101" s="8">
        <f t="shared" si="1"/>
        <v>23.12328767</v>
      </c>
      <c r="H101" s="9">
        <v>99.0</v>
      </c>
      <c r="I101" s="9">
        <v>-3.0</v>
      </c>
      <c r="J101" s="339" t="s">
        <v>1906</v>
      </c>
    </row>
    <row r="102">
      <c r="B102" s="5">
        <v>100.0</v>
      </c>
      <c r="C102" s="6" t="s">
        <v>555</v>
      </c>
      <c r="D102" s="6" t="s">
        <v>14</v>
      </c>
      <c r="E102" s="6" t="s">
        <v>114</v>
      </c>
      <c r="F102" s="12">
        <v>36330.0</v>
      </c>
      <c r="G102" s="8">
        <f t="shared" si="1"/>
        <v>27.06849315</v>
      </c>
      <c r="H102" s="49">
        <v>100.0</v>
      </c>
      <c r="I102" s="9">
        <v>-3.0</v>
      </c>
      <c r="J102" s="42" t="s">
        <v>1907</v>
      </c>
    </row>
    <row r="103">
      <c r="B103" s="239">
        <v>101.0</v>
      </c>
      <c r="C103" s="11" t="s">
        <v>246</v>
      </c>
      <c r="D103" s="6" t="s">
        <v>21</v>
      </c>
      <c r="E103" s="11" t="s">
        <v>158</v>
      </c>
      <c r="F103" s="12">
        <v>36267.0</v>
      </c>
      <c r="G103" s="8">
        <f t="shared" si="1"/>
        <v>27.24109589</v>
      </c>
      <c r="H103" s="9">
        <v>101.0</v>
      </c>
      <c r="I103" s="9">
        <v>14.0</v>
      </c>
      <c r="J103" s="339" t="s">
        <v>1908</v>
      </c>
    </row>
    <row r="104">
      <c r="B104" s="239">
        <v>102.0</v>
      </c>
      <c r="C104" s="11" t="s">
        <v>205</v>
      </c>
      <c r="D104" s="11" t="s">
        <v>36</v>
      </c>
      <c r="E104" s="11" t="s">
        <v>98</v>
      </c>
      <c r="F104" s="12">
        <v>33418.0</v>
      </c>
      <c r="G104" s="8">
        <f t="shared" si="1"/>
        <v>35.04109589</v>
      </c>
      <c r="H104" s="49">
        <v>102.0</v>
      </c>
      <c r="I104" s="9">
        <v>2.0</v>
      </c>
      <c r="J104" s="339" t="s">
        <v>1438</v>
      </c>
    </row>
    <row r="105">
      <c r="B105" s="239">
        <v>103.0</v>
      </c>
      <c r="C105" s="11" t="s">
        <v>293</v>
      </c>
      <c r="D105" s="11" t="s">
        <v>36</v>
      </c>
      <c r="E105" s="6" t="s">
        <v>167</v>
      </c>
      <c r="F105" s="12">
        <v>34768.0</v>
      </c>
      <c r="G105" s="8">
        <f t="shared" si="1"/>
        <v>31.34520548</v>
      </c>
      <c r="H105" s="9">
        <v>103.0</v>
      </c>
      <c r="I105" s="9">
        <v>-22.0</v>
      </c>
      <c r="J105" s="339" t="s">
        <v>294</v>
      </c>
    </row>
    <row r="106">
      <c r="B106" s="239">
        <v>104.0</v>
      </c>
      <c r="C106" s="6" t="s">
        <v>251</v>
      </c>
      <c r="D106" s="6" t="s">
        <v>10</v>
      </c>
      <c r="E106" s="6" t="s">
        <v>37</v>
      </c>
      <c r="F106" s="12">
        <v>36397.0</v>
      </c>
      <c r="G106" s="8">
        <f t="shared" si="1"/>
        <v>26.88493151</v>
      </c>
      <c r="H106" s="49">
        <v>104.0</v>
      </c>
      <c r="I106" s="9">
        <v>-4.0</v>
      </c>
      <c r="J106" s="339" t="s">
        <v>1909</v>
      </c>
    </row>
    <row r="107">
      <c r="B107" s="27">
        <v>105.0</v>
      </c>
      <c r="C107" s="34" t="s">
        <v>316</v>
      </c>
      <c r="D107" s="34" t="s">
        <v>36</v>
      </c>
      <c r="E107" s="34" t="s">
        <v>66</v>
      </c>
      <c r="F107" s="30">
        <v>38783.0</v>
      </c>
      <c r="G107" s="31">
        <f t="shared" si="1"/>
        <v>20.35342466</v>
      </c>
      <c r="H107" s="9">
        <v>105.0</v>
      </c>
      <c r="I107" s="9">
        <v>-2.0</v>
      </c>
      <c r="J107" s="368" t="s">
        <v>1910</v>
      </c>
    </row>
    <row r="108">
      <c r="B108" s="5">
        <v>106.0</v>
      </c>
      <c r="C108" s="11" t="s">
        <v>335</v>
      </c>
      <c r="D108" s="11" t="s">
        <v>10</v>
      </c>
      <c r="E108" s="6" t="s">
        <v>43</v>
      </c>
      <c r="F108" s="12">
        <v>34913.0</v>
      </c>
      <c r="G108" s="8">
        <f t="shared" si="1"/>
        <v>30.94794521</v>
      </c>
      <c r="H108" s="49">
        <v>106.0</v>
      </c>
      <c r="I108" s="9">
        <v>-13.0</v>
      </c>
      <c r="J108" s="42" t="s">
        <v>1911</v>
      </c>
    </row>
    <row r="109">
      <c r="B109" s="5">
        <v>107.0</v>
      </c>
      <c r="C109" s="6" t="s">
        <v>212</v>
      </c>
      <c r="D109" s="6" t="s">
        <v>14</v>
      </c>
      <c r="E109" s="6" t="s">
        <v>213</v>
      </c>
      <c r="F109" s="12">
        <v>37440.0</v>
      </c>
      <c r="G109" s="8">
        <f t="shared" si="1"/>
        <v>24.03013699</v>
      </c>
      <c r="H109" s="9">
        <v>107.0</v>
      </c>
      <c r="I109" s="9">
        <v>1.0</v>
      </c>
      <c r="J109" s="372" t="s">
        <v>1912</v>
      </c>
    </row>
    <row r="110">
      <c r="B110" s="27">
        <v>108.0</v>
      </c>
      <c r="C110" s="34" t="s">
        <v>262</v>
      </c>
      <c r="D110" s="34" t="s">
        <v>74</v>
      </c>
      <c r="E110" s="34" t="s">
        <v>158</v>
      </c>
      <c r="F110" s="30">
        <v>38779.0</v>
      </c>
      <c r="G110" s="31">
        <f t="shared" si="1"/>
        <v>20.36438356</v>
      </c>
      <c r="H110" s="49">
        <v>108.0</v>
      </c>
      <c r="I110" s="9">
        <v>-7.0</v>
      </c>
      <c r="J110" s="368" t="s">
        <v>1913</v>
      </c>
    </row>
    <row r="111">
      <c r="B111" s="239">
        <v>109.0</v>
      </c>
      <c r="C111" s="6" t="s">
        <v>282</v>
      </c>
      <c r="D111" s="6" t="s">
        <v>25</v>
      </c>
      <c r="E111" s="6" t="s">
        <v>167</v>
      </c>
      <c r="F111" s="12">
        <v>36757.0</v>
      </c>
      <c r="G111" s="8">
        <f t="shared" si="1"/>
        <v>25.90035931</v>
      </c>
      <c r="H111" s="9">
        <v>109.0</v>
      </c>
      <c r="I111" s="9">
        <v>0.0</v>
      </c>
      <c r="J111" s="339" t="s">
        <v>283</v>
      </c>
    </row>
    <row r="112">
      <c r="B112" s="5">
        <v>110.0</v>
      </c>
      <c r="C112" s="6" t="s">
        <v>284</v>
      </c>
      <c r="D112" s="6" t="s">
        <v>267</v>
      </c>
      <c r="E112" s="6" t="s">
        <v>55</v>
      </c>
      <c r="F112" s="12">
        <v>37754.0</v>
      </c>
      <c r="G112" s="8">
        <f t="shared" si="1"/>
        <v>23.16986301</v>
      </c>
      <c r="H112" s="49">
        <v>110.0</v>
      </c>
      <c r="I112" s="9">
        <v>9.0</v>
      </c>
      <c r="J112" s="339" t="s">
        <v>1914</v>
      </c>
    </row>
    <row r="113">
      <c r="B113" s="239">
        <v>111.0</v>
      </c>
      <c r="C113" s="6" t="s">
        <v>244</v>
      </c>
      <c r="D113" s="6" t="s">
        <v>14</v>
      </c>
      <c r="E113" s="6" t="s">
        <v>32</v>
      </c>
      <c r="F113" s="12">
        <v>35823.0</v>
      </c>
      <c r="G113" s="8">
        <f t="shared" si="1"/>
        <v>28.45753425</v>
      </c>
      <c r="H113" s="9">
        <v>111.0</v>
      </c>
      <c r="I113" s="9">
        <v>7.0</v>
      </c>
      <c r="J113" s="339" t="s">
        <v>1464</v>
      </c>
    </row>
    <row r="114">
      <c r="B114" s="239">
        <v>112.0</v>
      </c>
      <c r="C114" s="6" t="s">
        <v>320</v>
      </c>
      <c r="D114" s="6" t="s">
        <v>10</v>
      </c>
      <c r="E114" s="6" t="s">
        <v>26</v>
      </c>
      <c r="F114" s="12">
        <v>36030.0</v>
      </c>
      <c r="G114" s="8">
        <f t="shared" si="1"/>
        <v>27.89041096</v>
      </c>
      <c r="H114" s="49">
        <v>112.0</v>
      </c>
      <c r="I114" s="9">
        <v>19.0</v>
      </c>
      <c r="J114" s="339" t="s">
        <v>1915</v>
      </c>
    </row>
    <row r="115">
      <c r="B115" s="239">
        <v>113.0</v>
      </c>
      <c r="C115" s="6" t="s">
        <v>364</v>
      </c>
      <c r="D115" s="6" t="s">
        <v>21</v>
      </c>
      <c r="E115" s="6" t="s">
        <v>26</v>
      </c>
      <c r="F115" s="12">
        <v>38029.0</v>
      </c>
      <c r="G115" s="8">
        <f t="shared" si="1"/>
        <v>22.41675275</v>
      </c>
      <c r="H115" s="9">
        <v>113.0</v>
      </c>
      <c r="I115" s="9">
        <v>-22.0</v>
      </c>
      <c r="J115" s="42" t="s">
        <v>1477</v>
      </c>
    </row>
    <row r="116">
      <c r="B116" s="239">
        <v>114.0</v>
      </c>
      <c r="C116" s="6" t="s">
        <v>288</v>
      </c>
      <c r="D116" s="6" t="s">
        <v>25</v>
      </c>
      <c r="E116" s="6" t="s">
        <v>90</v>
      </c>
      <c r="F116" s="12">
        <v>35875.0</v>
      </c>
      <c r="G116" s="8">
        <f t="shared" si="1"/>
        <v>28.31506849</v>
      </c>
      <c r="H116" s="49">
        <v>114.0</v>
      </c>
      <c r="I116" s="9">
        <v>-8.0</v>
      </c>
      <c r="J116" s="42" t="s">
        <v>1484</v>
      </c>
    </row>
    <row r="117">
      <c r="B117" s="239">
        <v>115.0</v>
      </c>
      <c r="C117" s="6" t="s">
        <v>303</v>
      </c>
      <c r="D117" s="6" t="s">
        <v>36</v>
      </c>
      <c r="E117" s="6" t="s">
        <v>11</v>
      </c>
      <c r="F117" s="12">
        <v>36761.0</v>
      </c>
      <c r="G117" s="8">
        <f t="shared" si="1"/>
        <v>25.88943035</v>
      </c>
      <c r="H117" s="9">
        <v>115.0</v>
      </c>
      <c r="I117" s="9">
        <v>-3.0</v>
      </c>
      <c r="J117" s="339" t="s">
        <v>304</v>
      </c>
    </row>
    <row r="118">
      <c r="B118" s="5">
        <v>116.0</v>
      </c>
      <c r="C118" s="6" t="s">
        <v>297</v>
      </c>
      <c r="D118" s="6" t="s">
        <v>14</v>
      </c>
      <c r="E118" s="6" t="s">
        <v>46</v>
      </c>
      <c r="F118" s="12">
        <v>36541.0</v>
      </c>
      <c r="G118" s="8">
        <f t="shared" si="1"/>
        <v>26.49052324</v>
      </c>
      <c r="H118" s="49">
        <v>116.0</v>
      </c>
      <c r="I118" s="9">
        <v>4.0</v>
      </c>
      <c r="J118" s="339" t="s">
        <v>1916</v>
      </c>
    </row>
    <row r="119">
      <c r="B119" s="5">
        <v>117.0</v>
      </c>
      <c r="C119" s="11" t="s">
        <v>355</v>
      </c>
      <c r="D119" s="11" t="s">
        <v>77</v>
      </c>
      <c r="E119" s="11" t="s">
        <v>18</v>
      </c>
      <c r="F119" s="12">
        <v>31046.0</v>
      </c>
      <c r="G119" s="8">
        <f t="shared" si="1"/>
        <v>41.53697133</v>
      </c>
      <c r="H119" s="9">
        <v>117.0</v>
      </c>
      <c r="I119" s="9">
        <v>-12.0</v>
      </c>
      <c r="J119" s="339" t="s">
        <v>1917</v>
      </c>
    </row>
    <row r="120">
      <c r="B120" s="5">
        <v>118.0</v>
      </c>
      <c r="C120" s="14" t="s">
        <v>394</v>
      </c>
      <c r="D120" s="14" t="s">
        <v>36</v>
      </c>
      <c r="E120" s="14" t="s">
        <v>22</v>
      </c>
      <c r="F120" s="16">
        <v>36998.0</v>
      </c>
      <c r="G120" s="17">
        <f t="shared" si="1"/>
        <v>25.24109589</v>
      </c>
      <c r="H120" s="49">
        <v>118.0</v>
      </c>
      <c r="I120" s="9">
        <v>-2.0</v>
      </c>
      <c r="J120" s="369" t="s">
        <v>1918</v>
      </c>
    </row>
    <row r="121">
      <c r="B121" s="5">
        <v>119.0</v>
      </c>
      <c r="C121" s="6" t="s">
        <v>309</v>
      </c>
      <c r="D121" s="6" t="s">
        <v>25</v>
      </c>
      <c r="E121" s="6" t="s">
        <v>95</v>
      </c>
      <c r="F121" s="12">
        <v>36654.0</v>
      </c>
      <c r="G121" s="8">
        <f t="shared" si="1"/>
        <v>26.18178007</v>
      </c>
      <c r="H121" s="9">
        <v>119.0</v>
      </c>
      <c r="I121" s="9">
        <v>-6.0</v>
      </c>
      <c r="J121" s="339" t="s">
        <v>1919</v>
      </c>
    </row>
    <row r="122">
      <c r="B122" s="27">
        <v>120.0</v>
      </c>
      <c r="C122" s="34" t="s">
        <v>193</v>
      </c>
      <c r="D122" s="34" t="s">
        <v>10</v>
      </c>
      <c r="E122" s="34" t="s">
        <v>52</v>
      </c>
      <c r="F122" s="30">
        <v>38513.0</v>
      </c>
      <c r="G122" s="31">
        <f t="shared" si="1"/>
        <v>21.09315068</v>
      </c>
      <c r="H122" s="49">
        <v>120.0</v>
      </c>
      <c r="I122" s="9">
        <v>-6.0</v>
      </c>
      <c r="J122" s="368" t="s">
        <v>1920</v>
      </c>
    </row>
    <row r="123">
      <c r="B123" s="5">
        <v>121.0</v>
      </c>
      <c r="C123" s="6" t="s">
        <v>299</v>
      </c>
      <c r="D123" s="6" t="s">
        <v>36</v>
      </c>
      <c r="E123" s="6" t="s">
        <v>106</v>
      </c>
      <c r="F123" s="12">
        <v>34764.0</v>
      </c>
      <c r="G123" s="8">
        <f t="shared" si="1"/>
        <v>31.35616438</v>
      </c>
      <c r="H123" s="9">
        <v>121.0</v>
      </c>
      <c r="I123" s="9">
        <v>12.0</v>
      </c>
      <c r="J123" s="339" t="s">
        <v>1921</v>
      </c>
    </row>
    <row r="124">
      <c r="B124" s="239">
        <v>122.0</v>
      </c>
      <c r="C124" s="6" t="s">
        <v>368</v>
      </c>
      <c r="D124" s="6" t="s">
        <v>25</v>
      </c>
      <c r="E124" s="6" t="s">
        <v>29</v>
      </c>
      <c r="F124" s="12">
        <v>38540.0</v>
      </c>
      <c r="G124" s="8">
        <f t="shared" si="1"/>
        <v>21.01917808</v>
      </c>
      <c r="H124" s="49">
        <v>122.0</v>
      </c>
      <c r="I124" s="9">
        <v>-5.0</v>
      </c>
      <c r="J124" s="339" t="s">
        <v>1498</v>
      </c>
    </row>
    <row r="125">
      <c r="B125" s="239">
        <v>123.0</v>
      </c>
      <c r="C125" s="6" t="s">
        <v>456</v>
      </c>
      <c r="D125" s="6" t="s">
        <v>25</v>
      </c>
      <c r="E125" s="6" t="s">
        <v>176</v>
      </c>
      <c r="F125" s="12">
        <v>32765.0</v>
      </c>
      <c r="G125" s="8">
        <f t="shared" si="1"/>
        <v>36.83013699</v>
      </c>
      <c r="H125" s="9">
        <v>123.0</v>
      </c>
      <c r="I125" s="9">
        <v>1.0</v>
      </c>
      <c r="J125" s="339" t="s">
        <v>1922</v>
      </c>
    </row>
    <row r="126">
      <c r="B126" s="27">
        <v>124.0</v>
      </c>
      <c r="C126" s="34" t="s">
        <v>568</v>
      </c>
      <c r="D126" s="34" t="s">
        <v>21</v>
      </c>
      <c r="E126" s="34" t="s">
        <v>90</v>
      </c>
      <c r="F126" s="30">
        <v>37273.0</v>
      </c>
      <c r="G126" s="31">
        <f t="shared" si="1"/>
        <v>24.48767123</v>
      </c>
      <c r="H126" s="49">
        <v>124.0</v>
      </c>
      <c r="I126" s="9">
        <v>2.0</v>
      </c>
      <c r="J126" s="373" t="s">
        <v>1923</v>
      </c>
    </row>
    <row r="127">
      <c r="B127" s="239">
        <v>125.0</v>
      </c>
      <c r="C127" s="6" t="s">
        <v>379</v>
      </c>
      <c r="D127" s="6" t="s">
        <v>21</v>
      </c>
      <c r="E127" s="6" t="s">
        <v>18</v>
      </c>
      <c r="F127" s="12">
        <v>35999.0</v>
      </c>
      <c r="G127" s="8">
        <f t="shared" si="1"/>
        <v>27.97534247</v>
      </c>
      <c r="H127" s="9">
        <v>125.0</v>
      </c>
      <c r="I127" s="9">
        <v>-4.0</v>
      </c>
      <c r="J127" s="339" t="s">
        <v>1486</v>
      </c>
    </row>
    <row r="128">
      <c r="B128" s="239">
        <v>126.0</v>
      </c>
      <c r="C128" s="6" t="s">
        <v>343</v>
      </c>
      <c r="D128" s="6" t="s">
        <v>10</v>
      </c>
      <c r="E128" s="6" t="s">
        <v>49</v>
      </c>
      <c r="F128" s="12">
        <v>36901.0</v>
      </c>
      <c r="G128" s="8">
        <f t="shared" si="1"/>
        <v>25.50684932</v>
      </c>
      <c r="H128" s="49">
        <v>126.0</v>
      </c>
      <c r="I128" s="9">
        <v>8.0</v>
      </c>
      <c r="J128" s="339" t="s">
        <v>1924</v>
      </c>
    </row>
    <row r="129">
      <c r="B129" s="27">
        <v>127.0</v>
      </c>
      <c r="C129" s="34" t="s">
        <v>301</v>
      </c>
      <c r="D129" s="34" t="s">
        <v>21</v>
      </c>
      <c r="E129" s="34" t="s">
        <v>111</v>
      </c>
      <c r="F129" s="30">
        <v>38974.0</v>
      </c>
      <c r="G129" s="31">
        <f t="shared" si="1"/>
        <v>19.83013699</v>
      </c>
      <c r="H129" s="9">
        <v>127.0</v>
      </c>
      <c r="I129" s="9">
        <v>-4.0</v>
      </c>
      <c r="J129" s="368" t="s">
        <v>1925</v>
      </c>
    </row>
    <row r="130">
      <c r="B130" s="5">
        <v>128.0</v>
      </c>
      <c r="C130" s="6" t="s">
        <v>260</v>
      </c>
      <c r="D130" s="6" t="s">
        <v>14</v>
      </c>
      <c r="E130" s="6" t="s">
        <v>15</v>
      </c>
      <c r="F130" s="12">
        <v>37432.0</v>
      </c>
      <c r="G130" s="8">
        <f t="shared" si="1"/>
        <v>24.05205479</v>
      </c>
      <c r="H130" s="49">
        <v>128.0</v>
      </c>
      <c r="I130" s="9">
        <v>-1.0</v>
      </c>
      <c r="J130" s="371" t="s">
        <v>1926</v>
      </c>
    </row>
    <row r="131">
      <c r="B131" s="239">
        <v>129.0</v>
      </c>
      <c r="C131" s="11" t="s">
        <v>270</v>
      </c>
      <c r="D131" s="11" t="s">
        <v>74</v>
      </c>
      <c r="E131" s="11" t="s">
        <v>82</v>
      </c>
      <c r="F131" s="12">
        <v>38006.0</v>
      </c>
      <c r="G131" s="8">
        <f t="shared" si="1"/>
        <v>22.47959428</v>
      </c>
      <c r="H131" s="9">
        <v>129.0</v>
      </c>
      <c r="I131" s="9">
        <v>48.0</v>
      </c>
      <c r="J131" s="341" t="s">
        <v>1927</v>
      </c>
    </row>
    <row r="132">
      <c r="B132" s="239">
        <v>130.0</v>
      </c>
      <c r="C132" s="6" t="s">
        <v>421</v>
      </c>
      <c r="D132" s="6" t="s">
        <v>25</v>
      </c>
      <c r="E132" s="6" t="s">
        <v>176</v>
      </c>
      <c r="F132" s="12">
        <v>37535.0</v>
      </c>
      <c r="G132" s="8">
        <f t="shared" si="1"/>
        <v>23.76986301</v>
      </c>
      <c r="H132" s="49">
        <v>130.0</v>
      </c>
      <c r="I132" s="9">
        <v>-1.0</v>
      </c>
      <c r="J132" s="339" t="s">
        <v>1928</v>
      </c>
    </row>
    <row r="133">
      <c r="B133" s="239">
        <v>131.0</v>
      </c>
      <c r="C133" s="6" t="s">
        <v>291</v>
      </c>
      <c r="D133" s="6" t="s">
        <v>14</v>
      </c>
      <c r="E133" s="6" t="s">
        <v>15</v>
      </c>
      <c r="F133" s="12">
        <v>37932.0</v>
      </c>
      <c r="G133" s="8">
        <f t="shared" si="1"/>
        <v>22.68219178</v>
      </c>
      <c r="H133" s="9">
        <v>131.0</v>
      </c>
      <c r="I133" s="9">
        <v>5.0</v>
      </c>
      <c r="J133" s="339" t="s">
        <v>1929</v>
      </c>
    </row>
    <row r="134">
      <c r="B134" s="239">
        <v>132.0</v>
      </c>
      <c r="C134" s="6" t="s">
        <v>286</v>
      </c>
      <c r="D134" s="6" t="s">
        <v>14</v>
      </c>
      <c r="E134" s="6" t="s">
        <v>114</v>
      </c>
      <c r="F134" s="12">
        <v>35327.0</v>
      </c>
      <c r="G134" s="8">
        <f t="shared" si="1"/>
        <v>29.81565985</v>
      </c>
      <c r="H134" s="49">
        <v>132.0</v>
      </c>
      <c r="I134" s="9">
        <v>11.0</v>
      </c>
      <c r="J134" s="42" t="s">
        <v>1930</v>
      </c>
    </row>
    <row r="135">
      <c r="B135" s="239">
        <v>133.0</v>
      </c>
      <c r="C135" s="11" t="s">
        <v>375</v>
      </c>
      <c r="D135" s="11" t="s">
        <v>36</v>
      </c>
      <c r="E135" s="11" t="s">
        <v>52</v>
      </c>
      <c r="F135" s="12">
        <v>36691.0</v>
      </c>
      <c r="G135" s="8">
        <f t="shared" si="1"/>
        <v>26.08068718</v>
      </c>
      <c r="H135" s="9">
        <v>133.0</v>
      </c>
      <c r="I135" s="9">
        <v>13.0</v>
      </c>
      <c r="J135" s="339" t="s">
        <v>1931</v>
      </c>
    </row>
    <row r="136">
      <c r="B136" s="239">
        <v>134.0</v>
      </c>
      <c r="C136" s="6" t="s">
        <v>349</v>
      </c>
      <c r="D136" s="6" t="s">
        <v>25</v>
      </c>
      <c r="E136" s="6" t="s">
        <v>22</v>
      </c>
      <c r="F136" s="12">
        <v>34958.0</v>
      </c>
      <c r="G136" s="8">
        <f t="shared" si="1"/>
        <v>30.82465753</v>
      </c>
      <c r="H136" s="49">
        <v>134.0</v>
      </c>
      <c r="I136" s="9">
        <v>-6.0</v>
      </c>
      <c r="J136" s="42" t="s">
        <v>1932</v>
      </c>
    </row>
    <row r="137">
      <c r="B137" s="239">
        <v>135.0</v>
      </c>
      <c r="C137" s="6" t="s">
        <v>388</v>
      </c>
      <c r="D137" s="6" t="s">
        <v>74</v>
      </c>
      <c r="E137" s="6" t="s">
        <v>176</v>
      </c>
      <c r="F137" s="12">
        <v>37677.0</v>
      </c>
      <c r="G137" s="8">
        <f t="shared" si="1"/>
        <v>23.38082192</v>
      </c>
      <c r="H137" s="9">
        <v>135.0</v>
      </c>
      <c r="I137" s="9">
        <v>-24.0</v>
      </c>
      <c r="J137" s="42" t="s">
        <v>1505</v>
      </c>
    </row>
    <row r="138">
      <c r="B138" s="5">
        <v>136.0</v>
      </c>
      <c r="C138" s="6" t="s">
        <v>448</v>
      </c>
      <c r="D138" s="6" t="s">
        <v>74</v>
      </c>
      <c r="E138" s="6" t="s">
        <v>167</v>
      </c>
      <c r="F138" s="12">
        <v>35830.0</v>
      </c>
      <c r="G138" s="8">
        <f t="shared" si="1"/>
        <v>28.43835616</v>
      </c>
      <c r="H138" s="49">
        <v>136.0</v>
      </c>
      <c r="I138" s="9">
        <v>-6.0</v>
      </c>
      <c r="J138" s="42" t="s">
        <v>1507</v>
      </c>
    </row>
    <row r="139">
      <c r="B139" s="5">
        <v>137.0</v>
      </c>
      <c r="C139" s="6" t="s">
        <v>362</v>
      </c>
      <c r="D139" s="6" t="s">
        <v>36</v>
      </c>
      <c r="E139" s="6" t="s">
        <v>66</v>
      </c>
      <c r="F139" s="12">
        <v>38194.0</v>
      </c>
      <c r="G139" s="8">
        <f t="shared" si="1"/>
        <v>21.96593308</v>
      </c>
      <c r="H139" s="9">
        <v>137.0</v>
      </c>
      <c r="I139" s="9">
        <v>-12.0</v>
      </c>
      <c r="J139" s="42" t="s">
        <v>1933</v>
      </c>
    </row>
    <row r="140">
      <c r="B140" s="5">
        <v>138.0</v>
      </c>
      <c r="C140" s="6" t="s">
        <v>452</v>
      </c>
      <c r="D140" s="6" t="s">
        <v>14</v>
      </c>
      <c r="E140" s="6" t="s">
        <v>15</v>
      </c>
      <c r="F140" s="12">
        <v>38574.0</v>
      </c>
      <c r="G140" s="8">
        <f t="shared" si="1"/>
        <v>20.9260274</v>
      </c>
      <c r="H140" s="49">
        <v>138.0</v>
      </c>
      <c r="I140" s="9">
        <v>2.0</v>
      </c>
      <c r="J140" s="339" t="s">
        <v>1934</v>
      </c>
    </row>
    <row r="141">
      <c r="B141" s="5">
        <v>139.0</v>
      </c>
      <c r="C141" s="6" t="s">
        <v>373</v>
      </c>
      <c r="D141" s="6" t="s">
        <v>10</v>
      </c>
      <c r="E141" s="6" t="s">
        <v>26</v>
      </c>
      <c r="F141" s="12">
        <v>36069.0</v>
      </c>
      <c r="G141" s="8">
        <f t="shared" si="1"/>
        <v>27.78356164</v>
      </c>
      <c r="H141" s="9">
        <v>139.0</v>
      </c>
      <c r="I141" s="9">
        <v>15.0</v>
      </c>
      <c r="J141" s="10" t="s">
        <v>1935</v>
      </c>
    </row>
    <row r="142">
      <c r="B142" s="5">
        <v>140.0</v>
      </c>
      <c r="C142" s="11" t="s">
        <v>230</v>
      </c>
      <c r="D142" s="11" t="s">
        <v>36</v>
      </c>
      <c r="E142" s="11" t="s">
        <v>43</v>
      </c>
      <c r="F142" s="12">
        <v>36040.0</v>
      </c>
      <c r="G142" s="8">
        <f t="shared" si="1"/>
        <v>27.8630137</v>
      </c>
      <c r="H142" s="49">
        <v>140.0</v>
      </c>
      <c r="I142" s="9">
        <v>20.0</v>
      </c>
      <c r="J142" s="341" t="s">
        <v>1936</v>
      </c>
    </row>
    <row r="143">
      <c r="B143" s="5">
        <v>141.0</v>
      </c>
      <c r="C143" s="6" t="s">
        <v>444</v>
      </c>
      <c r="D143" s="6" t="s">
        <v>25</v>
      </c>
      <c r="E143" s="6" t="s">
        <v>22</v>
      </c>
      <c r="F143" s="12">
        <v>35127.0</v>
      </c>
      <c r="G143" s="8">
        <f t="shared" si="1"/>
        <v>30.36210794</v>
      </c>
      <c r="H143" s="9">
        <v>141.0</v>
      </c>
      <c r="I143" s="9">
        <v>-6.0</v>
      </c>
      <c r="J143" s="42" t="s">
        <v>1508</v>
      </c>
    </row>
    <row r="144">
      <c r="B144" s="5">
        <v>142.0</v>
      </c>
      <c r="C144" s="6" t="s">
        <v>529</v>
      </c>
      <c r="D144" s="6" t="s">
        <v>14</v>
      </c>
      <c r="E144" s="6" t="s">
        <v>32</v>
      </c>
      <c r="F144" s="12">
        <v>36319.0</v>
      </c>
      <c r="G144" s="8">
        <f t="shared" si="1"/>
        <v>27.09863014</v>
      </c>
      <c r="H144" s="49">
        <v>142.0</v>
      </c>
      <c r="I144" s="9">
        <v>-3.0</v>
      </c>
      <c r="J144" s="42" t="s">
        <v>1519</v>
      </c>
    </row>
    <row r="145">
      <c r="B145" s="5">
        <v>143.0</v>
      </c>
      <c r="C145" s="6" t="s">
        <v>313</v>
      </c>
      <c r="D145" s="6" t="s">
        <v>77</v>
      </c>
      <c r="E145" s="6" t="s">
        <v>40</v>
      </c>
      <c r="F145" s="12">
        <v>32995.0</v>
      </c>
      <c r="G145" s="8">
        <f t="shared" si="1"/>
        <v>36.2</v>
      </c>
      <c r="H145" s="9">
        <v>143.0</v>
      </c>
      <c r="I145" s="9">
        <v>5.0</v>
      </c>
      <c r="J145" s="42" t="s">
        <v>1937</v>
      </c>
    </row>
    <row r="146">
      <c r="B146" s="239">
        <v>144.0</v>
      </c>
      <c r="C146" s="6" t="s">
        <v>464</v>
      </c>
      <c r="D146" s="6" t="s">
        <v>36</v>
      </c>
      <c r="E146" s="6" t="s">
        <v>46</v>
      </c>
      <c r="F146" s="12">
        <v>37426.0</v>
      </c>
      <c r="G146" s="8">
        <f t="shared" si="1"/>
        <v>24.06849315</v>
      </c>
      <c r="H146" s="49">
        <v>144.0</v>
      </c>
      <c r="I146" s="9">
        <v>1.0</v>
      </c>
      <c r="J146" s="339" t="s">
        <v>1506</v>
      </c>
    </row>
    <row r="147">
      <c r="B147" s="239">
        <v>145.0</v>
      </c>
      <c r="C147" s="6" t="s">
        <v>398</v>
      </c>
      <c r="D147" s="6" t="s">
        <v>36</v>
      </c>
      <c r="E147" s="6" t="s">
        <v>40</v>
      </c>
      <c r="F147" s="12">
        <v>36654.0</v>
      </c>
      <c r="G147" s="8">
        <f t="shared" si="1"/>
        <v>26.18178007</v>
      </c>
      <c r="H147" s="9">
        <v>145.0</v>
      </c>
      <c r="I147" s="9">
        <v>16.0</v>
      </c>
      <c r="J147" s="10" t="s">
        <v>1504</v>
      </c>
    </row>
    <row r="148">
      <c r="B148" s="239">
        <v>146.0</v>
      </c>
      <c r="C148" s="6" t="s">
        <v>561</v>
      </c>
      <c r="D148" s="6" t="s">
        <v>14</v>
      </c>
      <c r="E148" s="6" t="s">
        <v>58</v>
      </c>
      <c r="F148" s="12">
        <v>38268.0</v>
      </c>
      <c r="G148" s="8">
        <f t="shared" si="1"/>
        <v>21.76374729</v>
      </c>
      <c r="H148" s="49">
        <v>146.0</v>
      </c>
      <c r="I148" s="9">
        <v>6.0</v>
      </c>
      <c r="J148" s="10" t="s">
        <v>562</v>
      </c>
    </row>
    <row r="149">
      <c r="B149" s="5">
        <v>147.0</v>
      </c>
      <c r="C149" s="11" t="s">
        <v>931</v>
      </c>
      <c r="D149" s="11" t="s">
        <v>573</v>
      </c>
      <c r="E149" s="11" t="s">
        <v>158</v>
      </c>
      <c r="F149" s="12">
        <v>37177.0</v>
      </c>
      <c r="G149" s="8">
        <f t="shared" si="1"/>
        <v>24.75068493</v>
      </c>
      <c r="H149" s="9">
        <v>147.0</v>
      </c>
      <c r="I149" s="9">
        <v>-10.0</v>
      </c>
      <c r="J149" s="339" t="s">
        <v>1523</v>
      </c>
    </row>
    <row r="150">
      <c r="B150" s="239">
        <v>148.0</v>
      </c>
      <c r="C150" s="6" t="s">
        <v>346</v>
      </c>
      <c r="D150" s="6" t="s">
        <v>10</v>
      </c>
      <c r="E150" s="6" t="s">
        <v>98</v>
      </c>
      <c r="F150" s="12">
        <v>35696.0</v>
      </c>
      <c r="G150" s="8">
        <f t="shared" si="1"/>
        <v>28.80547945</v>
      </c>
      <c r="H150" s="49">
        <v>148.0</v>
      </c>
      <c r="I150" s="9">
        <v>-10.0</v>
      </c>
      <c r="J150" s="42" t="s">
        <v>1938</v>
      </c>
    </row>
    <row r="151">
      <c r="B151" s="239">
        <v>149.0</v>
      </c>
      <c r="C151" s="6" t="s">
        <v>333</v>
      </c>
      <c r="D151" s="6" t="s">
        <v>21</v>
      </c>
      <c r="E151" s="6" t="s">
        <v>37</v>
      </c>
      <c r="F151" s="12">
        <v>33781.0</v>
      </c>
      <c r="G151" s="8">
        <f t="shared" si="1"/>
        <v>34.04790029</v>
      </c>
      <c r="H151" s="9">
        <v>149.0</v>
      </c>
      <c r="I151" s="9">
        <v>-5.0</v>
      </c>
      <c r="J151" s="339" t="s">
        <v>1939</v>
      </c>
    </row>
    <row r="152">
      <c r="B152" s="5">
        <v>150.0</v>
      </c>
      <c r="C152" s="6" t="s">
        <v>360</v>
      </c>
      <c r="D152" s="6" t="s">
        <v>36</v>
      </c>
      <c r="E152" s="6" t="s">
        <v>128</v>
      </c>
      <c r="F152" s="12">
        <v>36940.0</v>
      </c>
      <c r="G152" s="8">
        <f t="shared" si="1"/>
        <v>25.4</v>
      </c>
      <c r="H152" s="49">
        <v>150.0</v>
      </c>
      <c r="I152" s="9">
        <v>12.0</v>
      </c>
      <c r="J152" s="341" t="s">
        <v>1940</v>
      </c>
    </row>
    <row r="153">
      <c r="B153" s="27">
        <v>151.0</v>
      </c>
      <c r="C153" s="34" t="s">
        <v>353</v>
      </c>
      <c r="D153" s="34" t="s">
        <v>21</v>
      </c>
      <c r="E153" s="34" t="s">
        <v>15</v>
      </c>
      <c r="F153" s="30">
        <v>38711.0</v>
      </c>
      <c r="G153" s="31">
        <f t="shared" si="1"/>
        <v>20.55068493</v>
      </c>
      <c r="H153" s="9">
        <v>151.0</v>
      </c>
      <c r="I153" s="9">
        <v>-4.0</v>
      </c>
      <c r="J153" s="340" t="s">
        <v>1501</v>
      </c>
    </row>
    <row r="154">
      <c r="B154" s="239">
        <v>152.0</v>
      </c>
      <c r="C154" s="14" t="s">
        <v>446</v>
      </c>
      <c r="D154" s="14" t="s">
        <v>10</v>
      </c>
      <c r="E154" s="14" t="s">
        <v>58</v>
      </c>
      <c r="F154" s="16">
        <v>37932.0</v>
      </c>
      <c r="G154" s="17">
        <f t="shared" si="1"/>
        <v>22.68219178</v>
      </c>
      <c r="H154" s="49">
        <v>152.0</v>
      </c>
      <c r="I154" s="9">
        <v>-1.0</v>
      </c>
      <c r="J154" s="47" t="s">
        <v>1515</v>
      </c>
    </row>
    <row r="155">
      <c r="B155" s="239">
        <v>153.0</v>
      </c>
      <c r="C155" s="11" t="s">
        <v>324</v>
      </c>
      <c r="D155" s="11" t="s">
        <v>36</v>
      </c>
      <c r="E155" s="11" t="s">
        <v>128</v>
      </c>
      <c r="F155" s="12">
        <v>34114.0</v>
      </c>
      <c r="G155" s="8">
        <f t="shared" si="1"/>
        <v>33.1369863</v>
      </c>
      <c r="H155" s="9">
        <v>153.0</v>
      </c>
      <c r="I155" s="9">
        <v>17.0</v>
      </c>
      <c r="J155" s="10" t="s">
        <v>1941</v>
      </c>
    </row>
    <row r="156">
      <c r="B156" s="239">
        <v>154.0</v>
      </c>
      <c r="C156" s="6" t="s">
        <v>953</v>
      </c>
      <c r="D156" s="6" t="s">
        <v>14</v>
      </c>
      <c r="E156" s="6" t="s">
        <v>29</v>
      </c>
      <c r="F156" s="12">
        <v>37300.0</v>
      </c>
      <c r="G156" s="8">
        <f t="shared" si="1"/>
        <v>24.41369863</v>
      </c>
      <c r="H156" s="49">
        <v>154.0</v>
      </c>
      <c r="I156" s="9">
        <v>-12.0</v>
      </c>
      <c r="J156" s="42" t="s">
        <v>1942</v>
      </c>
    </row>
    <row r="157">
      <c r="B157" s="239">
        <v>155.0</v>
      </c>
      <c r="C157" s="11" t="s">
        <v>341</v>
      </c>
      <c r="D157" s="11" t="s">
        <v>14</v>
      </c>
      <c r="E157" s="6" t="s">
        <v>55</v>
      </c>
      <c r="F157" s="12">
        <v>34390.0</v>
      </c>
      <c r="G157" s="8">
        <f t="shared" si="1"/>
        <v>32.38082192</v>
      </c>
      <c r="H157" s="9">
        <v>155.0</v>
      </c>
      <c r="I157" s="9">
        <v>-14.0</v>
      </c>
      <c r="J157" s="339" t="s">
        <v>1520</v>
      </c>
    </row>
    <row r="158">
      <c r="B158" s="5">
        <v>156.0</v>
      </c>
      <c r="C158" s="6" t="s">
        <v>548</v>
      </c>
      <c r="D158" s="6" t="s">
        <v>25</v>
      </c>
      <c r="E158" s="6" t="s">
        <v>43</v>
      </c>
      <c r="F158" s="12">
        <v>38450.0</v>
      </c>
      <c r="G158" s="8">
        <f t="shared" si="1"/>
        <v>21.26575342</v>
      </c>
      <c r="H158" s="49">
        <v>156.0</v>
      </c>
      <c r="I158" s="9">
        <v>-34.0</v>
      </c>
      <c r="J158" s="42" t="s">
        <v>549</v>
      </c>
    </row>
    <row r="159">
      <c r="B159" s="239">
        <v>157.0</v>
      </c>
      <c r="C159" s="6" t="s">
        <v>436</v>
      </c>
      <c r="D159" s="6" t="s">
        <v>25</v>
      </c>
      <c r="E159" s="6" t="s">
        <v>114</v>
      </c>
      <c r="F159" s="12">
        <v>36074.0</v>
      </c>
      <c r="G159" s="8">
        <f t="shared" si="1"/>
        <v>27.76986301</v>
      </c>
      <c r="H159" s="9">
        <v>157.0</v>
      </c>
      <c r="I159" s="9">
        <v>-2.0</v>
      </c>
      <c r="J159" s="10" t="s">
        <v>1512</v>
      </c>
    </row>
    <row r="160">
      <c r="B160" s="239">
        <v>158.0</v>
      </c>
      <c r="C160" s="14" t="s">
        <v>578</v>
      </c>
      <c r="D160" s="6" t="s">
        <v>14</v>
      </c>
      <c r="E160" s="6" t="s">
        <v>37</v>
      </c>
      <c r="F160" s="12">
        <v>35461.0</v>
      </c>
      <c r="G160" s="8">
        <f t="shared" si="1"/>
        <v>29.44931507</v>
      </c>
      <c r="H160" s="49">
        <v>158.0</v>
      </c>
      <c r="I160" s="9">
        <v>-8.0</v>
      </c>
      <c r="J160" s="339" t="s">
        <v>1943</v>
      </c>
    </row>
    <row r="161">
      <c r="B161" s="239">
        <v>159.0</v>
      </c>
      <c r="C161" s="15" t="s">
        <v>337</v>
      </c>
      <c r="D161" s="15" t="s">
        <v>14</v>
      </c>
      <c r="E161" s="15" t="s">
        <v>49</v>
      </c>
      <c r="F161" s="16">
        <v>35619.0</v>
      </c>
      <c r="G161" s="17">
        <f t="shared" si="1"/>
        <v>29.01643836</v>
      </c>
      <c r="H161" s="9">
        <v>159.0</v>
      </c>
      <c r="I161" s="9">
        <v>-1.0</v>
      </c>
      <c r="J161" s="351" t="s">
        <v>1944</v>
      </c>
    </row>
    <row r="162">
      <c r="B162" s="239">
        <v>160.0</v>
      </c>
      <c r="C162" s="11" t="s">
        <v>390</v>
      </c>
      <c r="D162" s="11" t="s">
        <v>25</v>
      </c>
      <c r="E162" s="11" t="s">
        <v>46</v>
      </c>
      <c r="F162" s="12">
        <v>36449.0</v>
      </c>
      <c r="G162" s="8">
        <f t="shared" si="1"/>
        <v>26.74246575</v>
      </c>
      <c r="H162" s="49">
        <v>160.0</v>
      </c>
      <c r="I162" s="9">
        <v>-1.0</v>
      </c>
      <c r="J162" s="10" t="s">
        <v>1509</v>
      </c>
    </row>
    <row r="163">
      <c r="B163" s="27">
        <v>161.0</v>
      </c>
      <c r="C163" s="28" t="s">
        <v>278</v>
      </c>
      <c r="D163" s="34" t="s">
        <v>21</v>
      </c>
      <c r="E163" s="34" t="s">
        <v>37</v>
      </c>
      <c r="F163" s="30">
        <v>39032.0</v>
      </c>
      <c r="G163" s="31">
        <f t="shared" si="1"/>
        <v>19.67123288</v>
      </c>
      <c r="H163" s="9">
        <v>161.0</v>
      </c>
      <c r="I163" s="9">
        <v>-8.0</v>
      </c>
      <c r="J163" s="345" t="s">
        <v>1945</v>
      </c>
    </row>
    <row r="164">
      <c r="B164" s="239">
        <v>162.0</v>
      </c>
      <c r="C164" s="11" t="s">
        <v>700</v>
      </c>
      <c r="D164" s="11" t="s">
        <v>25</v>
      </c>
      <c r="E164" s="11" t="s">
        <v>128</v>
      </c>
      <c r="F164" s="12">
        <v>37781.0</v>
      </c>
      <c r="G164" s="8">
        <f t="shared" si="1"/>
        <v>23.09589041</v>
      </c>
      <c r="H164" s="49">
        <v>162.0</v>
      </c>
      <c r="I164" s="9">
        <v>-30.0</v>
      </c>
      <c r="J164" s="42" t="s">
        <v>1514</v>
      </c>
    </row>
    <row r="165">
      <c r="B165" s="239">
        <v>163.0</v>
      </c>
      <c r="C165" s="6" t="s">
        <v>377</v>
      </c>
      <c r="D165" s="6" t="s">
        <v>36</v>
      </c>
      <c r="E165" s="6" t="s">
        <v>69</v>
      </c>
      <c r="F165" s="12">
        <v>37592.0</v>
      </c>
      <c r="G165" s="8">
        <f t="shared" si="1"/>
        <v>23.61369863</v>
      </c>
      <c r="H165" s="9">
        <v>163.0</v>
      </c>
      <c r="I165" s="9">
        <v>36.0</v>
      </c>
      <c r="J165" s="347" t="s">
        <v>1946</v>
      </c>
    </row>
    <row r="166">
      <c r="B166" s="27">
        <v>164.0</v>
      </c>
      <c r="C166" s="28" t="s">
        <v>493</v>
      </c>
      <c r="D166" s="34" t="s">
        <v>36</v>
      </c>
      <c r="E166" s="34" t="s">
        <v>167</v>
      </c>
      <c r="F166" s="30">
        <v>37296.0</v>
      </c>
      <c r="G166" s="31">
        <f t="shared" si="1"/>
        <v>24.42465753</v>
      </c>
      <c r="H166" s="49">
        <v>164.0</v>
      </c>
      <c r="I166" s="9">
        <v>-7.0</v>
      </c>
      <c r="J166" s="345" t="s">
        <v>1535</v>
      </c>
    </row>
    <row r="167">
      <c r="B167" s="27">
        <v>165.0</v>
      </c>
      <c r="C167" s="34" t="s">
        <v>488</v>
      </c>
      <c r="D167" s="34" t="s">
        <v>14</v>
      </c>
      <c r="E167" s="34" t="s">
        <v>58</v>
      </c>
      <c r="F167" s="30">
        <v>37686.0</v>
      </c>
      <c r="G167" s="31">
        <f t="shared" si="1"/>
        <v>23.35616438</v>
      </c>
      <c r="H167" s="9">
        <v>165.0</v>
      </c>
      <c r="I167" s="9">
        <v>-16.0</v>
      </c>
      <c r="J167" s="346" t="s">
        <v>1521</v>
      </c>
    </row>
    <row r="168">
      <c r="B168" s="27">
        <v>166.0</v>
      </c>
      <c r="C168" s="28" t="s">
        <v>669</v>
      </c>
      <c r="D168" s="34" t="s">
        <v>14</v>
      </c>
      <c r="E168" s="34" t="s">
        <v>82</v>
      </c>
      <c r="F168" s="30">
        <v>38641.0</v>
      </c>
      <c r="G168" s="31">
        <f t="shared" si="1"/>
        <v>20.74246575</v>
      </c>
      <c r="H168" s="49">
        <v>166.0</v>
      </c>
      <c r="I168" s="9">
        <v>30.0</v>
      </c>
      <c r="J168" s="345" t="s">
        <v>1517</v>
      </c>
    </row>
    <row r="169">
      <c r="B169" s="27">
        <v>167.0</v>
      </c>
      <c r="C169" s="28" t="s">
        <v>366</v>
      </c>
      <c r="D169" s="34" t="s">
        <v>10</v>
      </c>
      <c r="E169" s="34" t="s">
        <v>167</v>
      </c>
      <c r="F169" s="30">
        <v>37718.0</v>
      </c>
      <c r="G169" s="31">
        <f t="shared" si="1"/>
        <v>23.26849315</v>
      </c>
      <c r="H169" s="9">
        <v>167.0</v>
      </c>
      <c r="I169" s="9">
        <v>83.0</v>
      </c>
      <c r="J169" s="345" t="s">
        <v>1549</v>
      </c>
    </row>
    <row r="170">
      <c r="B170" s="239">
        <v>168.0</v>
      </c>
      <c r="C170" s="6" t="s">
        <v>603</v>
      </c>
      <c r="D170" s="6" t="s">
        <v>36</v>
      </c>
      <c r="E170" s="6" t="s">
        <v>167</v>
      </c>
      <c r="F170" s="12">
        <v>36533.0</v>
      </c>
      <c r="G170" s="8">
        <f t="shared" si="1"/>
        <v>26.51238117</v>
      </c>
      <c r="H170" s="49">
        <v>168.0</v>
      </c>
      <c r="I170" s="9">
        <v>1.0</v>
      </c>
      <c r="J170" s="10" t="s">
        <v>1947</v>
      </c>
    </row>
    <row r="171">
      <c r="B171" s="5">
        <v>169.0</v>
      </c>
      <c r="C171" s="6" t="s">
        <v>565</v>
      </c>
      <c r="D171" s="6" t="s">
        <v>21</v>
      </c>
      <c r="E171" s="6" t="s">
        <v>87</v>
      </c>
      <c r="F171" s="12">
        <v>33170.0</v>
      </c>
      <c r="G171" s="8">
        <f t="shared" si="1"/>
        <v>35.72054795</v>
      </c>
      <c r="H171" s="9">
        <v>169.0</v>
      </c>
      <c r="I171" s="9">
        <v>-7.0</v>
      </c>
      <c r="J171" s="10" t="s">
        <v>1528</v>
      </c>
    </row>
    <row r="172">
      <c r="B172" s="5">
        <v>170.0</v>
      </c>
      <c r="C172" s="11" t="s">
        <v>479</v>
      </c>
      <c r="D172" s="11" t="s">
        <v>14</v>
      </c>
      <c r="E172" s="11" t="s">
        <v>95</v>
      </c>
      <c r="F172" s="12">
        <v>33066.0</v>
      </c>
      <c r="G172" s="8">
        <f t="shared" si="1"/>
        <v>36.00547945</v>
      </c>
      <c r="H172" s="49">
        <v>170.0</v>
      </c>
      <c r="I172" s="9">
        <v>1.0</v>
      </c>
      <c r="J172" s="341" t="s">
        <v>1516</v>
      </c>
    </row>
    <row r="173">
      <c r="B173" s="27">
        <v>171.0</v>
      </c>
      <c r="C173" s="28" t="s">
        <v>403</v>
      </c>
      <c r="D173" s="34" t="s">
        <v>14</v>
      </c>
      <c r="E173" s="34" t="s">
        <v>128</v>
      </c>
      <c r="F173" s="30">
        <v>38866.0</v>
      </c>
      <c r="G173" s="31">
        <f t="shared" si="1"/>
        <v>20.1260274</v>
      </c>
      <c r="H173" s="9">
        <v>171.0</v>
      </c>
      <c r="I173" s="9">
        <v>-4.0</v>
      </c>
      <c r="J173" s="54" t="s">
        <v>1532</v>
      </c>
    </row>
    <row r="174">
      <c r="B174" s="239">
        <v>172.0</v>
      </c>
      <c r="C174" s="6" t="s">
        <v>386</v>
      </c>
      <c r="D174" s="6" t="s">
        <v>14</v>
      </c>
      <c r="E174" s="6" t="s">
        <v>95</v>
      </c>
      <c r="F174" s="12">
        <v>33069.0</v>
      </c>
      <c r="G174" s="8">
        <f t="shared" si="1"/>
        <v>35.99726027</v>
      </c>
      <c r="H174" s="49">
        <v>172.0</v>
      </c>
      <c r="I174" s="9">
        <v>14.0</v>
      </c>
      <c r="J174" s="10" t="s">
        <v>1537</v>
      </c>
    </row>
    <row r="175">
      <c r="B175" s="27">
        <v>173.0</v>
      </c>
      <c r="C175" s="28" t="s">
        <v>426</v>
      </c>
      <c r="D175" s="29" t="s">
        <v>25</v>
      </c>
      <c r="E175" s="29" t="s">
        <v>87</v>
      </c>
      <c r="F175" s="30">
        <v>39069.0</v>
      </c>
      <c r="G175" s="31">
        <f t="shared" si="1"/>
        <v>19.56986301</v>
      </c>
      <c r="H175" s="9">
        <v>173.0</v>
      </c>
      <c r="I175" s="9">
        <v>-1.0</v>
      </c>
      <c r="J175" s="345" t="s">
        <v>1529</v>
      </c>
    </row>
    <row r="176">
      <c r="B176" s="5">
        <v>174.0</v>
      </c>
      <c r="C176" s="6" t="s">
        <v>438</v>
      </c>
      <c r="D176" s="11" t="s">
        <v>36</v>
      </c>
      <c r="E176" s="11" t="s">
        <v>26</v>
      </c>
      <c r="F176" s="12">
        <v>37662.0</v>
      </c>
      <c r="G176" s="8">
        <f t="shared" si="1"/>
        <v>23.42191781</v>
      </c>
      <c r="H176" s="49">
        <v>174.0</v>
      </c>
      <c r="I176" s="9">
        <v>4.0</v>
      </c>
      <c r="J176" s="344" t="s">
        <v>1513</v>
      </c>
    </row>
    <row r="177">
      <c r="B177" s="239">
        <v>175.0</v>
      </c>
      <c r="C177" s="6" t="s">
        <v>546</v>
      </c>
      <c r="D177" s="6" t="s">
        <v>14</v>
      </c>
      <c r="E177" s="6" t="s">
        <v>37</v>
      </c>
      <c r="F177" s="12">
        <v>38356.0</v>
      </c>
      <c r="G177" s="8">
        <f t="shared" si="1"/>
        <v>21.52328767</v>
      </c>
      <c r="H177" s="9">
        <v>175.0</v>
      </c>
      <c r="I177" s="9">
        <v>-12.0</v>
      </c>
      <c r="J177" s="10" t="s">
        <v>1542</v>
      </c>
    </row>
    <row r="178">
      <c r="B178" s="374">
        <v>176.0</v>
      </c>
      <c r="C178" s="28" t="s">
        <v>318</v>
      </c>
      <c r="D178" s="34" t="s">
        <v>25</v>
      </c>
      <c r="E178" s="34" t="s">
        <v>11</v>
      </c>
      <c r="F178" s="30">
        <v>38682.0</v>
      </c>
      <c r="G178" s="31">
        <f t="shared" si="1"/>
        <v>20.63013699</v>
      </c>
      <c r="H178" s="49">
        <v>176.0</v>
      </c>
      <c r="I178" s="9">
        <v>-12.0</v>
      </c>
      <c r="J178" s="345" t="s">
        <v>319</v>
      </c>
    </row>
    <row r="179">
      <c r="B179" s="375">
        <v>177.0</v>
      </c>
      <c r="C179" s="6" t="s">
        <v>512</v>
      </c>
      <c r="D179" s="6" t="s">
        <v>25</v>
      </c>
      <c r="E179" s="6" t="s">
        <v>69</v>
      </c>
      <c r="F179" s="12">
        <v>35766.0</v>
      </c>
      <c r="G179" s="8">
        <f t="shared" si="1"/>
        <v>28.61369863</v>
      </c>
      <c r="H179" s="9">
        <v>177.0</v>
      </c>
      <c r="I179" s="9">
        <v>-11.0</v>
      </c>
      <c r="J179" s="10" t="s">
        <v>1948</v>
      </c>
    </row>
    <row r="180">
      <c r="B180" s="376">
        <v>178.0</v>
      </c>
      <c r="C180" s="6" t="s">
        <v>495</v>
      </c>
      <c r="D180" s="6" t="s">
        <v>14</v>
      </c>
      <c r="E180" s="6" t="s">
        <v>49</v>
      </c>
      <c r="F180" s="12">
        <v>36840.0</v>
      </c>
      <c r="G180" s="8">
        <f t="shared" si="1"/>
        <v>25.67358335</v>
      </c>
      <c r="H180" s="49">
        <v>178.0</v>
      </c>
      <c r="I180" s="9">
        <v>3.0</v>
      </c>
      <c r="J180" s="341" t="s">
        <v>1538</v>
      </c>
    </row>
    <row r="181">
      <c r="B181" s="375">
        <v>179.0</v>
      </c>
      <c r="C181" s="6" t="s">
        <v>409</v>
      </c>
      <c r="D181" s="11" t="s">
        <v>25</v>
      </c>
      <c r="E181" s="11" t="s">
        <v>128</v>
      </c>
      <c r="F181" s="12">
        <v>34753.0</v>
      </c>
      <c r="G181" s="8">
        <f t="shared" si="1"/>
        <v>31.38630137</v>
      </c>
      <c r="H181" s="9">
        <v>179.0</v>
      </c>
      <c r="I181" s="9">
        <v>-3.0</v>
      </c>
      <c r="J181" s="341" t="s">
        <v>1530</v>
      </c>
    </row>
    <row r="182">
      <c r="B182" s="342">
        <v>180.0</v>
      </c>
      <c r="C182" s="6" t="s">
        <v>484</v>
      </c>
      <c r="D182" s="6" t="s">
        <v>25</v>
      </c>
      <c r="E182" s="6" t="s">
        <v>32</v>
      </c>
      <c r="F182" s="12">
        <v>37585.0</v>
      </c>
      <c r="G182" s="8">
        <f t="shared" si="1"/>
        <v>23.63287671</v>
      </c>
      <c r="H182" s="49">
        <v>180.0</v>
      </c>
      <c r="I182" s="9">
        <v>8.0</v>
      </c>
      <c r="J182" s="341" t="s">
        <v>1550</v>
      </c>
    </row>
    <row r="183">
      <c r="B183" s="375">
        <v>181.0</v>
      </c>
      <c r="C183" s="6" t="s">
        <v>516</v>
      </c>
      <c r="D183" s="6" t="s">
        <v>36</v>
      </c>
      <c r="E183" s="6" t="s">
        <v>49</v>
      </c>
      <c r="F183" s="12">
        <v>37859.0</v>
      </c>
      <c r="G183" s="8">
        <f t="shared" si="1"/>
        <v>22.88219178</v>
      </c>
      <c r="H183" s="9">
        <v>181.0</v>
      </c>
      <c r="I183" s="9">
        <v>3.0</v>
      </c>
      <c r="J183" s="341" t="s">
        <v>1551</v>
      </c>
    </row>
    <row r="184">
      <c r="B184" s="375">
        <v>182.0</v>
      </c>
      <c r="C184" s="35" t="s">
        <v>351</v>
      </c>
      <c r="D184" s="11" t="s">
        <v>21</v>
      </c>
      <c r="E184" s="35" t="s">
        <v>32</v>
      </c>
      <c r="F184" s="12">
        <v>36354.0</v>
      </c>
      <c r="G184" s="8">
        <f t="shared" si="1"/>
        <v>27.00273973</v>
      </c>
      <c r="H184" s="49">
        <v>182.0</v>
      </c>
      <c r="I184" s="9">
        <v>21.0</v>
      </c>
      <c r="J184" s="341" t="s">
        <v>1511</v>
      </c>
    </row>
    <row r="185">
      <c r="B185" s="374">
        <v>183.0</v>
      </c>
      <c r="C185" s="28" t="s">
        <v>617</v>
      </c>
      <c r="D185" s="34" t="s">
        <v>21</v>
      </c>
      <c r="E185" s="34" t="s">
        <v>95</v>
      </c>
      <c r="F185" s="30">
        <v>38529.0</v>
      </c>
      <c r="G185" s="31">
        <f t="shared" si="1"/>
        <v>21.04931507</v>
      </c>
      <c r="H185" s="9">
        <v>183.0</v>
      </c>
      <c r="I185" s="9">
        <v>-10.0</v>
      </c>
      <c r="J185" s="345" t="s">
        <v>1548</v>
      </c>
    </row>
    <row r="186">
      <c r="B186" s="343">
        <v>184.0</v>
      </c>
      <c r="C186" s="6" t="s">
        <v>432</v>
      </c>
      <c r="D186" s="6" t="s">
        <v>25</v>
      </c>
      <c r="E186" s="6" t="s">
        <v>55</v>
      </c>
      <c r="F186" s="12">
        <v>35086.0</v>
      </c>
      <c r="G186" s="8">
        <f t="shared" si="1"/>
        <v>30.4741298</v>
      </c>
      <c r="H186" s="49">
        <v>184.0</v>
      </c>
      <c r="I186" s="9">
        <v>25.0</v>
      </c>
      <c r="J186" s="341" t="s">
        <v>1524</v>
      </c>
    </row>
    <row r="187">
      <c r="B187" s="343">
        <v>185.0</v>
      </c>
      <c r="C187" s="6" t="s">
        <v>863</v>
      </c>
      <c r="D187" s="6" t="s">
        <v>25</v>
      </c>
      <c r="E187" s="6" t="s">
        <v>11</v>
      </c>
      <c r="F187" s="12">
        <v>37761.0</v>
      </c>
      <c r="G187" s="8">
        <f t="shared" si="1"/>
        <v>23.15068493</v>
      </c>
      <c r="H187" s="9">
        <v>185.0</v>
      </c>
      <c r="I187" s="9">
        <v>-20.0</v>
      </c>
      <c r="J187" s="10" t="s">
        <v>1554</v>
      </c>
    </row>
    <row r="188">
      <c r="B188" s="342">
        <v>186.0</v>
      </c>
      <c r="C188" s="6" t="s">
        <v>411</v>
      </c>
      <c r="D188" s="6" t="s">
        <v>10</v>
      </c>
      <c r="E188" s="6" t="s">
        <v>29</v>
      </c>
      <c r="F188" s="12">
        <v>37033.0</v>
      </c>
      <c r="G188" s="8">
        <f t="shared" si="1"/>
        <v>25.14520548</v>
      </c>
      <c r="H188" s="49">
        <v>186.0</v>
      </c>
      <c r="I188" s="9">
        <v>4.0</v>
      </c>
      <c r="J188" s="341" t="s">
        <v>1525</v>
      </c>
    </row>
    <row r="189">
      <c r="B189" s="375">
        <v>187.0</v>
      </c>
      <c r="C189" s="6" t="s">
        <v>440</v>
      </c>
      <c r="D189" s="6" t="s">
        <v>14</v>
      </c>
      <c r="E189" s="6" t="s">
        <v>128</v>
      </c>
      <c r="F189" s="12">
        <v>36043.0</v>
      </c>
      <c r="G189" s="8">
        <f t="shared" si="1"/>
        <v>27.85479452</v>
      </c>
      <c r="H189" s="9">
        <v>187.0</v>
      </c>
      <c r="I189" s="9">
        <v>9.0</v>
      </c>
      <c r="J189" s="341" t="s">
        <v>1536</v>
      </c>
    </row>
    <row r="190">
      <c r="B190" s="374">
        <v>188.0</v>
      </c>
      <c r="C190" s="28" t="s">
        <v>396</v>
      </c>
      <c r="D190" s="34" t="s">
        <v>36</v>
      </c>
      <c r="E190" s="34" t="s">
        <v>32</v>
      </c>
      <c r="F190" s="30">
        <v>38753.0</v>
      </c>
      <c r="G190" s="31">
        <f t="shared" si="1"/>
        <v>20.43561644</v>
      </c>
      <c r="H190" s="49">
        <v>188.0</v>
      </c>
      <c r="I190" s="9">
        <v>13.0</v>
      </c>
      <c r="J190" s="345" t="s">
        <v>1540</v>
      </c>
    </row>
    <row r="191">
      <c r="B191" s="374">
        <v>189.0</v>
      </c>
      <c r="C191" s="28" t="s">
        <v>471</v>
      </c>
      <c r="D191" s="34" t="s">
        <v>10</v>
      </c>
      <c r="E191" s="34" t="s">
        <v>158</v>
      </c>
      <c r="F191" s="30">
        <v>38112.0</v>
      </c>
      <c r="G191" s="31">
        <f t="shared" si="1"/>
        <v>22.18997679</v>
      </c>
      <c r="H191" s="9">
        <v>189.0</v>
      </c>
      <c r="I191" s="9">
        <v>38.0</v>
      </c>
      <c r="J191" s="345" t="s">
        <v>1543</v>
      </c>
    </row>
    <row r="192">
      <c r="B192" s="342">
        <v>190.0</v>
      </c>
      <c r="C192" s="11" t="s">
        <v>682</v>
      </c>
      <c r="D192" s="11" t="s">
        <v>10</v>
      </c>
      <c r="E192" s="11" t="s">
        <v>158</v>
      </c>
      <c r="F192" s="12">
        <v>38182.0</v>
      </c>
      <c r="G192" s="8">
        <f t="shared" si="1"/>
        <v>21.99871996</v>
      </c>
      <c r="H192" s="49">
        <v>190.0</v>
      </c>
      <c r="I192" s="9">
        <v>68.0</v>
      </c>
      <c r="J192" s="341" t="s">
        <v>1539</v>
      </c>
    </row>
    <row r="193">
      <c r="B193" s="342">
        <v>191.0</v>
      </c>
      <c r="C193" s="6" t="s">
        <v>434</v>
      </c>
      <c r="D193" s="6" t="s">
        <v>14</v>
      </c>
      <c r="E193" s="6" t="s">
        <v>213</v>
      </c>
      <c r="F193" s="12">
        <v>36650.0</v>
      </c>
      <c r="G193" s="8">
        <f t="shared" si="1"/>
        <v>26.19270904</v>
      </c>
      <c r="H193" s="9">
        <v>191.0</v>
      </c>
      <c r="I193" s="9">
        <v>38.0</v>
      </c>
      <c r="J193" s="347" t="s">
        <v>1949</v>
      </c>
    </row>
    <row r="194">
      <c r="B194" s="343">
        <v>192.0</v>
      </c>
      <c r="C194" s="11" t="s">
        <v>526</v>
      </c>
      <c r="D194" s="11" t="s">
        <v>25</v>
      </c>
      <c r="E194" s="11" t="s">
        <v>95</v>
      </c>
      <c r="F194" s="12">
        <v>34405.0</v>
      </c>
      <c r="G194" s="8">
        <f t="shared" si="1"/>
        <v>32.33972603</v>
      </c>
      <c r="H194" s="49">
        <v>192.0</v>
      </c>
      <c r="I194" s="9">
        <v>-12.0</v>
      </c>
      <c r="J194" s="341" t="s">
        <v>1541</v>
      </c>
    </row>
    <row r="195">
      <c r="B195" s="343">
        <v>193.0</v>
      </c>
      <c r="C195" s="6" t="s">
        <v>458</v>
      </c>
      <c r="D195" s="6" t="s">
        <v>14</v>
      </c>
      <c r="E195" s="6" t="s">
        <v>66</v>
      </c>
      <c r="F195" s="12">
        <v>33500.0</v>
      </c>
      <c r="G195" s="8">
        <f t="shared" si="1"/>
        <v>34.81643836</v>
      </c>
      <c r="H195" s="9">
        <v>193.0</v>
      </c>
      <c r="I195" s="9">
        <v>-19.0</v>
      </c>
      <c r="J195" s="10" t="s">
        <v>1562</v>
      </c>
    </row>
    <row r="196">
      <c r="B196" s="375">
        <v>194.0</v>
      </c>
      <c r="C196" s="6" t="s">
        <v>692</v>
      </c>
      <c r="D196" s="6" t="s">
        <v>25</v>
      </c>
      <c r="E196" s="6" t="s">
        <v>18</v>
      </c>
      <c r="F196" s="12">
        <v>37198.0</v>
      </c>
      <c r="G196" s="8">
        <f t="shared" si="1"/>
        <v>24.69315068</v>
      </c>
      <c r="H196" s="49">
        <v>194.0</v>
      </c>
      <c r="I196" s="9">
        <v>-8.0</v>
      </c>
      <c r="J196" s="341" t="s">
        <v>1544</v>
      </c>
    </row>
    <row r="197">
      <c r="B197" s="375">
        <v>195.0</v>
      </c>
      <c r="C197" s="6" t="s">
        <v>720</v>
      </c>
      <c r="D197" s="6" t="s">
        <v>77</v>
      </c>
      <c r="E197" s="6" t="s">
        <v>111</v>
      </c>
      <c r="F197" s="12">
        <v>37628.0</v>
      </c>
      <c r="G197" s="8">
        <f t="shared" si="1"/>
        <v>23.51506849</v>
      </c>
      <c r="H197" s="9">
        <v>195.0</v>
      </c>
      <c r="I197" s="9">
        <v>2.0</v>
      </c>
      <c r="J197" s="347" t="s">
        <v>1545</v>
      </c>
    </row>
    <row r="198">
      <c r="B198" s="375">
        <v>196.0</v>
      </c>
      <c r="C198" s="6" t="s">
        <v>597</v>
      </c>
      <c r="D198" s="6" t="s">
        <v>25</v>
      </c>
      <c r="E198" s="6" t="s">
        <v>213</v>
      </c>
      <c r="F198" s="12">
        <v>34904.0</v>
      </c>
      <c r="G198" s="8">
        <f t="shared" si="1"/>
        <v>30.97260274</v>
      </c>
      <c r="H198" s="49">
        <v>196.0</v>
      </c>
      <c r="I198" s="9">
        <v>-17.0</v>
      </c>
      <c r="J198" s="341" t="s">
        <v>1563</v>
      </c>
    </row>
    <row r="199">
      <c r="B199" s="376">
        <v>197.0</v>
      </c>
      <c r="C199" s="11" t="s">
        <v>384</v>
      </c>
      <c r="D199" s="11" t="s">
        <v>10</v>
      </c>
      <c r="E199" s="11" t="s">
        <v>90</v>
      </c>
      <c r="F199" s="12">
        <v>37277.0</v>
      </c>
      <c r="G199" s="8">
        <f t="shared" si="1"/>
        <v>24.47671233</v>
      </c>
      <c r="H199" s="9">
        <v>197.0</v>
      </c>
      <c r="I199" s="9">
        <v>11.0</v>
      </c>
      <c r="J199" s="341" t="s">
        <v>1950</v>
      </c>
    </row>
    <row r="200">
      <c r="B200" s="376">
        <v>198.0</v>
      </c>
      <c r="C200" s="6" t="s">
        <v>497</v>
      </c>
      <c r="D200" s="6" t="s">
        <v>36</v>
      </c>
      <c r="E200" s="6" t="s">
        <v>15</v>
      </c>
      <c r="F200" s="12">
        <v>36162.0</v>
      </c>
      <c r="G200" s="8">
        <f t="shared" si="1"/>
        <v>27.52876712</v>
      </c>
      <c r="H200" s="49">
        <v>198.0</v>
      </c>
      <c r="I200" s="9">
        <v>-9.0</v>
      </c>
      <c r="J200" s="341" t="s">
        <v>1546</v>
      </c>
    </row>
    <row r="201">
      <c r="B201" s="343">
        <v>199.0</v>
      </c>
      <c r="C201" s="11" t="s">
        <v>550</v>
      </c>
      <c r="D201" s="11" t="s">
        <v>77</v>
      </c>
      <c r="E201" s="11" t="s">
        <v>167</v>
      </c>
      <c r="F201" s="12">
        <v>32727.0</v>
      </c>
      <c r="G201" s="8">
        <f t="shared" si="1"/>
        <v>36.93424658</v>
      </c>
      <c r="H201" s="9">
        <v>199.0</v>
      </c>
      <c r="I201" s="9">
        <v>-5.0</v>
      </c>
      <c r="J201" s="347" t="s">
        <v>1533</v>
      </c>
    </row>
    <row r="202">
      <c r="B202" s="376">
        <v>200.0</v>
      </c>
      <c r="C202" s="11" t="s">
        <v>726</v>
      </c>
      <c r="D202" s="11" t="s">
        <v>21</v>
      </c>
      <c r="E202" s="11" t="s">
        <v>82</v>
      </c>
      <c r="F202" s="12">
        <v>36361.0</v>
      </c>
      <c r="G202" s="8">
        <f t="shared" si="1"/>
        <v>26.98356164</v>
      </c>
      <c r="H202" s="49">
        <v>200.0</v>
      </c>
      <c r="I202" s="9">
        <v>-5.0</v>
      </c>
      <c r="J202" s="344" t="s">
        <v>1555</v>
      </c>
    </row>
    <row r="203">
      <c r="B203" s="375">
        <v>201.0</v>
      </c>
      <c r="C203" s="6" t="s">
        <v>575</v>
      </c>
      <c r="D203" s="6" t="s">
        <v>14</v>
      </c>
      <c r="E203" s="6" t="s">
        <v>90</v>
      </c>
      <c r="F203" s="12">
        <v>36164.0</v>
      </c>
      <c r="G203" s="8">
        <f t="shared" si="1"/>
        <v>27.52328767</v>
      </c>
      <c r="H203" s="9">
        <v>201.0</v>
      </c>
      <c r="I203" s="9">
        <v>-26.0</v>
      </c>
      <c r="J203" s="10" t="s">
        <v>1564</v>
      </c>
    </row>
    <row r="204">
      <c r="B204" s="342">
        <v>202.0</v>
      </c>
      <c r="C204" s="11" t="s">
        <v>757</v>
      </c>
      <c r="D204" s="11" t="s">
        <v>21</v>
      </c>
      <c r="E204" s="11" t="s">
        <v>11</v>
      </c>
      <c r="F204" s="12">
        <v>34895.0</v>
      </c>
      <c r="G204" s="8">
        <f t="shared" si="1"/>
        <v>30.99726027</v>
      </c>
      <c r="H204" s="49">
        <v>202.0</v>
      </c>
      <c r="I204" s="9">
        <v>5.0</v>
      </c>
      <c r="J204" s="341" t="s">
        <v>1552</v>
      </c>
    </row>
    <row r="205">
      <c r="B205" s="342">
        <v>203.0</v>
      </c>
      <c r="C205" s="6" t="s">
        <v>469</v>
      </c>
      <c r="D205" s="6" t="s">
        <v>10</v>
      </c>
      <c r="E205" s="6" t="s">
        <v>176</v>
      </c>
      <c r="F205" s="12">
        <v>32936.0</v>
      </c>
      <c r="G205" s="8">
        <f t="shared" si="1"/>
        <v>36.36164384</v>
      </c>
      <c r="H205" s="9">
        <v>203.0</v>
      </c>
      <c r="I205" s="9">
        <v>-14.0</v>
      </c>
      <c r="J205" s="347" t="s">
        <v>470</v>
      </c>
    </row>
    <row r="206">
      <c r="B206" s="375">
        <v>204.0</v>
      </c>
      <c r="C206" s="6" t="s">
        <v>256</v>
      </c>
      <c r="D206" s="6" t="s">
        <v>25</v>
      </c>
      <c r="E206" s="6" t="s">
        <v>22</v>
      </c>
      <c r="F206" s="12">
        <v>37510.0</v>
      </c>
      <c r="G206" s="8">
        <f t="shared" si="1"/>
        <v>23.83835616</v>
      </c>
      <c r="H206" s="49">
        <v>204.0</v>
      </c>
      <c r="I206" s="9">
        <v>19.0</v>
      </c>
      <c r="J206" s="341" t="s">
        <v>1951</v>
      </c>
    </row>
    <row r="207">
      <c r="B207" s="376">
        <v>205.0</v>
      </c>
      <c r="C207" s="11" t="s">
        <v>714</v>
      </c>
      <c r="D207" s="11" t="s">
        <v>36</v>
      </c>
      <c r="E207" s="11" t="s">
        <v>176</v>
      </c>
      <c r="F207" s="12">
        <v>37407.0</v>
      </c>
      <c r="G207" s="8">
        <f t="shared" si="1"/>
        <v>24.12054795</v>
      </c>
      <c r="H207" s="9">
        <v>205.0</v>
      </c>
      <c r="I207" s="9">
        <v>10.0</v>
      </c>
      <c r="J207" s="341" t="s">
        <v>1557</v>
      </c>
    </row>
    <row r="208">
      <c r="B208" s="376">
        <v>206.0</v>
      </c>
      <c r="C208" s="11" t="s">
        <v>382</v>
      </c>
      <c r="D208" s="11" t="s">
        <v>14</v>
      </c>
      <c r="E208" s="11" t="s">
        <v>87</v>
      </c>
      <c r="F208" s="12">
        <v>36542.0</v>
      </c>
      <c r="G208" s="8">
        <f t="shared" si="1"/>
        <v>26.487791</v>
      </c>
      <c r="H208" s="49">
        <v>206.0</v>
      </c>
      <c r="I208" s="9">
        <v>-12.0</v>
      </c>
      <c r="J208" s="344" t="s">
        <v>1565</v>
      </c>
    </row>
    <row r="209">
      <c r="B209" s="375">
        <v>207.0</v>
      </c>
      <c r="C209" s="6" t="s">
        <v>418</v>
      </c>
      <c r="D209" s="6" t="s">
        <v>21</v>
      </c>
      <c r="E209" s="6" t="s">
        <v>106</v>
      </c>
      <c r="F209" s="12">
        <v>35886.0</v>
      </c>
      <c r="G209" s="8">
        <f t="shared" si="1"/>
        <v>28.28493151</v>
      </c>
      <c r="H209" s="9">
        <v>207.0</v>
      </c>
      <c r="I209" s="9">
        <v>-15.0</v>
      </c>
      <c r="J209" s="341" t="s">
        <v>1556</v>
      </c>
    </row>
    <row r="210">
      <c r="B210" s="375">
        <v>208.0</v>
      </c>
      <c r="C210" s="6" t="s">
        <v>502</v>
      </c>
      <c r="D210" s="6" t="s">
        <v>14</v>
      </c>
      <c r="E210" s="6" t="s">
        <v>49</v>
      </c>
      <c r="F210" s="12">
        <v>36622.0</v>
      </c>
      <c r="G210" s="8">
        <f t="shared" si="1"/>
        <v>26.26921177</v>
      </c>
      <c r="H210" s="49">
        <v>208.0</v>
      </c>
      <c r="I210" s="9">
        <v>119.0</v>
      </c>
      <c r="J210" s="341" t="s">
        <v>1558</v>
      </c>
    </row>
    <row r="211">
      <c r="B211" s="375">
        <v>209.0</v>
      </c>
      <c r="C211" s="11" t="s">
        <v>798</v>
      </c>
      <c r="D211" s="11" t="s">
        <v>14</v>
      </c>
      <c r="E211" s="11" t="s">
        <v>66</v>
      </c>
      <c r="F211" s="12">
        <v>38554.0</v>
      </c>
      <c r="G211" s="8">
        <f t="shared" si="1"/>
        <v>20.98082192</v>
      </c>
      <c r="H211" s="9">
        <v>209.0</v>
      </c>
      <c r="I211" s="9">
        <v>-6.0</v>
      </c>
      <c r="J211" s="341" t="s">
        <v>1952</v>
      </c>
    </row>
    <row r="212">
      <c r="B212" s="374">
        <v>210.0</v>
      </c>
      <c r="C212" s="28" t="s">
        <v>454</v>
      </c>
      <c r="D212" s="34" t="s">
        <v>25</v>
      </c>
      <c r="E212" s="34" t="s">
        <v>82</v>
      </c>
      <c r="F212" s="30">
        <v>38359.0</v>
      </c>
      <c r="G212" s="31">
        <f t="shared" si="1"/>
        <v>21.51506849</v>
      </c>
      <c r="H212" s="49">
        <v>210.0</v>
      </c>
      <c r="I212" s="9">
        <v>29.0</v>
      </c>
      <c r="J212" s="345" t="s">
        <v>1559</v>
      </c>
    </row>
    <row r="213">
      <c r="B213" s="375">
        <v>211.0</v>
      </c>
      <c r="C213" s="6" t="s">
        <v>599</v>
      </c>
      <c r="D213" s="11" t="s">
        <v>25</v>
      </c>
      <c r="E213" s="11" t="s">
        <v>58</v>
      </c>
      <c r="F213" s="12">
        <v>37947.0</v>
      </c>
      <c r="G213" s="8">
        <f t="shared" si="1"/>
        <v>22.64109589</v>
      </c>
      <c r="H213" s="9">
        <v>211.0</v>
      </c>
      <c r="I213" s="9">
        <v>-43.0</v>
      </c>
      <c r="J213" s="341" t="s">
        <v>1579</v>
      </c>
    </row>
    <row r="214">
      <c r="B214" s="376">
        <v>212.0</v>
      </c>
      <c r="C214" s="11" t="s">
        <v>521</v>
      </c>
      <c r="D214" s="11" t="s">
        <v>25</v>
      </c>
      <c r="E214" s="11" t="s">
        <v>29</v>
      </c>
      <c r="F214" s="12">
        <v>33800.0</v>
      </c>
      <c r="G214" s="8">
        <f t="shared" si="1"/>
        <v>33.99598772</v>
      </c>
      <c r="H214" s="49">
        <v>212.0</v>
      </c>
      <c r="I214" s="9">
        <v>-29.0</v>
      </c>
      <c r="J214" s="341" t="s">
        <v>1568</v>
      </c>
    </row>
    <row r="215">
      <c r="B215" s="376">
        <v>213.0</v>
      </c>
      <c r="C215" s="6" t="s">
        <v>589</v>
      </c>
      <c r="D215" s="6" t="s">
        <v>14</v>
      </c>
      <c r="E215" s="6" t="s">
        <v>15</v>
      </c>
      <c r="F215" s="12">
        <v>34393.0</v>
      </c>
      <c r="G215" s="8">
        <f t="shared" si="1"/>
        <v>32.37260274</v>
      </c>
      <c r="H215" s="9">
        <v>213.0</v>
      </c>
      <c r="I215" s="9">
        <v>-21.0</v>
      </c>
      <c r="J215" s="341" t="s">
        <v>590</v>
      </c>
    </row>
    <row r="216">
      <c r="B216" s="376">
        <v>214.0</v>
      </c>
      <c r="C216" s="6" t="s">
        <v>739</v>
      </c>
      <c r="D216" s="6" t="s">
        <v>14</v>
      </c>
      <c r="E216" s="6" t="s">
        <v>167</v>
      </c>
      <c r="F216" s="12">
        <v>34227.0</v>
      </c>
      <c r="G216" s="8">
        <f t="shared" si="1"/>
        <v>32.82739726</v>
      </c>
      <c r="H216" s="49">
        <v>214.0</v>
      </c>
      <c r="I216" s="9">
        <v>-29.0</v>
      </c>
      <c r="J216" s="341" t="s">
        <v>1953</v>
      </c>
    </row>
    <row r="217">
      <c r="B217" s="375">
        <v>215.0</v>
      </c>
      <c r="C217" s="11" t="s">
        <v>570</v>
      </c>
      <c r="D217" s="11" t="s">
        <v>25</v>
      </c>
      <c r="E217" s="11" t="s">
        <v>82</v>
      </c>
      <c r="F217" s="12">
        <v>37026.0</v>
      </c>
      <c r="G217" s="8">
        <f t="shared" si="1"/>
        <v>25.16438356</v>
      </c>
      <c r="H217" s="9">
        <v>215.0</v>
      </c>
      <c r="I217" s="9">
        <v>23.0</v>
      </c>
      <c r="J217" s="344" t="s">
        <v>1570</v>
      </c>
    </row>
    <row r="218">
      <c r="B218" s="343">
        <v>216.0</v>
      </c>
      <c r="C218" s="6" t="s">
        <v>678</v>
      </c>
      <c r="D218" s="11" t="s">
        <v>10</v>
      </c>
      <c r="E218" s="11" t="s">
        <v>22</v>
      </c>
      <c r="F218" s="12">
        <v>37483.0</v>
      </c>
      <c r="G218" s="8">
        <f t="shared" si="1"/>
        <v>23.91232877</v>
      </c>
      <c r="H218" s="49">
        <v>216.0</v>
      </c>
      <c r="I218" s="9">
        <v>-16.0</v>
      </c>
      <c r="J218" s="341" t="s">
        <v>1566</v>
      </c>
    </row>
    <row r="219">
      <c r="B219" s="343">
        <v>217.0</v>
      </c>
      <c r="C219" s="11" t="s">
        <v>424</v>
      </c>
      <c r="D219" s="11" t="s">
        <v>10</v>
      </c>
      <c r="E219" s="11" t="s">
        <v>82</v>
      </c>
      <c r="F219" s="12">
        <v>36266.0</v>
      </c>
      <c r="G219" s="8">
        <f t="shared" si="1"/>
        <v>27.24383562</v>
      </c>
      <c r="H219" s="9">
        <v>217.0</v>
      </c>
      <c r="I219" s="9">
        <v>-13.0</v>
      </c>
      <c r="J219" s="341" t="s">
        <v>1553</v>
      </c>
    </row>
    <row r="220">
      <c r="B220" s="343">
        <v>218.0</v>
      </c>
      <c r="C220" s="6" t="s">
        <v>307</v>
      </c>
      <c r="D220" s="6" t="s">
        <v>10</v>
      </c>
      <c r="E220" s="6" t="s">
        <v>158</v>
      </c>
      <c r="F220" s="12">
        <v>37201.0</v>
      </c>
      <c r="G220" s="8">
        <f t="shared" si="1"/>
        <v>24.68493151</v>
      </c>
      <c r="H220" s="49">
        <v>218.0</v>
      </c>
      <c r="I220" s="9">
        <v>7.0</v>
      </c>
      <c r="J220" s="341" t="s">
        <v>1531</v>
      </c>
    </row>
    <row r="221">
      <c r="B221" s="375">
        <v>219.0</v>
      </c>
      <c r="C221" s="6" t="s">
        <v>518</v>
      </c>
      <c r="D221" s="6" t="s">
        <v>25</v>
      </c>
      <c r="E221" s="6" t="s">
        <v>18</v>
      </c>
      <c r="F221" s="12">
        <v>35834.0</v>
      </c>
      <c r="G221" s="8">
        <f t="shared" si="1"/>
        <v>28.42739726</v>
      </c>
      <c r="H221" s="9">
        <v>219.0</v>
      </c>
      <c r="I221" s="9">
        <v>-13.0</v>
      </c>
      <c r="J221" s="341" t="s">
        <v>1567</v>
      </c>
    </row>
    <row r="222">
      <c r="B222" s="342">
        <v>220.0</v>
      </c>
      <c r="C222" s="11" t="s">
        <v>630</v>
      </c>
      <c r="D222" s="11" t="s">
        <v>36</v>
      </c>
      <c r="E222" s="11" t="s">
        <v>15</v>
      </c>
      <c r="F222" s="12">
        <v>36269.0</v>
      </c>
      <c r="G222" s="8">
        <f t="shared" si="1"/>
        <v>27.23561644</v>
      </c>
      <c r="H222" s="49">
        <v>220.0</v>
      </c>
      <c r="I222" s="9">
        <v>-2.0</v>
      </c>
      <c r="J222" s="341" t="s">
        <v>1573</v>
      </c>
    </row>
    <row r="223">
      <c r="B223" s="377">
        <v>221.0</v>
      </c>
      <c r="C223" s="28" t="s">
        <v>680</v>
      </c>
      <c r="D223" s="28" t="s">
        <v>36</v>
      </c>
      <c r="E223" s="29" t="s">
        <v>176</v>
      </c>
      <c r="F223" s="44">
        <v>37614.0</v>
      </c>
      <c r="G223" s="28">
        <v>22.8</v>
      </c>
      <c r="H223" s="9">
        <v>221.0</v>
      </c>
      <c r="I223" s="9">
        <v>13.0</v>
      </c>
      <c r="J223" s="54" t="s">
        <v>1574</v>
      </c>
    </row>
    <row r="224">
      <c r="B224" s="343">
        <v>222.0</v>
      </c>
      <c r="C224" s="11" t="s">
        <v>628</v>
      </c>
      <c r="D224" s="11" t="s">
        <v>21</v>
      </c>
      <c r="E224" s="11" t="s">
        <v>46</v>
      </c>
      <c r="F224" s="12">
        <v>35667.0</v>
      </c>
      <c r="G224" s="8">
        <f t="shared" ref="G224:G232" si="2">YEARFRAC(F224, TODAY(),1)</f>
        <v>28.88493151</v>
      </c>
      <c r="H224" s="49">
        <v>222.0</v>
      </c>
      <c r="I224" s="9">
        <v>34.0</v>
      </c>
      <c r="J224" s="344" t="s">
        <v>1575</v>
      </c>
    </row>
    <row r="225">
      <c r="B225" s="343">
        <v>223.0</v>
      </c>
      <c r="C225" s="6" t="s">
        <v>803</v>
      </c>
      <c r="D225" s="6" t="s">
        <v>14</v>
      </c>
      <c r="E225" s="35" t="s">
        <v>167</v>
      </c>
      <c r="F225" s="12">
        <v>32459.0</v>
      </c>
      <c r="G225" s="8">
        <f t="shared" si="2"/>
        <v>37.66811887</v>
      </c>
      <c r="H225" s="9">
        <v>223.0</v>
      </c>
      <c r="I225" s="9">
        <v>1.0</v>
      </c>
      <c r="J225" s="341" t="s">
        <v>804</v>
      </c>
    </row>
    <row r="226">
      <c r="B226" s="343">
        <v>224.0</v>
      </c>
      <c r="C226" s="15" t="s">
        <v>638</v>
      </c>
      <c r="D226" s="35" t="s">
        <v>869</v>
      </c>
      <c r="E226" s="11" t="s">
        <v>46</v>
      </c>
      <c r="F226" s="12">
        <v>35858.0</v>
      </c>
      <c r="G226" s="8">
        <f t="shared" si="2"/>
        <v>28.36164384</v>
      </c>
      <c r="H226" s="49">
        <v>224.0</v>
      </c>
      <c r="I226" s="9">
        <v>-9.0</v>
      </c>
      <c r="J226" s="341" t="s">
        <v>1581</v>
      </c>
    </row>
    <row r="227">
      <c r="B227" s="376">
        <v>225.0</v>
      </c>
      <c r="C227" s="6" t="s">
        <v>506</v>
      </c>
      <c r="D227" s="6" t="s">
        <v>36</v>
      </c>
      <c r="E227" s="6" t="s">
        <v>37</v>
      </c>
      <c r="F227" s="12">
        <v>36737.0</v>
      </c>
      <c r="G227" s="8">
        <f t="shared" si="2"/>
        <v>25.95500412</v>
      </c>
      <c r="H227" s="9">
        <v>225.0</v>
      </c>
      <c r="I227" s="9">
        <v>-13.0</v>
      </c>
      <c r="J227" s="341" t="s">
        <v>1954</v>
      </c>
    </row>
    <row r="228">
      <c r="B228" s="375">
        <v>226.0</v>
      </c>
      <c r="C228" s="6" t="s">
        <v>414</v>
      </c>
      <c r="D228" s="6" t="s">
        <v>183</v>
      </c>
      <c r="E228" s="6" t="s">
        <v>111</v>
      </c>
      <c r="F228" s="12">
        <v>36336.0</v>
      </c>
      <c r="G228" s="8">
        <f t="shared" si="2"/>
        <v>27.05205479</v>
      </c>
      <c r="H228" s="49">
        <v>226.0</v>
      </c>
      <c r="I228" s="9">
        <v>48.0</v>
      </c>
      <c r="J228" s="347" t="s">
        <v>1576</v>
      </c>
    </row>
    <row r="229">
      <c r="B229" s="375">
        <v>227.0</v>
      </c>
      <c r="C229" s="11" t="s">
        <v>601</v>
      </c>
      <c r="D229" s="11" t="s">
        <v>14</v>
      </c>
      <c r="E229" s="11" t="s">
        <v>106</v>
      </c>
      <c r="F229" s="12">
        <v>36777.0</v>
      </c>
      <c r="G229" s="8">
        <f t="shared" si="2"/>
        <v>25.8457145</v>
      </c>
      <c r="H229" s="9">
        <v>227.0</v>
      </c>
      <c r="I229" s="9">
        <v>-6.0</v>
      </c>
      <c r="J229" s="344" t="s">
        <v>1571</v>
      </c>
    </row>
    <row r="230">
      <c r="B230" s="375">
        <v>228.0</v>
      </c>
      <c r="C230" s="11" t="s">
        <v>392</v>
      </c>
      <c r="D230" s="11" t="s">
        <v>25</v>
      </c>
      <c r="E230" s="11" t="s">
        <v>26</v>
      </c>
      <c r="F230" s="12">
        <v>35819.0</v>
      </c>
      <c r="G230" s="8">
        <f t="shared" si="2"/>
        <v>28.46849315</v>
      </c>
      <c r="H230" s="49">
        <v>228.0</v>
      </c>
      <c r="I230" s="9">
        <v>-6.0</v>
      </c>
      <c r="J230" s="341" t="s">
        <v>1534</v>
      </c>
    </row>
    <row r="231">
      <c r="B231" s="376">
        <v>229.0</v>
      </c>
      <c r="C231" s="11" t="s">
        <v>591</v>
      </c>
      <c r="D231" s="11" t="s">
        <v>25</v>
      </c>
      <c r="E231" s="11" t="s">
        <v>11</v>
      </c>
      <c r="F231" s="12">
        <v>36444.0</v>
      </c>
      <c r="G231" s="8">
        <f t="shared" si="2"/>
        <v>26.75616438</v>
      </c>
      <c r="H231" s="9">
        <v>229.0</v>
      </c>
      <c r="I231" s="9">
        <v>37.0</v>
      </c>
      <c r="J231" s="341" t="s">
        <v>1578</v>
      </c>
    </row>
    <row r="232">
      <c r="B232" s="376">
        <v>230.0</v>
      </c>
      <c r="C232" s="6" t="s">
        <v>732</v>
      </c>
      <c r="D232" s="6" t="s">
        <v>14</v>
      </c>
      <c r="E232" s="6" t="s">
        <v>167</v>
      </c>
      <c r="F232" s="12">
        <v>37333.0</v>
      </c>
      <c r="G232" s="8">
        <f t="shared" si="2"/>
        <v>24.32328767</v>
      </c>
      <c r="H232" s="49">
        <v>230.0</v>
      </c>
      <c r="I232" s="9">
        <v>-16.0</v>
      </c>
      <c r="J232" s="347" t="s">
        <v>1604</v>
      </c>
    </row>
    <row r="233">
      <c r="B233" s="27">
        <v>231.0</v>
      </c>
      <c r="C233" s="28" t="s">
        <v>626</v>
      </c>
      <c r="D233" s="28" t="s">
        <v>183</v>
      </c>
      <c r="E233" s="29" t="s">
        <v>26</v>
      </c>
      <c r="F233" s="44">
        <v>37690.0</v>
      </c>
      <c r="G233" s="28">
        <v>22.6</v>
      </c>
      <c r="H233" s="9">
        <v>231.0</v>
      </c>
      <c r="I233" s="9">
        <v>101.0</v>
      </c>
      <c r="J233" s="54" t="s">
        <v>1588</v>
      </c>
    </row>
    <row r="234">
      <c r="B234" s="5">
        <v>232.0</v>
      </c>
      <c r="C234" s="6" t="s">
        <v>698</v>
      </c>
      <c r="D234" s="6" t="s">
        <v>573</v>
      </c>
      <c r="E234" s="6" t="s">
        <v>213</v>
      </c>
      <c r="F234" s="12">
        <v>36430.0</v>
      </c>
      <c r="G234" s="8">
        <f t="shared" ref="G234:G322" si="3">YEARFRAC(F234, TODAY(),1)</f>
        <v>26.79452055</v>
      </c>
      <c r="H234" s="49">
        <v>232.0</v>
      </c>
      <c r="I234" s="9">
        <v>0.0</v>
      </c>
      <c r="J234" s="347" t="s">
        <v>1582</v>
      </c>
    </row>
    <row r="235">
      <c r="B235" s="27">
        <v>233.0</v>
      </c>
      <c r="C235" s="28" t="s">
        <v>709</v>
      </c>
      <c r="D235" s="34" t="s">
        <v>36</v>
      </c>
      <c r="E235" s="34" t="s">
        <v>90</v>
      </c>
      <c r="F235" s="30">
        <v>38640.0</v>
      </c>
      <c r="G235" s="31">
        <f t="shared" si="3"/>
        <v>20.74520548</v>
      </c>
      <c r="H235" s="9">
        <v>233.0</v>
      </c>
      <c r="I235" s="9">
        <v>-17.0</v>
      </c>
      <c r="J235" s="348" t="s">
        <v>1600</v>
      </c>
    </row>
    <row r="236">
      <c r="B236" s="239">
        <v>234.0</v>
      </c>
      <c r="C236" s="6" t="s">
        <v>753</v>
      </c>
      <c r="D236" s="6" t="s">
        <v>14</v>
      </c>
      <c r="E236" s="6" t="s">
        <v>26</v>
      </c>
      <c r="F236" s="12">
        <v>36476.0</v>
      </c>
      <c r="G236" s="8">
        <f t="shared" si="3"/>
        <v>26.66849315</v>
      </c>
      <c r="H236" s="49">
        <v>234.0</v>
      </c>
      <c r="I236" s="9">
        <v>2.0</v>
      </c>
      <c r="J236" s="347" t="s">
        <v>1580</v>
      </c>
    </row>
    <row r="237">
      <c r="B237" s="239">
        <v>235.0</v>
      </c>
      <c r="C237" s="6" t="s">
        <v>508</v>
      </c>
      <c r="D237" s="6" t="s">
        <v>14</v>
      </c>
      <c r="E237" s="6" t="s">
        <v>87</v>
      </c>
      <c r="F237" s="12">
        <v>36533.0</v>
      </c>
      <c r="G237" s="8">
        <f t="shared" si="3"/>
        <v>26.51238117</v>
      </c>
      <c r="H237" s="9">
        <v>235.0</v>
      </c>
      <c r="I237" s="9">
        <v>8.0</v>
      </c>
      <c r="J237" s="341" t="s">
        <v>1601</v>
      </c>
    </row>
    <row r="238">
      <c r="B238" s="27">
        <v>236.0</v>
      </c>
      <c r="C238" s="28" t="s">
        <v>751</v>
      </c>
      <c r="D238" s="28" t="s">
        <v>36</v>
      </c>
      <c r="E238" s="28" t="s">
        <v>158</v>
      </c>
      <c r="F238" s="44">
        <v>38603.0</v>
      </c>
      <c r="G238" s="31">
        <f t="shared" si="3"/>
        <v>20.84657534</v>
      </c>
      <c r="H238" s="49">
        <v>236.0</v>
      </c>
      <c r="I238" s="9">
        <v>10.0</v>
      </c>
      <c r="J238" s="345" t="s">
        <v>1584</v>
      </c>
    </row>
    <row r="239">
      <c r="B239" s="5">
        <v>237.0</v>
      </c>
      <c r="C239" s="11" t="s">
        <v>490</v>
      </c>
      <c r="D239" s="11" t="s">
        <v>36</v>
      </c>
      <c r="E239" s="11" t="s">
        <v>111</v>
      </c>
      <c r="F239" s="12">
        <v>34980.0</v>
      </c>
      <c r="G239" s="8">
        <f t="shared" si="3"/>
        <v>30.76438356</v>
      </c>
      <c r="H239" s="9">
        <v>237.0</v>
      </c>
      <c r="I239" s="9">
        <v>-2.0</v>
      </c>
      <c r="J239" s="341" t="s">
        <v>1569</v>
      </c>
    </row>
    <row r="240">
      <c r="B240" s="27">
        <v>238.0</v>
      </c>
      <c r="C240" s="28" t="s">
        <v>640</v>
      </c>
      <c r="D240" s="34" t="s">
        <v>10</v>
      </c>
      <c r="E240" s="34" t="s">
        <v>43</v>
      </c>
      <c r="F240" s="30">
        <v>38630.0</v>
      </c>
      <c r="G240" s="31">
        <f t="shared" si="3"/>
        <v>20.77260274</v>
      </c>
      <c r="H240" s="49">
        <v>238.0</v>
      </c>
      <c r="I240" s="9">
        <v>2.0</v>
      </c>
      <c r="J240" s="345" t="s">
        <v>1602</v>
      </c>
    </row>
    <row r="241">
      <c r="B241" s="5">
        <v>239.0</v>
      </c>
      <c r="C241" s="6" t="s">
        <v>524</v>
      </c>
      <c r="D241" s="6" t="s">
        <v>25</v>
      </c>
      <c r="E241" s="6" t="s">
        <v>32</v>
      </c>
      <c r="F241" s="12">
        <v>35772.0</v>
      </c>
      <c r="G241" s="8">
        <f t="shared" si="3"/>
        <v>28.59726027</v>
      </c>
      <c r="H241" s="9">
        <v>239.0</v>
      </c>
      <c r="I241" s="9">
        <v>5.0</v>
      </c>
      <c r="J241" s="347" t="s">
        <v>1572</v>
      </c>
    </row>
    <row r="242">
      <c r="B242" s="239">
        <v>240.0</v>
      </c>
      <c r="C242" s="11" t="s">
        <v>663</v>
      </c>
      <c r="D242" s="11" t="s">
        <v>14</v>
      </c>
      <c r="E242" s="11" t="s">
        <v>46</v>
      </c>
      <c r="F242" s="12">
        <v>33688.0</v>
      </c>
      <c r="G242" s="8">
        <f t="shared" si="3"/>
        <v>34.30199865</v>
      </c>
      <c r="H242" s="49">
        <v>240.0</v>
      </c>
      <c r="I242" s="9">
        <v>12.0</v>
      </c>
      <c r="J242" s="344" t="s">
        <v>1605</v>
      </c>
    </row>
    <row r="243">
      <c r="B243" s="27">
        <v>241.0</v>
      </c>
      <c r="C243" s="28" t="s">
        <v>500</v>
      </c>
      <c r="D243" s="34" t="s">
        <v>14</v>
      </c>
      <c r="E243" s="34" t="s">
        <v>158</v>
      </c>
      <c r="F243" s="30">
        <v>38865.0</v>
      </c>
      <c r="G243" s="31">
        <f t="shared" si="3"/>
        <v>20.12876712</v>
      </c>
      <c r="H243" s="9">
        <v>241.0</v>
      </c>
      <c r="I243" s="9">
        <v>1.0</v>
      </c>
      <c r="J243" s="345" t="s">
        <v>1587</v>
      </c>
    </row>
    <row r="244">
      <c r="B244" s="239">
        <v>242.0</v>
      </c>
      <c r="C244" s="6" t="s">
        <v>553</v>
      </c>
      <c r="D244" s="6" t="s">
        <v>25</v>
      </c>
      <c r="E244" s="6" t="s">
        <v>114</v>
      </c>
      <c r="F244" s="12">
        <v>36259.0</v>
      </c>
      <c r="G244" s="8">
        <f t="shared" si="3"/>
        <v>27.2630137</v>
      </c>
      <c r="H244" s="49">
        <v>242.0</v>
      </c>
      <c r="I244" s="9">
        <v>63.0</v>
      </c>
      <c r="J244" s="341" t="s">
        <v>1547</v>
      </c>
    </row>
    <row r="245">
      <c r="B245" s="239">
        <v>243.0</v>
      </c>
      <c r="C245" s="6" t="s">
        <v>765</v>
      </c>
      <c r="D245" s="6" t="s">
        <v>36</v>
      </c>
      <c r="E245" s="6" t="s">
        <v>52</v>
      </c>
      <c r="F245" s="12">
        <v>37945.0</v>
      </c>
      <c r="G245" s="8">
        <f t="shared" si="3"/>
        <v>22.64657534</v>
      </c>
      <c r="H245" s="9">
        <v>243.0</v>
      </c>
      <c r="I245" s="9">
        <v>-23.0</v>
      </c>
      <c r="J245" s="341" t="s">
        <v>1607</v>
      </c>
    </row>
    <row r="246">
      <c r="B246" s="239">
        <v>244.0</v>
      </c>
      <c r="C246" s="11" t="s">
        <v>584</v>
      </c>
      <c r="D246" s="11" t="s">
        <v>36</v>
      </c>
      <c r="E246" s="11" t="s">
        <v>40</v>
      </c>
      <c r="F246" s="12">
        <v>35042.0</v>
      </c>
      <c r="G246" s="8">
        <f t="shared" si="3"/>
        <v>30.59452055</v>
      </c>
      <c r="H246" s="49">
        <v>244.0</v>
      </c>
      <c r="I246" s="9">
        <v>11.0</v>
      </c>
      <c r="J246" s="344" t="s">
        <v>586</v>
      </c>
    </row>
    <row r="247">
      <c r="B247" s="27">
        <v>245.0</v>
      </c>
      <c r="C247" s="28" t="s">
        <v>688</v>
      </c>
      <c r="D247" s="29" t="s">
        <v>25</v>
      </c>
      <c r="E247" s="29" t="s">
        <v>111</v>
      </c>
      <c r="F247" s="30">
        <v>38178.0</v>
      </c>
      <c r="G247" s="31">
        <f t="shared" si="3"/>
        <v>22.00964893</v>
      </c>
      <c r="H247" s="9">
        <v>245.0</v>
      </c>
      <c r="I247" s="9">
        <v>-26.0</v>
      </c>
      <c r="J247" s="345" t="s">
        <v>1599</v>
      </c>
    </row>
    <row r="248">
      <c r="B248" s="239">
        <v>246.0</v>
      </c>
      <c r="C248" s="11" t="s">
        <v>510</v>
      </c>
      <c r="D248" s="11" t="s">
        <v>10</v>
      </c>
      <c r="E248" s="11" t="s">
        <v>213</v>
      </c>
      <c r="F248" s="12">
        <v>34740.0</v>
      </c>
      <c r="G248" s="8">
        <f t="shared" si="3"/>
        <v>31.42191781</v>
      </c>
      <c r="H248" s="49">
        <v>246.0</v>
      </c>
      <c r="I248" s="9">
        <v>-16.0</v>
      </c>
      <c r="J248" s="341" t="s">
        <v>1055</v>
      </c>
    </row>
    <row r="249">
      <c r="B249" s="239">
        <v>247.0</v>
      </c>
      <c r="C249" s="11" t="s">
        <v>651</v>
      </c>
      <c r="D249" s="11" t="s">
        <v>25</v>
      </c>
      <c r="E249" s="11" t="s">
        <v>32</v>
      </c>
      <c r="F249" s="12">
        <v>38049.0</v>
      </c>
      <c r="G249" s="8">
        <f t="shared" si="3"/>
        <v>22.36210794</v>
      </c>
      <c r="H249" s="9">
        <v>247.0</v>
      </c>
      <c r="I249" s="9">
        <v>77.0</v>
      </c>
      <c r="J249" s="344" t="s">
        <v>1586</v>
      </c>
    </row>
    <row r="250">
      <c r="B250" s="343">
        <v>248.0</v>
      </c>
      <c r="C250" s="11" t="s">
        <v>769</v>
      </c>
      <c r="D250" s="11" t="s">
        <v>36</v>
      </c>
      <c r="E250" s="11" t="s">
        <v>87</v>
      </c>
      <c r="F250" s="12">
        <v>36034.0</v>
      </c>
      <c r="G250" s="8">
        <f t="shared" si="3"/>
        <v>27.87945205</v>
      </c>
      <c r="H250" s="49">
        <v>248.0</v>
      </c>
      <c r="I250" s="9">
        <v>-11.0</v>
      </c>
      <c r="J250" s="341" t="s">
        <v>1598</v>
      </c>
    </row>
    <row r="251">
      <c r="B251" s="342">
        <v>249.0</v>
      </c>
      <c r="C251" s="6" t="s">
        <v>595</v>
      </c>
      <c r="D251" s="6" t="s">
        <v>14</v>
      </c>
      <c r="E251" s="6" t="s">
        <v>98</v>
      </c>
      <c r="F251" s="12">
        <v>34411.0</v>
      </c>
      <c r="G251" s="8">
        <f t="shared" si="3"/>
        <v>32.32328767</v>
      </c>
      <c r="H251" s="9">
        <v>249.0</v>
      </c>
      <c r="I251" s="9">
        <v>2.0</v>
      </c>
      <c r="J251" s="347" t="s">
        <v>1585</v>
      </c>
    </row>
    <row r="252">
      <c r="B252" s="342">
        <v>250.0</v>
      </c>
      <c r="C252" s="11" t="s">
        <v>635</v>
      </c>
      <c r="D252" s="11" t="s">
        <v>36</v>
      </c>
      <c r="E252" s="11" t="s">
        <v>15</v>
      </c>
      <c r="F252" s="12">
        <v>36343.0</v>
      </c>
      <c r="G252" s="8">
        <f t="shared" si="3"/>
        <v>27.03287671</v>
      </c>
      <c r="H252" s="49">
        <v>250.0</v>
      </c>
      <c r="I252" s="9">
        <v>21.0</v>
      </c>
      <c r="J252" s="341" t="s">
        <v>1955</v>
      </c>
    </row>
    <row r="253">
      <c r="B253" s="342">
        <v>251.0</v>
      </c>
      <c r="C253" s="6" t="s">
        <v>580</v>
      </c>
      <c r="D253" s="6" t="s">
        <v>14</v>
      </c>
      <c r="E253" s="6" t="s">
        <v>69</v>
      </c>
      <c r="F253" s="12">
        <v>35200.0</v>
      </c>
      <c r="G253" s="8">
        <f t="shared" si="3"/>
        <v>30.16265439</v>
      </c>
      <c r="H253" s="9">
        <v>251.0</v>
      </c>
      <c r="I253" s="9">
        <v>-4.0</v>
      </c>
      <c r="J253" s="347" t="s">
        <v>1583</v>
      </c>
    </row>
    <row r="254">
      <c r="B254" s="342">
        <v>252.0</v>
      </c>
      <c r="C254" s="6" t="s">
        <v>632</v>
      </c>
      <c r="D254" s="6" t="s">
        <v>10</v>
      </c>
      <c r="E254" s="6" t="s">
        <v>176</v>
      </c>
      <c r="F254" s="12">
        <v>36606.0</v>
      </c>
      <c r="G254" s="8">
        <f t="shared" si="3"/>
        <v>26.31292761</v>
      </c>
      <c r="H254" s="49">
        <v>252.0</v>
      </c>
      <c r="I254" s="9">
        <v>26.0</v>
      </c>
      <c r="J254" s="341" t="s">
        <v>1606</v>
      </c>
    </row>
    <row r="255">
      <c r="B255" s="376">
        <v>253.0</v>
      </c>
      <c r="C255" s="11" t="s">
        <v>686</v>
      </c>
      <c r="D255" s="11" t="s">
        <v>25</v>
      </c>
      <c r="E255" s="11" t="s">
        <v>46</v>
      </c>
      <c r="F255" s="12">
        <v>37868.0</v>
      </c>
      <c r="G255" s="8">
        <f t="shared" si="3"/>
        <v>22.85753425</v>
      </c>
      <c r="H255" s="9">
        <v>253.0</v>
      </c>
      <c r="I255" s="9">
        <v>-48.0</v>
      </c>
      <c r="J255" s="341" t="s">
        <v>1620</v>
      </c>
    </row>
    <row r="256">
      <c r="B256" s="375">
        <v>254.0</v>
      </c>
      <c r="C256" s="6" t="s">
        <v>783</v>
      </c>
      <c r="D256" s="6" t="s">
        <v>74</v>
      </c>
      <c r="E256" s="6" t="s">
        <v>22</v>
      </c>
      <c r="F256" s="12">
        <v>35292.0</v>
      </c>
      <c r="G256" s="8">
        <f t="shared" si="3"/>
        <v>29.91128827</v>
      </c>
      <c r="H256" s="49">
        <v>254.0</v>
      </c>
      <c r="I256" s="9">
        <v>-23.0</v>
      </c>
      <c r="J256" s="341" t="s">
        <v>785</v>
      </c>
    </row>
    <row r="257">
      <c r="B257" s="342">
        <v>255.0</v>
      </c>
      <c r="C257" s="6" t="s">
        <v>761</v>
      </c>
      <c r="D257" s="6" t="s">
        <v>21</v>
      </c>
      <c r="E257" s="6" t="s">
        <v>114</v>
      </c>
      <c r="F257" s="12">
        <v>38121.0</v>
      </c>
      <c r="G257" s="8">
        <f t="shared" si="3"/>
        <v>22.16538663</v>
      </c>
      <c r="H257" s="9">
        <v>255.0</v>
      </c>
      <c r="I257" s="9">
        <v>-36.0</v>
      </c>
      <c r="J257" s="341" t="s">
        <v>1956</v>
      </c>
    </row>
    <row r="258">
      <c r="B258" s="376">
        <v>256.0</v>
      </c>
      <c r="C258" s="11" t="s">
        <v>999</v>
      </c>
      <c r="D258" s="11" t="s">
        <v>25</v>
      </c>
      <c r="E258" s="11" t="s">
        <v>66</v>
      </c>
      <c r="F258" s="12">
        <v>38176.0</v>
      </c>
      <c r="G258" s="8">
        <f t="shared" si="3"/>
        <v>22.01511341</v>
      </c>
      <c r="H258" s="49">
        <v>256.0</v>
      </c>
      <c r="I258" s="9">
        <v>-46.0</v>
      </c>
      <c r="J258" s="341" t="s">
        <v>1622</v>
      </c>
    </row>
    <row r="259">
      <c r="B259" s="375">
        <v>257.0</v>
      </c>
      <c r="C259" s="11" t="s">
        <v>1025</v>
      </c>
      <c r="D259" s="11" t="s">
        <v>14</v>
      </c>
      <c r="E259" s="11" t="s">
        <v>69</v>
      </c>
      <c r="F259" s="12">
        <v>35730.0</v>
      </c>
      <c r="G259" s="8">
        <f t="shared" si="3"/>
        <v>28.71232877</v>
      </c>
      <c r="H259" s="9">
        <v>257.0</v>
      </c>
      <c r="I259" s="9">
        <v>-40.0</v>
      </c>
      <c r="J259" s="341" t="s">
        <v>1629</v>
      </c>
    </row>
    <row r="260">
      <c r="B260" s="375">
        <v>258.0</v>
      </c>
      <c r="C260" s="6" t="s">
        <v>763</v>
      </c>
      <c r="D260" s="6" t="s">
        <v>10</v>
      </c>
      <c r="E260" s="6" t="s">
        <v>40</v>
      </c>
      <c r="F260" s="12">
        <v>37708.0</v>
      </c>
      <c r="G260" s="8">
        <f t="shared" si="3"/>
        <v>23.29589041</v>
      </c>
      <c r="H260" s="49">
        <v>258.0</v>
      </c>
      <c r="I260" s="9">
        <v>-17.0</v>
      </c>
      <c r="J260" s="341" t="s">
        <v>1613</v>
      </c>
    </row>
    <row r="261">
      <c r="B261" s="343">
        <v>259.0</v>
      </c>
      <c r="C261" s="6" t="s">
        <v>647</v>
      </c>
      <c r="D261" s="6" t="s">
        <v>10</v>
      </c>
      <c r="E261" s="6" t="s">
        <v>87</v>
      </c>
      <c r="F261" s="12">
        <v>36601.0</v>
      </c>
      <c r="G261" s="8">
        <f t="shared" si="3"/>
        <v>26.32658882</v>
      </c>
      <c r="H261" s="9">
        <v>259.0</v>
      </c>
      <c r="I261" s="9">
        <v>-14.0</v>
      </c>
      <c r="J261" s="341" t="s">
        <v>1616</v>
      </c>
    </row>
    <row r="262">
      <c r="B262" s="375">
        <v>260.0</v>
      </c>
      <c r="C262" s="6" t="s">
        <v>859</v>
      </c>
      <c r="D262" s="6" t="s">
        <v>10</v>
      </c>
      <c r="E262" s="6" t="s">
        <v>43</v>
      </c>
      <c r="F262" s="12">
        <v>37569.0</v>
      </c>
      <c r="G262" s="8">
        <f t="shared" si="3"/>
        <v>23.67671233</v>
      </c>
      <c r="H262" s="49">
        <v>260.0</v>
      </c>
      <c r="I262" s="9">
        <v>-12.0</v>
      </c>
      <c r="J262" s="341" t="s">
        <v>1594</v>
      </c>
    </row>
    <row r="263">
      <c r="B263" s="343">
        <v>261.0</v>
      </c>
      <c r="C263" s="6" t="s">
        <v>606</v>
      </c>
      <c r="D263" s="6" t="s">
        <v>36</v>
      </c>
      <c r="E263" s="6" t="s">
        <v>58</v>
      </c>
      <c r="F263" s="12">
        <v>37924.0</v>
      </c>
      <c r="G263" s="8">
        <f t="shared" si="3"/>
        <v>22.70410959</v>
      </c>
      <c r="H263" s="9">
        <v>261.0</v>
      </c>
      <c r="I263" s="9">
        <v>-28.0</v>
      </c>
      <c r="J263" s="341" t="s">
        <v>1957</v>
      </c>
    </row>
    <row r="264">
      <c r="B264" s="374">
        <v>262.0</v>
      </c>
      <c r="C264" s="28" t="s">
        <v>619</v>
      </c>
      <c r="D264" s="28" t="s">
        <v>25</v>
      </c>
      <c r="E264" s="28" t="s">
        <v>18</v>
      </c>
      <c r="F264" s="44">
        <v>38115.0</v>
      </c>
      <c r="G264" s="31">
        <f t="shared" si="3"/>
        <v>22.18178007</v>
      </c>
      <c r="H264" s="49">
        <v>262.0</v>
      </c>
      <c r="I264" s="9">
        <v>-5.0</v>
      </c>
      <c r="J264" s="54" t="s">
        <v>620</v>
      </c>
    </row>
    <row r="265">
      <c r="B265" s="343">
        <v>263.0</v>
      </c>
      <c r="C265" s="11" t="s">
        <v>416</v>
      </c>
      <c r="D265" s="11" t="s">
        <v>25</v>
      </c>
      <c r="E265" s="11" t="s">
        <v>11</v>
      </c>
      <c r="F265" s="12">
        <v>37071.0</v>
      </c>
      <c r="G265" s="8">
        <f t="shared" si="3"/>
        <v>25.04109589</v>
      </c>
      <c r="H265" s="9">
        <v>263.0</v>
      </c>
      <c r="I265" s="9">
        <v>6.0</v>
      </c>
      <c r="J265" s="344" t="s">
        <v>1591</v>
      </c>
    </row>
    <row r="266">
      <c r="B266" s="377">
        <v>264.0</v>
      </c>
      <c r="C266" s="28" t="s">
        <v>401</v>
      </c>
      <c r="D266" s="28" t="s">
        <v>25</v>
      </c>
      <c r="E266" s="28" t="s">
        <v>66</v>
      </c>
      <c r="F266" s="44">
        <v>38758.0</v>
      </c>
      <c r="G266" s="31">
        <f t="shared" si="3"/>
        <v>20.42191781</v>
      </c>
      <c r="H266" s="49">
        <v>264.0</v>
      </c>
      <c r="I266" s="9">
        <v>30.0</v>
      </c>
      <c r="J266" s="345" t="s">
        <v>1612</v>
      </c>
    </row>
    <row r="267">
      <c r="B267" s="376">
        <v>265.0</v>
      </c>
      <c r="C267" s="6" t="s">
        <v>684</v>
      </c>
      <c r="D267" s="6" t="s">
        <v>74</v>
      </c>
      <c r="E267" s="6" t="s">
        <v>43</v>
      </c>
      <c r="F267" s="12">
        <v>36696.0</v>
      </c>
      <c r="G267" s="8">
        <f t="shared" si="3"/>
        <v>26.06702597</v>
      </c>
      <c r="H267" s="9">
        <v>265.0</v>
      </c>
      <c r="I267" s="9">
        <v>23.0</v>
      </c>
      <c r="J267" s="341" t="s">
        <v>1958</v>
      </c>
    </row>
    <row r="268">
      <c r="B268" s="343">
        <v>266.0</v>
      </c>
      <c r="C268" s="6" t="s">
        <v>737</v>
      </c>
      <c r="D268" s="6" t="s">
        <v>183</v>
      </c>
      <c r="E268" s="6" t="s">
        <v>114</v>
      </c>
      <c r="F268" s="12">
        <v>35897.0</v>
      </c>
      <c r="G268" s="8">
        <f t="shared" si="3"/>
        <v>28.25479452</v>
      </c>
      <c r="H268" s="49">
        <v>266.0</v>
      </c>
      <c r="I268" s="9">
        <v>18.0</v>
      </c>
      <c r="J268" s="341" t="s">
        <v>1603</v>
      </c>
    </row>
    <row r="269">
      <c r="B269" s="343">
        <v>267.0</v>
      </c>
      <c r="C269" s="6" t="s">
        <v>743</v>
      </c>
      <c r="D269" s="6" t="s">
        <v>267</v>
      </c>
      <c r="E269" s="6" t="s">
        <v>90</v>
      </c>
      <c r="F269" s="12">
        <v>38574.0</v>
      </c>
      <c r="G269" s="8">
        <f t="shared" si="3"/>
        <v>20.9260274</v>
      </c>
      <c r="H269" s="9">
        <v>267.0</v>
      </c>
      <c r="I269" s="9">
        <v>30.0</v>
      </c>
      <c r="J269" s="341" t="s">
        <v>1595</v>
      </c>
    </row>
    <row r="270">
      <c r="B270" s="343">
        <v>268.0</v>
      </c>
      <c r="C270" s="6" t="s">
        <v>671</v>
      </c>
      <c r="D270" s="6" t="s">
        <v>36</v>
      </c>
      <c r="E270" s="6" t="s">
        <v>29</v>
      </c>
      <c r="F270" s="12">
        <v>34446.0</v>
      </c>
      <c r="G270" s="8">
        <f t="shared" si="3"/>
        <v>32.22739726</v>
      </c>
      <c r="H270" s="49">
        <v>268.0</v>
      </c>
      <c r="I270" s="9">
        <v>-6.0</v>
      </c>
      <c r="J270" s="341" t="s">
        <v>1617</v>
      </c>
    </row>
    <row r="271">
      <c r="B271" s="343">
        <v>269.0</v>
      </c>
      <c r="C271" s="14" t="s">
        <v>608</v>
      </c>
      <c r="D271" s="35" t="s">
        <v>573</v>
      </c>
      <c r="E271" s="6" t="s">
        <v>98</v>
      </c>
      <c r="F271" s="12">
        <v>34148.0</v>
      </c>
      <c r="G271" s="8">
        <f t="shared" si="3"/>
        <v>33.04383562</v>
      </c>
      <c r="H271" s="9">
        <v>269.0</v>
      </c>
      <c r="I271" s="9">
        <v>-44.0</v>
      </c>
      <c r="J271" s="10" t="s">
        <v>1618</v>
      </c>
    </row>
    <row r="272">
      <c r="B272" s="343">
        <v>270.0</v>
      </c>
      <c r="C272" s="6" t="s">
        <v>481</v>
      </c>
      <c r="D272" s="6" t="s">
        <v>10</v>
      </c>
      <c r="E272" s="6" t="s">
        <v>52</v>
      </c>
      <c r="F272" s="12">
        <v>36303.0</v>
      </c>
      <c r="G272" s="8">
        <f t="shared" si="3"/>
        <v>27.14246575</v>
      </c>
      <c r="H272" s="49">
        <v>270.0</v>
      </c>
      <c r="I272" s="9">
        <v>22.0</v>
      </c>
      <c r="J272" s="341" t="s">
        <v>1608</v>
      </c>
    </row>
    <row r="273">
      <c r="B273" s="343">
        <v>271.0</v>
      </c>
      <c r="C273" s="11" t="s">
        <v>767</v>
      </c>
      <c r="D273" s="11" t="s">
        <v>10</v>
      </c>
      <c r="E273" s="11" t="s">
        <v>46</v>
      </c>
      <c r="F273" s="12">
        <v>37266.0</v>
      </c>
      <c r="G273" s="8">
        <f t="shared" si="3"/>
        <v>24.50684932</v>
      </c>
      <c r="H273" s="9">
        <v>271.0</v>
      </c>
      <c r="I273" s="9">
        <v>-12.0</v>
      </c>
      <c r="J273" s="341" t="s">
        <v>1621</v>
      </c>
    </row>
    <row r="274">
      <c r="B274" s="376">
        <v>272.0</v>
      </c>
      <c r="C274" s="6" t="s">
        <v>928</v>
      </c>
      <c r="D274" s="6" t="s">
        <v>14</v>
      </c>
      <c r="E274" s="6" t="s">
        <v>26</v>
      </c>
      <c r="F274" s="12">
        <v>35118.0</v>
      </c>
      <c r="G274" s="8">
        <f t="shared" si="3"/>
        <v>30.38669811</v>
      </c>
      <c r="H274" s="49">
        <v>272.0</v>
      </c>
      <c r="I274" s="9">
        <v>-46.0</v>
      </c>
      <c r="J274" s="347" t="s">
        <v>1630</v>
      </c>
    </row>
    <row r="275">
      <c r="B275" s="376">
        <v>273.0</v>
      </c>
      <c r="C275" s="6" t="s">
        <v>881</v>
      </c>
      <c r="D275" s="6" t="s">
        <v>36</v>
      </c>
      <c r="E275" s="6" t="s">
        <v>213</v>
      </c>
      <c r="F275" s="12">
        <v>36178.0</v>
      </c>
      <c r="G275" s="8">
        <f t="shared" si="3"/>
        <v>27.48493151</v>
      </c>
      <c r="H275" s="9">
        <v>273.0</v>
      </c>
      <c r="I275" s="9">
        <v>-19.0</v>
      </c>
      <c r="J275" s="341" t="s">
        <v>1631</v>
      </c>
    </row>
    <row r="276">
      <c r="B276" s="376">
        <v>274.0</v>
      </c>
      <c r="C276" s="6" t="s">
        <v>748</v>
      </c>
      <c r="D276" s="6" t="s">
        <v>36</v>
      </c>
      <c r="E276" s="6" t="s">
        <v>98</v>
      </c>
      <c r="F276" s="12">
        <v>33834.0</v>
      </c>
      <c r="G276" s="8">
        <f t="shared" si="3"/>
        <v>33.90309155</v>
      </c>
      <c r="H276" s="49">
        <v>274.0</v>
      </c>
      <c r="I276" s="9">
        <v>-21.0</v>
      </c>
      <c r="J276" s="341" t="s">
        <v>1632</v>
      </c>
    </row>
    <row r="277">
      <c r="B277" s="343">
        <v>275.0</v>
      </c>
      <c r="C277" s="6" t="s">
        <v>820</v>
      </c>
      <c r="D277" s="6" t="s">
        <v>36</v>
      </c>
      <c r="E277" s="6" t="s">
        <v>29</v>
      </c>
      <c r="F277" s="12">
        <v>34571.0</v>
      </c>
      <c r="G277" s="8">
        <f t="shared" si="3"/>
        <v>31.88493151</v>
      </c>
      <c r="H277" s="9">
        <v>275.0</v>
      </c>
      <c r="I277" s="9">
        <v>-12.0</v>
      </c>
      <c r="J277" s="347" t="s">
        <v>1633</v>
      </c>
    </row>
    <row r="278">
      <c r="B278" s="376">
        <v>276.0</v>
      </c>
      <c r="C278" s="6" t="s">
        <v>848</v>
      </c>
      <c r="D278" s="6" t="s">
        <v>21</v>
      </c>
      <c r="E278" s="6" t="s">
        <v>22</v>
      </c>
      <c r="F278" s="12">
        <v>33730.0</v>
      </c>
      <c r="G278" s="8">
        <f t="shared" si="3"/>
        <v>34.18724455</v>
      </c>
      <c r="H278" s="49">
        <v>276.0</v>
      </c>
      <c r="I278" s="9">
        <v>-1.0</v>
      </c>
      <c r="J278" s="347" t="s">
        <v>1609</v>
      </c>
    </row>
    <row r="279">
      <c r="B279" s="376">
        <v>277.0</v>
      </c>
      <c r="C279" s="35" t="s">
        <v>467</v>
      </c>
      <c r="D279" s="35" t="s">
        <v>14</v>
      </c>
      <c r="E279" s="35" t="s">
        <v>29</v>
      </c>
      <c r="F279" s="7">
        <v>37120.0</v>
      </c>
      <c r="G279" s="8">
        <f t="shared" si="3"/>
        <v>24.90684932</v>
      </c>
      <c r="H279" s="9">
        <v>277.0</v>
      </c>
      <c r="I279" s="9">
        <v>-16.0</v>
      </c>
      <c r="J279" s="341" t="s">
        <v>1959</v>
      </c>
    </row>
    <row r="280">
      <c r="B280" s="377">
        <v>278.0</v>
      </c>
      <c r="C280" s="28" t="s">
        <v>896</v>
      </c>
      <c r="D280" s="28" t="s">
        <v>14</v>
      </c>
      <c r="E280" s="28" t="s">
        <v>46</v>
      </c>
      <c r="F280" s="44">
        <v>37312.0</v>
      </c>
      <c r="G280" s="31">
        <f t="shared" si="3"/>
        <v>24.38082192</v>
      </c>
      <c r="H280" s="49">
        <v>278.0</v>
      </c>
      <c r="I280" s="9">
        <v>-11.0</v>
      </c>
      <c r="J280" s="345" t="s">
        <v>1619</v>
      </c>
    </row>
    <row r="281">
      <c r="B281" s="343">
        <v>279.0</v>
      </c>
      <c r="C281" s="6" t="s">
        <v>972</v>
      </c>
      <c r="D281" s="6" t="s">
        <v>77</v>
      </c>
      <c r="E281" s="6" t="s">
        <v>49</v>
      </c>
      <c r="F281" s="12">
        <v>36768.0</v>
      </c>
      <c r="G281" s="8">
        <f t="shared" si="3"/>
        <v>25.87030466</v>
      </c>
      <c r="H281" s="9">
        <v>279.0</v>
      </c>
      <c r="I281" s="9">
        <v>-11.0</v>
      </c>
      <c r="J281" s="341" t="s">
        <v>1625</v>
      </c>
    </row>
    <row r="282">
      <c r="B282" s="377">
        <v>280.0</v>
      </c>
      <c r="C282" s="28" t="s">
        <v>807</v>
      </c>
      <c r="D282" s="28" t="s">
        <v>14</v>
      </c>
      <c r="E282" s="28" t="s">
        <v>158</v>
      </c>
      <c r="F282" s="44">
        <v>38821.0</v>
      </c>
      <c r="G282" s="31">
        <f t="shared" si="3"/>
        <v>20.24931507</v>
      </c>
      <c r="H282" s="49">
        <v>280.0</v>
      </c>
      <c r="I282" s="9">
        <v>-7.0</v>
      </c>
      <c r="J282" s="345" t="s">
        <v>1626</v>
      </c>
    </row>
    <row r="283">
      <c r="B283" s="343">
        <v>281.0</v>
      </c>
      <c r="C283" s="11" t="s">
        <v>1623</v>
      </c>
      <c r="D283" s="11" t="s">
        <v>36</v>
      </c>
      <c r="E283" s="11" t="s">
        <v>29</v>
      </c>
      <c r="F283" s="12">
        <v>35395.0</v>
      </c>
      <c r="G283" s="8">
        <f t="shared" si="3"/>
        <v>29.62986751</v>
      </c>
      <c r="H283" s="9">
        <v>281.0</v>
      </c>
      <c r="I283" s="9">
        <v>-2.0</v>
      </c>
      <c r="J283" s="341" t="s">
        <v>1624</v>
      </c>
    </row>
    <row r="284">
      <c r="B284" s="343">
        <v>282.0</v>
      </c>
      <c r="C284" s="6" t="s">
        <v>544</v>
      </c>
      <c r="D284" s="6" t="s">
        <v>14</v>
      </c>
      <c r="E284" s="35" t="s">
        <v>176</v>
      </c>
      <c r="F284" s="12">
        <v>35943.0</v>
      </c>
      <c r="G284" s="8">
        <f t="shared" si="3"/>
        <v>28.12876712</v>
      </c>
      <c r="H284" s="49">
        <v>282.0</v>
      </c>
      <c r="I284" s="9">
        <v>-22.0</v>
      </c>
      <c r="J284" s="341" t="s">
        <v>1596</v>
      </c>
    </row>
    <row r="285">
      <c r="B285" s="376">
        <v>283.0</v>
      </c>
      <c r="C285" s="11" t="s">
        <v>514</v>
      </c>
      <c r="D285" s="11" t="s">
        <v>1634</v>
      </c>
      <c r="E285" s="11" t="s">
        <v>95</v>
      </c>
      <c r="F285" s="12">
        <v>35720.0</v>
      </c>
      <c r="G285" s="8">
        <f t="shared" si="3"/>
        <v>28.73972603</v>
      </c>
      <c r="H285" s="9">
        <v>283.0</v>
      </c>
      <c r="I285" s="9">
        <v>-7.0</v>
      </c>
      <c r="J285" s="341" t="s">
        <v>1635</v>
      </c>
    </row>
    <row r="286">
      <c r="B286" s="376">
        <v>284.0</v>
      </c>
      <c r="C286" s="6" t="s">
        <v>665</v>
      </c>
      <c r="D286" s="6" t="s">
        <v>36</v>
      </c>
      <c r="E286" s="6" t="s">
        <v>111</v>
      </c>
      <c r="F286" s="12">
        <v>34125.0</v>
      </c>
      <c r="G286" s="8">
        <f t="shared" si="3"/>
        <v>33.10684932</v>
      </c>
      <c r="H286" s="49">
        <v>284.0</v>
      </c>
      <c r="I286" s="9">
        <v>-4.0</v>
      </c>
      <c r="J286" s="347" t="s">
        <v>1610</v>
      </c>
    </row>
    <row r="287">
      <c r="B287" s="376">
        <v>285.0</v>
      </c>
      <c r="C287" s="11" t="s">
        <v>735</v>
      </c>
      <c r="D287" s="11" t="s">
        <v>25</v>
      </c>
      <c r="E287" s="11" t="s">
        <v>98</v>
      </c>
      <c r="F287" s="12">
        <v>35476.0</v>
      </c>
      <c r="G287" s="8">
        <f t="shared" si="3"/>
        <v>29.40821918</v>
      </c>
      <c r="H287" s="9">
        <v>285.0</v>
      </c>
      <c r="I287" s="9">
        <v>5.0</v>
      </c>
      <c r="J287" s="341" t="s">
        <v>1636</v>
      </c>
    </row>
    <row r="288">
      <c r="B288" s="343">
        <v>286.0</v>
      </c>
      <c r="C288" s="6" t="s">
        <v>800</v>
      </c>
      <c r="D288" s="6" t="s">
        <v>25</v>
      </c>
      <c r="E288" s="6" t="s">
        <v>66</v>
      </c>
      <c r="F288" s="12">
        <v>33462.0</v>
      </c>
      <c r="G288" s="8">
        <f t="shared" si="3"/>
        <v>34.92054795</v>
      </c>
      <c r="H288" s="49">
        <v>286.0</v>
      </c>
      <c r="I288" s="9">
        <v>-14.0</v>
      </c>
      <c r="J288" s="341" t="s">
        <v>1637</v>
      </c>
    </row>
    <row r="289">
      <c r="B289" s="376">
        <v>287.0</v>
      </c>
      <c r="C289" s="6" t="s">
        <v>959</v>
      </c>
      <c r="D289" s="6" t="s">
        <v>36</v>
      </c>
      <c r="E289" s="6" t="s">
        <v>66</v>
      </c>
      <c r="F289" s="12">
        <v>36222.0</v>
      </c>
      <c r="G289" s="8">
        <f t="shared" si="3"/>
        <v>27.36438356</v>
      </c>
      <c r="H289" s="9">
        <v>287.0</v>
      </c>
      <c r="I289" s="9">
        <v>-5.0</v>
      </c>
      <c r="J289" s="341" t="s">
        <v>1611</v>
      </c>
    </row>
    <row r="290">
      <c r="B290" s="343">
        <v>288.0</v>
      </c>
      <c r="C290" s="6" t="s">
        <v>866</v>
      </c>
      <c r="D290" s="6" t="s">
        <v>14</v>
      </c>
      <c r="E290" s="6" t="s">
        <v>106</v>
      </c>
      <c r="F290" s="12">
        <v>36977.0</v>
      </c>
      <c r="G290" s="8">
        <f t="shared" si="3"/>
        <v>25.29863014</v>
      </c>
      <c r="H290" s="49">
        <v>288.0</v>
      </c>
      <c r="I290" s="9">
        <v>65.0</v>
      </c>
      <c r="J290" s="341" t="s">
        <v>1615</v>
      </c>
    </row>
    <row r="291">
      <c r="B291" s="343">
        <v>289.0</v>
      </c>
      <c r="C291" s="11" t="s">
        <v>557</v>
      </c>
      <c r="D291" s="11" t="s">
        <v>21</v>
      </c>
      <c r="E291" s="11" t="s">
        <v>58</v>
      </c>
      <c r="F291" s="12">
        <v>34569.0</v>
      </c>
      <c r="G291" s="8">
        <f t="shared" si="3"/>
        <v>31.89041096</v>
      </c>
      <c r="H291" s="9">
        <v>289.0</v>
      </c>
      <c r="I291" s="9">
        <v>19.0</v>
      </c>
      <c r="J291" s="341" t="s">
        <v>558</v>
      </c>
    </row>
    <row r="292">
      <c r="B292" s="343">
        <v>290.0</v>
      </c>
      <c r="C292" s="11" t="s">
        <v>462</v>
      </c>
      <c r="D292" s="11" t="s">
        <v>14</v>
      </c>
      <c r="E292" s="11" t="s">
        <v>52</v>
      </c>
      <c r="F292" s="12">
        <v>37431.0</v>
      </c>
      <c r="G292" s="8">
        <f t="shared" si="3"/>
        <v>24.05479452</v>
      </c>
      <c r="H292" s="49">
        <v>290.0</v>
      </c>
      <c r="I292" s="9">
        <v>-5.0</v>
      </c>
      <c r="J292" s="341" t="s">
        <v>1577</v>
      </c>
    </row>
    <row r="293">
      <c r="B293" s="343">
        <v>291.0</v>
      </c>
      <c r="C293" s="6" t="s">
        <v>812</v>
      </c>
      <c r="D293" s="6" t="s">
        <v>36</v>
      </c>
      <c r="E293" s="6" t="s">
        <v>46</v>
      </c>
      <c r="F293" s="12">
        <v>38329.0</v>
      </c>
      <c r="G293" s="8">
        <f t="shared" si="3"/>
        <v>21.59708062</v>
      </c>
      <c r="H293" s="9">
        <v>291.0</v>
      </c>
      <c r="I293" s="9">
        <v>-42.0</v>
      </c>
      <c r="J293" s="341" t="s">
        <v>1614</v>
      </c>
    </row>
    <row r="294">
      <c r="B294" s="343">
        <v>292.0</v>
      </c>
      <c r="C294" s="6" t="s">
        <v>894</v>
      </c>
      <c r="D294" s="6" t="s">
        <v>36</v>
      </c>
      <c r="E294" s="6" t="s">
        <v>158</v>
      </c>
      <c r="F294" s="12">
        <v>35356.0</v>
      </c>
      <c r="G294" s="8">
        <f t="shared" si="3"/>
        <v>29.73642488</v>
      </c>
      <c r="H294" s="49">
        <v>292.0</v>
      </c>
      <c r="I294" s="9">
        <v>7.0</v>
      </c>
      <c r="J294" s="341" t="s">
        <v>1638</v>
      </c>
    </row>
    <row r="295">
      <c r="B295" s="343">
        <v>293.0</v>
      </c>
      <c r="C295" s="6" t="s">
        <v>1639</v>
      </c>
      <c r="D295" s="6" t="s">
        <v>869</v>
      </c>
      <c r="E295" s="6" t="s">
        <v>40</v>
      </c>
      <c r="F295" s="12">
        <v>35050.0</v>
      </c>
      <c r="G295" s="8">
        <f t="shared" si="3"/>
        <v>30.57260274</v>
      </c>
      <c r="H295" s="9">
        <v>293.0</v>
      </c>
      <c r="I295" s="9">
        <v>-28.0</v>
      </c>
      <c r="J295" s="341" t="s">
        <v>1640</v>
      </c>
    </row>
    <row r="296">
      <c r="B296" s="377">
        <v>294.0</v>
      </c>
      <c r="C296" s="28" t="s">
        <v>838</v>
      </c>
      <c r="D296" s="34" t="s">
        <v>36</v>
      </c>
      <c r="E296" s="28" t="s">
        <v>90</v>
      </c>
      <c r="F296" s="44">
        <v>37594.0</v>
      </c>
      <c r="G296" s="31">
        <f t="shared" si="3"/>
        <v>23.60821918</v>
      </c>
      <c r="H296" s="49">
        <v>294.0</v>
      </c>
      <c r="I296" s="9">
        <v>19.0</v>
      </c>
      <c r="J296" s="345" t="s">
        <v>1641</v>
      </c>
    </row>
    <row r="297">
      <c r="B297" s="376">
        <v>295.0</v>
      </c>
      <c r="C297" s="6" t="s">
        <v>793</v>
      </c>
      <c r="D297" s="6" t="s">
        <v>36</v>
      </c>
      <c r="E297" s="6" t="s">
        <v>40</v>
      </c>
      <c r="F297" s="12">
        <v>37971.0</v>
      </c>
      <c r="G297" s="8">
        <f t="shared" si="3"/>
        <v>22.57534247</v>
      </c>
      <c r="H297" s="9">
        <v>295.0</v>
      </c>
      <c r="I297" s="9">
        <v>-31.0</v>
      </c>
      <c r="J297" s="341" t="s">
        <v>1642</v>
      </c>
    </row>
    <row r="298">
      <c r="B298" s="377">
        <v>296.0</v>
      </c>
      <c r="C298" s="28" t="s">
        <v>818</v>
      </c>
      <c r="D298" s="29" t="s">
        <v>14</v>
      </c>
      <c r="E298" s="28" t="s">
        <v>69</v>
      </c>
      <c r="F298" s="44">
        <v>38078.0</v>
      </c>
      <c r="G298" s="31">
        <f t="shared" si="3"/>
        <v>22.28287297</v>
      </c>
      <c r="H298" s="49">
        <v>296.0</v>
      </c>
      <c r="I298" s="9">
        <v>4.0</v>
      </c>
      <c r="J298" s="345" t="s">
        <v>819</v>
      </c>
    </row>
    <row r="299">
      <c r="B299" s="376">
        <v>297.0</v>
      </c>
      <c r="C299" s="11" t="s">
        <v>887</v>
      </c>
      <c r="D299" s="11" t="s">
        <v>10</v>
      </c>
      <c r="E299" s="11" t="s">
        <v>40</v>
      </c>
      <c r="F299" s="12">
        <v>36839.0</v>
      </c>
      <c r="G299" s="8">
        <f t="shared" si="3"/>
        <v>25.67631559</v>
      </c>
      <c r="H299" s="9">
        <v>297.0</v>
      </c>
      <c r="I299" s="9">
        <v>-4.0</v>
      </c>
      <c r="J299" s="344" t="s">
        <v>1643</v>
      </c>
    </row>
    <row r="300">
      <c r="B300" s="376">
        <v>298.0</v>
      </c>
      <c r="C300" s="61" t="s">
        <v>724</v>
      </c>
      <c r="D300" s="61" t="s">
        <v>21</v>
      </c>
      <c r="E300" s="61" t="s">
        <v>49</v>
      </c>
      <c r="F300" s="12">
        <v>34997.0</v>
      </c>
      <c r="G300" s="8">
        <f t="shared" si="3"/>
        <v>30.71780822</v>
      </c>
      <c r="H300" s="49">
        <v>298.0</v>
      </c>
      <c r="I300" s="9">
        <v>62.0</v>
      </c>
      <c r="J300" s="347" t="s">
        <v>1627</v>
      </c>
    </row>
    <row r="301">
      <c r="B301" s="376">
        <v>299.0</v>
      </c>
      <c r="C301" s="6" t="s">
        <v>716</v>
      </c>
      <c r="D301" s="6" t="s">
        <v>36</v>
      </c>
      <c r="E301" s="6" t="s">
        <v>69</v>
      </c>
      <c r="F301" s="12">
        <v>35152.0</v>
      </c>
      <c r="G301" s="8">
        <f t="shared" si="3"/>
        <v>30.29380193</v>
      </c>
      <c r="H301" s="9">
        <v>299.0</v>
      </c>
      <c r="I301" s="9">
        <v>-8.0</v>
      </c>
      <c r="J301" s="341" t="s">
        <v>1644</v>
      </c>
    </row>
    <row r="302">
      <c r="B302" s="376">
        <v>300.0</v>
      </c>
      <c r="C302" s="6" t="s">
        <v>1645</v>
      </c>
      <c r="D302" s="6" t="s">
        <v>14</v>
      </c>
      <c r="E302" s="6" t="s">
        <v>213</v>
      </c>
      <c r="F302" s="12">
        <v>36661.0</v>
      </c>
      <c r="G302" s="8">
        <f t="shared" si="3"/>
        <v>26.16265439</v>
      </c>
      <c r="H302" s="49">
        <v>300.0</v>
      </c>
      <c r="I302" s="9">
        <v>-23.0</v>
      </c>
      <c r="J302" s="347" t="s">
        <v>1646</v>
      </c>
    </row>
    <row r="303">
      <c r="B303" s="343">
        <v>301.0</v>
      </c>
      <c r="C303" s="6" t="s">
        <v>759</v>
      </c>
      <c r="D303" s="6" t="s">
        <v>36</v>
      </c>
      <c r="E303" s="6" t="s">
        <v>37</v>
      </c>
      <c r="F303" s="12">
        <v>37177.0</v>
      </c>
      <c r="G303" s="8">
        <f t="shared" si="3"/>
        <v>24.75068493</v>
      </c>
      <c r="H303" s="9">
        <v>301.0</v>
      </c>
      <c r="I303" s="9">
        <v>-18.0</v>
      </c>
      <c r="J303" s="347" t="s">
        <v>1647</v>
      </c>
    </row>
    <row r="304">
      <c r="B304" s="376">
        <v>302.0</v>
      </c>
      <c r="C304" s="6" t="s">
        <v>1019</v>
      </c>
      <c r="D304" s="6" t="s">
        <v>14</v>
      </c>
      <c r="E304" s="6" t="s">
        <v>90</v>
      </c>
      <c r="F304" s="12">
        <v>36925.0</v>
      </c>
      <c r="G304" s="8">
        <f t="shared" si="3"/>
        <v>25.44109589</v>
      </c>
      <c r="H304" s="49">
        <v>302.0</v>
      </c>
      <c r="I304" s="9">
        <v>-28.0</v>
      </c>
      <c r="J304" s="341" t="s">
        <v>1648</v>
      </c>
    </row>
    <row r="305">
      <c r="B305" s="376">
        <v>303.0</v>
      </c>
      <c r="C305" s="6" t="s">
        <v>582</v>
      </c>
      <c r="D305" s="6" t="s">
        <v>14</v>
      </c>
      <c r="E305" s="6" t="s">
        <v>128</v>
      </c>
      <c r="F305" s="12">
        <v>36945.0</v>
      </c>
      <c r="G305" s="8">
        <f t="shared" si="3"/>
        <v>25.38630137</v>
      </c>
      <c r="H305" s="9">
        <v>303.0</v>
      </c>
      <c r="I305" s="9">
        <v>1.0</v>
      </c>
      <c r="J305" s="347" t="s">
        <v>1649</v>
      </c>
    </row>
    <row r="306">
      <c r="B306" s="376">
        <v>304.0</v>
      </c>
      <c r="C306" s="6" t="s">
        <v>624</v>
      </c>
      <c r="D306" s="6" t="s">
        <v>36</v>
      </c>
      <c r="E306" s="6" t="s">
        <v>32</v>
      </c>
      <c r="F306" s="12">
        <v>36825.0</v>
      </c>
      <c r="G306" s="8">
        <f t="shared" si="3"/>
        <v>25.71456696</v>
      </c>
      <c r="H306" s="49">
        <v>304.0</v>
      </c>
      <c r="I306" s="9">
        <v>-8.0</v>
      </c>
      <c r="J306" s="341" t="s">
        <v>1650</v>
      </c>
    </row>
    <row r="307">
      <c r="B307" s="376">
        <v>305.0</v>
      </c>
      <c r="C307" s="11" t="s">
        <v>690</v>
      </c>
      <c r="D307" s="11" t="s">
        <v>25</v>
      </c>
      <c r="E307" s="11" t="s">
        <v>49</v>
      </c>
      <c r="F307" s="12">
        <v>38338.0</v>
      </c>
      <c r="G307" s="8">
        <f t="shared" si="3"/>
        <v>21.57249046</v>
      </c>
      <c r="H307" s="9">
        <v>305.0</v>
      </c>
      <c r="I307" s="9">
        <v>-16.0</v>
      </c>
      <c r="J307" s="341" t="s">
        <v>1651</v>
      </c>
    </row>
    <row r="308">
      <c r="B308" s="376">
        <v>306.0</v>
      </c>
      <c r="C308" s="6" t="s">
        <v>540</v>
      </c>
      <c r="D308" s="6" t="s">
        <v>25</v>
      </c>
      <c r="E308" s="6" t="s">
        <v>66</v>
      </c>
      <c r="F308" s="12">
        <v>37071.0</v>
      </c>
      <c r="G308" s="8">
        <f t="shared" si="3"/>
        <v>25.04109589</v>
      </c>
      <c r="H308" s="49">
        <v>306.0</v>
      </c>
      <c r="I308" s="9">
        <v>3.0</v>
      </c>
      <c r="J308" s="347" t="s">
        <v>1628</v>
      </c>
    </row>
    <row r="309">
      <c r="B309" s="376">
        <v>307.0</v>
      </c>
      <c r="C309" s="11" t="s">
        <v>805</v>
      </c>
      <c r="D309" s="11" t="s">
        <v>14</v>
      </c>
      <c r="E309" s="11" t="s">
        <v>69</v>
      </c>
      <c r="F309" s="12">
        <v>36582.0</v>
      </c>
      <c r="G309" s="8">
        <f t="shared" si="3"/>
        <v>26.37850138</v>
      </c>
      <c r="H309" s="9">
        <v>307.0</v>
      </c>
      <c r="I309" s="9">
        <v>7.0</v>
      </c>
      <c r="J309" s="344" t="s">
        <v>806</v>
      </c>
    </row>
    <row r="310">
      <c r="B310" s="343">
        <v>308.0</v>
      </c>
      <c r="C310" s="11" t="s">
        <v>777</v>
      </c>
      <c r="D310" s="11" t="s">
        <v>10</v>
      </c>
      <c r="E310" s="35" t="s">
        <v>176</v>
      </c>
      <c r="F310" s="12">
        <v>31566.0</v>
      </c>
      <c r="G310" s="8">
        <f t="shared" si="3"/>
        <v>40.11232877</v>
      </c>
      <c r="H310" s="49">
        <v>308.0</v>
      </c>
      <c r="I310" s="9">
        <v>-21.0</v>
      </c>
      <c r="J310" s="341" t="s">
        <v>1652</v>
      </c>
    </row>
    <row r="311">
      <c r="B311" s="343">
        <v>309.0</v>
      </c>
      <c r="C311" s="6" t="s">
        <v>961</v>
      </c>
      <c r="D311" s="6" t="s">
        <v>36</v>
      </c>
      <c r="E311" s="6" t="s">
        <v>46</v>
      </c>
      <c r="F311" s="12">
        <v>37088.0</v>
      </c>
      <c r="G311" s="8">
        <f t="shared" si="3"/>
        <v>24.99452055</v>
      </c>
      <c r="H311" s="9">
        <v>309.0</v>
      </c>
      <c r="I311" s="9">
        <v>-23.0</v>
      </c>
      <c r="J311" s="341" t="s">
        <v>1653</v>
      </c>
    </row>
    <row r="312">
      <c r="B312" s="377">
        <v>310.0</v>
      </c>
      <c r="C312" s="28" t="s">
        <v>879</v>
      </c>
      <c r="D312" s="28" t="s">
        <v>10</v>
      </c>
      <c r="E312" s="28" t="s">
        <v>40</v>
      </c>
      <c r="F312" s="44">
        <v>37456.0</v>
      </c>
      <c r="G312" s="31">
        <f t="shared" si="3"/>
        <v>23.98630137</v>
      </c>
      <c r="H312" s="49">
        <v>310.0</v>
      </c>
      <c r="I312" s="9">
        <v>-29.0</v>
      </c>
      <c r="J312" s="350" t="s">
        <v>1654</v>
      </c>
    </row>
    <row r="313">
      <c r="B313" s="376">
        <v>311.0</v>
      </c>
      <c r="C313" s="6" t="s">
        <v>694</v>
      </c>
      <c r="D313" s="6" t="s">
        <v>10</v>
      </c>
      <c r="E313" s="6" t="s">
        <v>15</v>
      </c>
      <c r="F313" s="12">
        <v>37436.0</v>
      </c>
      <c r="G313" s="8">
        <f t="shared" si="3"/>
        <v>24.04109589</v>
      </c>
      <c r="H313" s="9">
        <v>311.0</v>
      </c>
      <c r="I313" s="9">
        <v>-5.0</v>
      </c>
      <c r="J313" s="347" t="s">
        <v>695</v>
      </c>
    </row>
    <row r="314">
      <c r="B314" s="376">
        <v>312.0</v>
      </c>
      <c r="C314" s="6" t="s">
        <v>771</v>
      </c>
      <c r="D314" s="6" t="s">
        <v>25</v>
      </c>
      <c r="E314" s="6" t="s">
        <v>11</v>
      </c>
      <c r="F314" s="12">
        <v>33754.0</v>
      </c>
      <c r="G314" s="8">
        <f t="shared" si="3"/>
        <v>34.12167078</v>
      </c>
      <c r="H314" s="49">
        <v>312.0</v>
      </c>
      <c r="I314" s="9">
        <v>3.0</v>
      </c>
      <c r="J314" s="347" t="s">
        <v>1655</v>
      </c>
    </row>
    <row r="315">
      <c r="B315" s="376">
        <v>313.0</v>
      </c>
      <c r="C315" s="6" t="s">
        <v>667</v>
      </c>
      <c r="D315" s="35" t="s">
        <v>36</v>
      </c>
      <c r="E315" s="6" t="s">
        <v>58</v>
      </c>
      <c r="F315" s="12">
        <v>38311.0</v>
      </c>
      <c r="G315" s="8">
        <f t="shared" si="3"/>
        <v>21.64626095</v>
      </c>
      <c r="H315" s="9">
        <v>313.0</v>
      </c>
      <c r="I315" s="9">
        <v>8.0</v>
      </c>
      <c r="J315" s="341" t="s">
        <v>1656</v>
      </c>
    </row>
    <row r="316">
      <c r="B316" s="376">
        <v>314.0</v>
      </c>
      <c r="C316" s="6" t="s">
        <v>831</v>
      </c>
      <c r="D316" s="6" t="s">
        <v>25</v>
      </c>
      <c r="E316" s="6" t="s">
        <v>87</v>
      </c>
      <c r="F316" s="12">
        <v>37129.0</v>
      </c>
      <c r="G316" s="8">
        <f t="shared" si="3"/>
        <v>24.88219178</v>
      </c>
      <c r="H316" s="49">
        <v>314.0</v>
      </c>
      <c r="I316" s="9">
        <v>-16.0</v>
      </c>
      <c r="J316" s="341" t="s">
        <v>1657</v>
      </c>
    </row>
    <row r="317">
      <c r="B317" s="376">
        <v>315.0</v>
      </c>
      <c r="C317" s="6" t="s">
        <v>840</v>
      </c>
      <c r="D317" s="6" t="s">
        <v>21</v>
      </c>
      <c r="E317" s="6" t="s">
        <v>40</v>
      </c>
      <c r="F317" s="12">
        <v>34191.0</v>
      </c>
      <c r="G317" s="8">
        <f t="shared" si="3"/>
        <v>32.9260274</v>
      </c>
      <c r="H317" s="9">
        <v>315.0</v>
      </c>
      <c r="I317" s="9">
        <v>114.0</v>
      </c>
      <c r="J317" s="341" t="s">
        <v>842</v>
      </c>
    </row>
    <row r="318">
      <c r="B318" s="343">
        <v>316.0</v>
      </c>
      <c r="C318" s="6" t="s">
        <v>718</v>
      </c>
      <c r="D318" s="6" t="s">
        <v>21</v>
      </c>
      <c r="E318" s="6" t="s">
        <v>55</v>
      </c>
      <c r="F318" s="12">
        <v>34170.0</v>
      </c>
      <c r="G318" s="8">
        <f t="shared" si="3"/>
        <v>32.98356164</v>
      </c>
      <c r="H318" s="49">
        <v>316.0</v>
      </c>
      <c r="I318" s="9">
        <v>-13.0</v>
      </c>
      <c r="J318" s="341" t="s">
        <v>1658</v>
      </c>
    </row>
    <row r="319">
      <c r="B319" s="27">
        <v>317.0</v>
      </c>
      <c r="C319" s="28" t="s">
        <v>615</v>
      </c>
      <c r="D319" s="34" t="s">
        <v>14</v>
      </c>
      <c r="E319" s="28" t="s">
        <v>49</v>
      </c>
      <c r="F319" s="44">
        <v>37609.0</v>
      </c>
      <c r="G319" s="31">
        <f t="shared" si="3"/>
        <v>23.56712329</v>
      </c>
      <c r="H319" s="9">
        <v>317.0</v>
      </c>
      <c r="I319" s="9">
        <v>-16.0</v>
      </c>
      <c r="J319" s="345" t="s">
        <v>616</v>
      </c>
    </row>
    <row r="320">
      <c r="B320" s="239">
        <v>318.0</v>
      </c>
      <c r="C320" s="6" t="s">
        <v>967</v>
      </c>
      <c r="D320" s="6" t="s">
        <v>21</v>
      </c>
      <c r="E320" s="6" t="s">
        <v>111</v>
      </c>
      <c r="F320" s="12">
        <v>35763.0</v>
      </c>
      <c r="G320" s="8">
        <f t="shared" si="3"/>
        <v>28.62191781</v>
      </c>
      <c r="H320" s="49">
        <v>318.0</v>
      </c>
      <c r="I320" s="9">
        <v>7.0</v>
      </c>
      <c r="J320" s="341" t="s">
        <v>1659</v>
      </c>
      <c r="K320" s="349"/>
    </row>
    <row r="321">
      <c r="A321" s="293"/>
      <c r="B321" s="239">
        <v>319.0</v>
      </c>
      <c r="C321" s="6" t="s">
        <v>795</v>
      </c>
      <c r="D321" s="6" t="s">
        <v>25</v>
      </c>
      <c r="E321" s="6" t="s">
        <v>55</v>
      </c>
      <c r="F321" s="12">
        <v>34093.0</v>
      </c>
      <c r="G321" s="8">
        <f t="shared" si="3"/>
        <v>33.19452055</v>
      </c>
      <c r="H321" s="9">
        <v>319.0</v>
      </c>
      <c r="I321" s="9">
        <v>-7.0</v>
      </c>
      <c r="J321" s="341" t="s">
        <v>1660</v>
      </c>
      <c r="K321" s="299"/>
    </row>
    <row r="322">
      <c r="A322" s="293"/>
      <c r="B322" s="239">
        <v>320.0</v>
      </c>
      <c r="C322" s="35" t="s">
        <v>850</v>
      </c>
      <c r="D322" s="35" t="s">
        <v>36</v>
      </c>
      <c r="E322" s="35" t="s">
        <v>114</v>
      </c>
      <c r="F322" s="7">
        <v>37375.0</v>
      </c>
      <c r="G322" s="8">
        <f t="shared" si="3"/>
        <v>24.20821918</v>
      </c>
      <c r="H322" s="49">
        <v>320.0</v>
      </c>
      <c r="I322" s="9">
        <v>-9.0</v>
      </c>
      <c r="J322" s="341" t="s">
        <v>851</v>
      </c>
      <c r="K322" s="299"/>
    </row>
    <row r="323">
      <c r="A323" s="293"/>
      <c r="B323" s="27">
        <v>321.0</v>
      </c>
      <c r="C323" s="28" t="s">
        <v>947</v>
      </c>
      <c r="D323" s="28" t="s">
        <v>36</v>
      </c>
      <c r="E323" s="29" t="s">
        <v>15</v>
      </c>
      <c r="F323" s="44">
        <v>37317.0</v>
      </c>
      <c r="G323" s="28">
        <v>23.6</v>
      </c>
      <c r="H323" s="9">
        <v>321.0</v>
      </c>
      <c r="I323" s="9">
        <v>10.0</v>
      </c>
      <c r="J323" s="54" t="s">
        <v>1661</v>
      </c>
      <c r="K323" s="299"/>
    </row>
    <row r="324">
      <c r="A324" s="293"/>
      <c r="B324" s="5">
        <v>322.0</v>
      </c>
      <c r="C324" s="6" t="s">
        <v>965</v>
      </c>
      <c r="D324" s="6" t="s">
        <v>36</v>
      </c>
      <c r="E324" s="6" t="s">
        <v>18</v>
      </c>
      <c r="F324" s="12">
        <v>37000.0</v>
      </c>
      <c r="G324" s="8">
        <f t="shared" ref="G324:G348" si="4">YEARFRAC(F324, TODAY(),1)</f>
        <v>25.23561644</v>
      </c>
      <c r="H324" s="49">
        <v>322.0</v>
      </c>
      <c r="I324" s="9">
        <v>-22.0</v>
      </c>
      <c r="J324" s="347" t="s">
        <v>1662</v>
      </c>
      <c r="K324" s="299"/>
    </row>
    <row r="325">
      <c r="A325" s="293"/>
      <c r="B325" s="5">
        <v>323.0</v>
      </c>
      <c r="C325" s="35" t="s">
        <v>745</v>
      </c>
      <c r="D325" s="35" t="s">
        <v>36</v>
      </c>
      <c r="E325" s="35" t="s">
        <v>22</v>
      </c>
      <c r="F325" s="7">
        <v>33679.0</v>
      </c>
      <c r="G325" s="8">
        <f t="shared" si="4"/>
        <v>34.32658882</v>
      </c>
      <c r="H325" s="9">
        <v>323.0</v>
      </c>
      <c r="I325" s="9" t="s">
        <v>371</v>
      </c>
      <c r="J325" s="341" t="s">
        <v>1663</v>
      </c>
      <c r="K325" s="299"/>
    </row>
    <row r="326">
      <c r="A326" s="293"/>
      <c r="B326" s="239">
        <v>324.0</v>
      </c>
      <c r="C326" s="15" t="s">
        <v>937</v>
      </c>
      <c r="D326" s="11" t="s">
        <v>25</v>
      </c>
      <c r="E326" s="11" t="s">
        <v>158</v>
      </c>
      <c r="F326" s="12">
        <v>37146.0</v>
      </c>
      <c r="G326" s="8">
        <f t="shared" si="4"/>
        <v>24.83561644</v>
      </c>
      <c r="H326" s="49">
        <v>324.0</v>
      </c>
      <c r="I326" s="9">
        <v>-14.0</v>
      </c>
      <c r="J326" s="341" t="s">
        <v>1664</v>
      </c>
      <c r="K326" s="299"/>
    </row>
    <row r="327">
      <c r="A327" s="293"/>
      <c r="B327" s="5">
        <v>325.0</v>
      </c>
      <c r="C327" s="6" t="s">
        <v>892</v>
      </c>
      <c r="D327" s="6" t="s">
        <v>10</v>
      </c>
      <c r="E327" s="6" t="s">
        <v>66</v>
      </c>
      <c r="F327" s="12">
        <v>37691.0</v>
      </c>
      <c r="G327" s="8">
        <f t="shared" si="4"/>
        <v>23.34246575</v>
      </c>
      <c r="H327" s="9">
        <v>325.0</v>
      </c>
      <c r="I327" s="9">
        <v>-2.0</v>
      </c>
      <c r="J327" s="341" t="s">
        <v>1665</v>
      </c>
      <c r="K327" s="299"/>
    </row>
    <row r="328">
      <c r="A328" s="293"/>
      <c r="B328" s="5">
        <v>326.0</v>
      </c>
      <c r="C328" s="35" t="s">
        <v>827</v>
      </c>
      <c r="D328" s="35" t="s">
        <v>14</v>
      </c>
      <c r="E328" s="35" t="s">
        <v>37</v>
      </c>
      <c r="F328" s="12">
        <v>36783.0</v>
      </c>
      <c r="G328" s="8">
        <f t="shared" si="4"/>
        <v>25.82932106</v>
      </c>
      <c r="H328" s="49">
        <v>326.0</v>
      </c>
      <c r="I328" s="9">
        <v>76.0</v>
      </c>
      <c r="J328" s="341" t="s">
        <v>1666</v>
      </c>
      <c r="K328" s="299"/>
    </row>
    <row r="329">
      <c r="A329" s="293"/>
      <c r="B329" s="5">
        <v>327.0</v>
      </c>
      <c r="C329" s="6" t="s">
        <v>996</v>
      </c>
      <c r="D329" s="35" t="s">
        <v>10</v>
      </c>
      <c r="E329" s="6" t="s">
        <v>52</v>
      </c>
      <c r="F329" s="12">
        <v>37193.0</v>
      </c>
      <c r="G329" s="8">
        <f t="shared" si="4"/>
        <v>24.70684932</v>
      </c>
      <c r="H329" s="9">
        <v>327.0</v>
      </c>
      <c r="I329" s="9">
        <v>-20.0</v>
      </c>
      <c r="J329" s="341" t="s">
        <v>1667</v>
      </c>
      <c r="K329" s="299"/>
    </row>
    <row r="330">
      <c r="A330" s="293"/>
      <c r="B330" s="239">
        <v>328.0</v>
      </c>
      <c r="C330" s="6" t="s">
        <v>914</v>
      </c>
      <c r="D330" s="6" t="s">
        <v>36</v>
      </c>
      <c r="E330" s="6" t="s">
        <v>52</v>
      </c>
      <c r="F330" s="12">
        <v>36636.0</v>
      </c>
      <c r="G330" s="8">
        <f t="shared" si="4"/>
        <v>26.2309604</v>
      </c>
      <c r="H330" s="49">
        <v>328.0</v>
      </c>
      <c r="I330" s="9">
        <v>-11.0</v>
      </c>
      <c r="J330" s="347" t="s">
        <v>1668</v>
      </c>
      <c r="K330" s="299"/>
    </row>
    <row r="331">
      <c r="A331" s="293"/>
      <c r="B331" s="239">
        <v>329.0</v>
      </c>
      <c r="C331" s="11" t="s">
        <v>1669</v>
      </c>
      <c r="D331" s="11" t="s">
        <v>10</v>
      </c>
      <c r="E331" s="11" t="s">
        <v>49</v>
      </c>
      <c r="F331" s="12">
        <v>35327.0</v>
      </c>
      <c r="G331" s="8">
        <f t="shared" si="4"/>
        <v>29.81565985</v>
      </c>
      <c r="H331" s="9">
        <v>329.0</v>
      </c>
      <c r="I331" s="9">
        <v>-10.0</v>
      </c>
      <c r="J331" s="341" t="s">
        <v>1670</v>
      </c>
      <c r="K331" s="299"/>
    </row>
    <row r="332">
      <c r="A332" s="293"/>
      <c r="B332" s="239">
        <v>330.0</v>
      </c>
      <c r="C332" s="6" t="s">
        <v>1671</v>
      </c>
      <c r="D332" s="6" t="s">
        <v>14</v>
      </c>
      <c r="E332" s="6" t="s">
        <v>82</v>
      </c>
      <c r="F332" s="12">
        <v>35195.0</v>
      </c>
      <c r="G332" s="8">
        <f t="shared" si="4"/>
        <v>30.17631559</v>
      </c>
      <c r="H332" s="49">
        <v>330.0</v>
      </c>
      <c r="I332" s="9">
        <v>-12.0</v>
      </c>
      <c r="J332" s="341" t="s">
        <v>1672</v>
      </c>
      <c r="K332" s="299"/>
    </row>
    <row r="333">
      <c r="A333" s="293"/>
      <c r="B333" s="5">
        <v>331.0</v>
      </c>
      <c r="C333" s="6" t="s">
        <v>814</v>
      </c>
      <c r="D333" s="6" t="s">
        <v>36</v>
      </c>
      <c r="E333" s="6" t="s">
        <v>22</v>
      </c>
      <c r="F333" s="12">
        <v>37364.0</v>
      </c>
      <c r="G333" s="8">
        <f t="shared" si="4"/>
        <v>24.23835616</v>
      </c>
      <c r="H333" s="9">
        <v>331.0</v>
      </c>
      <c r="I333" s="9">
        <v>-1.0</v>
      </c>
      <c r="J333" s="341" t="s">
        <v>1673</v>
      </c>
      <c r="K333" s="299"/>
    </row>
    <row r="334">
      <c r="A334" s="293"/>
      <c r="B334" s="27">
        <v>332.0</v>
      </c>
      <c r="C334" s="28" t="s">
        <v>673</v>
      </c>
      <c r="D334" s="28" t="s">
        <v>21</v>
      </c>
      <c r="E334" s="28" t="s">
        <v>26</v>
      </c>
      <c r="F334" s="44">
        <v>37509.0</v>
      </c>
      <c r="G334" s="31">
        <f t="shared" si="4"/>
        <v>23.84109589</v>
      </c>
      <c r="H334" s="49">
        <v>332.0</v>
      </c>
      <c r="I334" s="9">
        <v>31.0</v>
      </c>
      <c r="J334" s="345" t="s">
        <v>1674</v>
      </c>
      <c r="K334" s="299"/>
    </row>
    <row r="335">
      <c r="A335" s="293"/>
      <c r="B335" s="239">
        <v>333.0</v>
      </c>
      <c r="C335" s="6" t="s">
        <v>789</v>
      </c>
      <c r="D335" s="6" t="s">
        <v>10</v>
      </c>
      <c r="E335" s="6" t="s">
        <v>32</v>
      </c>
      <c r="F335" s="12">
        <v>36156.0</v>
      </c>
      <c r="G335" s="8">
        <f t="shared" si="4"/>
        <v>27.54520548</v>
      </c>
      <c r="H335" s="9">
        <v>333.0</v>
      </c>
      <c r="I335" s="9">
        <v>31.0</v>
      </c>
      <c r="J335" s="341" t="s">
        <v>1675</v>
      </c>
      <c r="K335" s="299"/>
    </row>
    <row r="336">
      <c r="A336" s="293"/>
      <c r="B336" s="239">
        <v>334.0</v>
      </c>
      <c r="C336" s="6" t="s">
        <v>836</v>
      </c>
      <c r="D336" s="6" t="s">
        <v>36</v>
      </c>
      <c r="E336" s="6" t="s">
        <v>87</v>
      </c>
      <c r="F336" s="12">
        <v>36917.0</v>
      </c>
      <c r="G336" s="8">
        <f t="shared" si="4"/>
        <v>25.4630137</v>
      </c>
      <c r="H336" s="49">
        <v>334.0</v>
      </c>
      <c r="I336" s="9">
        <v>13.0</v>
      </c>
      <c r="J336" s="341" t="s">
        <v>837</v>
      </c>
      <c r="K336" s="299"/>
    </row>
    <row r="337">
      <c r="A337" s="293"/>
      <c r="B337" s="239">
        <v>335.0</v>
      </c>
      <c r="C337" s="6" t="s">
        <v>873</v>
      </c>
      <c r="D337" s="6" t="s">
        <v>36</v>
      </c>
      <c r="E337" s="6" t="s">
        <v>95</v>
      </c>
      <c r="F337" s="12">
        <v>35493.0</v>
      </c>
      <c r="G337" s="8">
        <f t="shared" si="4"/>
        <v>29.36164384</v>
      </c>
      <c r="H337" s="9">
        <v>335.0</v>
      </c>
      <c r="I337" s="9">
        <v>14.0</v>
      </c>
      <c r="J337" s="347" t="s">
        <v>1676</v>
      </c>
      <c r="K337" s="299"/>
    </row>
    <row r="338">
      <c r="A338" s="293"/>
      <c r="B338" s="239">
        <v>336.0</v>
      </c>
      <c r="C338" s="11" t="s">
        <v>730</v>
      </c>
      <c r="D338" s="11" t="s">
        <v>21</v>
      </c>
      <c r="E338" s="11" t="s">
        <v>98</v>
      </c>
      <c r="F338" s="12">
        <v>32234.0</v>
      </c>
      <c r="G338" s="8">
        <f t="shared" si="4"/>
        <v>38.28287297</v>
      </c>
      <c r="H338" s="49">
        <v>336.0</v>
      </c>
      <c r="I338" s="9">
        <v>-41.0</v>
      </c>
      <c r="J338" s="341" t="s">
        <v>1677</v>
      </c>
      <c r="K338" s="299"/>
    </row>
    <row r="339">
      <c r="A339" s="293"/>
      <c r="B339" s="239">
        <v>337.0</v>
      </c>
      <c r="C339" s="6" t="s">
        <v>917</v>
      </c>
      <c r="D339" s="6" t="s">
        <v>36</v>
      </c>
      <c r="E339" s="6" t="s">
        <v>176</v>
      </c>
      <c r="F339" s="12">
        <v>33955.0</v>
      </c>
      <c r="G339" s="8">
        <f t="shared" si="4"/>
        <v>33.57249046</v>
      </c>
      <c r="H339" s="9">
        <v>337.0</v>
      </c>
      <c r="I339" s="9">
        <v>-19.0</v>
      </c>
      <c r="J339" s="341" t="s">
        <v>1678</v>
      </c>
      <c r="K339" s="299"/>
    </row>
    <row r="340">
      <c r="A340" s="293"/>
      <c r="B340" s="239">
        <v>338.0</v>
      </c>
      <c r="C340" s="6" t="s">
        <v>823</v>
      </c>
      <c r="D340" s="6" t="s">
        <v>25</v>
      </c>
      <c r="E340" s="6" t="s">
        <v>128</v>
      </c>
      <c r="F340" s="12">
        <v>35042.0</v>
      </c>
      <c r="G340" s="8">
        <f t="shared" si="4"/>
        <v>30.59452055</v>
      </c>
      <c r="H340" s="49">
        <v>338.0</v>
      </c>
      <c r="I340" s="9">
        <v>23.0</v>
      </c>
      <c r="J340" s="347" t="s">
        <v>1679</v>
      </c>
      <c r="K340" s="299"/>
    </row>
    <row r="341">
      <c r="B341" s="239">
        <v>339.0</v>
      </c>
      <c r="C341" s="6" t="s">
        <v>868</v>
      </c>
      <c r="D341" s="6" t="s">
        <v>869</v>
      </c>
      <c r="E341" s="6" t="s">
        <v>18</v>
      </c>
      <c r="F341" s="12">
        <v>36253.0</v>
      </c>
      <c r="G341" s="8">
        <f t="shared" si="4"/>
        <v>27.27945205</v>
      </c>
      <c r="H341" s="9">
        <v>339.0</v>
      </c>
      <c r="I341" s="9">
        <v>-5.0</v>
      </c>
      <c r="J341" s="341" t="s">
        <v>870</v>
      </c>
    </row>
    <row r="342">
      <c r="A342" s="293"/>
      <c r="B342" s="239">
        <v>340.0</v>
      </c>
      <c r="C342" s="6" t="s">
        <v>460</v>
      </c>
      <c r="D342" s="6" t="s">
        <v>10</v>
      </c>
      <c r="E342" s="6" t="s">
        <v>29</v>
      </c>
      <c r="F342" s="12">
        <v>36325.0</v>
      </c>
      <c r="G342" s="8">
        <f t="shared" si="4"/>
        <v>27.08219178</v>
      </c>
      <c r="H342" s="49">
        <v>340.0</v>
      </c>
      <c r="I342" s="9">
        <v>-18.0</v>
      </c>
      <c r="J342" s="341" t="s">
        <v>1680</v>
      </c>
      <c r="K342" s="299"/>
    </row>
    <row r="343">
      <c r="A343" s="293"/>
      <c r="B343" s="239">
        <v>341.0</v>
      </c>
      <c r="C343" s="6" t="s">
        <v>909</v>
      </c>
      <c r="D343" s="6" t="s">
        <v>36</v>
      </c>
      <c r="E343" s="6" t="s">
        <v>26</v>
      </c>
      <c r="F343" s="12">
        <v>32912.0</v>
      </c>
      <c r="G343" s="8">
        <f t="shared" si="4"/>
        <v>36.42739726</v>
      </c>
      <c r="H343" s="9">
        <v>341.0</v>
      </c>
      <c r="I343" s="9">
        <v>-6.0</v>
      </c>
      <c r="J343" s="341" t="s">
        <v>1681</v>
      </c>
      <c r="K343" s="299"/>
    </row>
    <row r="344">
      <c r="A344" s="293"/>
      <c r="B344" s="239">
        <v>342.0</v>
      </c>
      <c r="C344" s="6" t="s">
        <v>786</v>
      </c>
      <c r="D344" s="6" t="s">
        <v>10</v>
      </c>
      <c r="E344" s="6" t="s">
        <v>82</v>
      </c>
      <c r="F344" s="12">
        <v>35546.0</v>
      </c>
      <c r="G344" s="8">
        <f t="shared" si="4"/>
        <v>29.21643836</v>
      </c>
      <c r="H344" s="49">
        <v>342.0</v>
      </c>
      <c r="I344" s="9">
        <v>-5.0</v>
      </c>
      <c r="J344" s="347" t="s">
        <v>1682</v>
      </c>
      <c r="K344" s="299"/>
    </row>
    <row r="345">
      <c r="A345" s="293"/>
      <c r="B345" s="5">
        <v>343.0</v>
      </c>
      <c r="C345" s="6" t="s">
        <v>1005</v>
      </c>
      <c r="D345" s="6" t="s">
        <v>14</v>
      </c>
      <c r="E345" s="6" t="s">
        <v>66</v>
      </c>
      <c r="F345" s="12">
        <v>38322.0</v>
      </c>
      <c r="G345" s="8">
        <f t="shared" si="4"/>
        <v>21.6162063</v>
      </c>
      <c r="H345" s="9">
        <v>343.0</v>
      </c>
      <c r="I345" s="9">
        <v>-26.0</v>
      </c>
      <c r="J345" s="341" t="s">
        <v>1683</v>
      </c>
      <c r="K345" s="299"/>
    </row>
    <row r="346">
      <c r="A346" s="293"/>
      <c r="B346" s="5">
        <v>344.0</v>
      </c>
      <c r="C346" s="11" t="s">
        <v>1684</v>
      </c>
      <c r="D346" s="11" t="s">
        <v>10</v>
      </c>
      <c r="E346" s="11" t="s">
        <v>11</v>
      </c>
      <c r="F346" s="12">
        <v>33347.0</v>
      </c>
      <c r="G346" s="8">
        <f t="shared" si="4"/>
        <v>35.23561644</v>
      </c>
      <c r="H346" s="49">
        <v>344.0</v>
      </c>
      <c r="I346" s="9">
        <v>-15.0</v>
      </c>
      <c r="J346" s="341" t="s">
        <v>1685</v>
      </c>
      <c r="K346" s="299"/>
    </row>
    <row r="347">
      <c r="A347" s="293"/>
      <c r="B347" s="239">
        <v>345.0</v>
      </c>
      <c r="C347" s="6" t="s">
        <v>825</v>
      </c>
      <c r="D347" s="6" t="s">
        <v>25</v>
      </c>
      <c r="E347" s="6" t="s">
        <v>22</v>
      </c>
      <c r="F347" s="12">
        <v>37056.0</v>
      </c>
      <c r="G347" s="8">
        <f t="shared" si="4"/>
        <v>25.08219178</v>
      </c>
      <c r="H347" s="9">
        <v>345.0</v>
      </c>
      <c r="I347" s="9">
        <v>83.0</v>
      </c>
      <c r="J347" s="341" t="s">
        <v>1686</v>
      </c>
      <c r="K347" s="299"/>
    </row>
    <row r="348">
      <c r="A348" s="293"/>
      <c r="B348" s="239">
        <v>346.0</v>
      </c>
      <c r="C348" s="15" t="s">
        <v>994</v>
      </c>
      <c r="D348" s="11" t="s">
        <v>10</v>
      </c>
      <c r="E348" s="11" t="s">
        <v>176</v>
      </c>
      <c r="F348" s="12">
        <v>36578.0</v>
      </c>
      <c r="G348" s="8">
        <f t="shared" si="4"/>
        <v>26.38943035</v>
      </c>
      <c r="H348" s="49">
        <v>346.0</v>
      </c>
      <c r="I348" s="9">
        <v>-13.0</v>
      </c>
      <c r="J348" s="341" t="s">
        <v>1687</v>
      </c>
      <c r="K348" s="299"/>
    </row>
    <row r="349">
      <c r="A349" s="293"/>
      <c r="B349" s="27">
        <v>347.0</v>
      </c>
      <c r="C349" s="28" t="s">
        <v>486</v>
      </c>
      <c r="D349" s="28" t="s">
        <v>36</v>
      </c>
      <c r="E349" s="29" t="s">
        <v>98</v>
      </c>
      <c r="F349" s="44">
        <v>37406.0</v>
      </c>
      <c r="G349" s="28">
        <v>23.4</v>
      </c>
      <c r="H349" s="9">
        <v>347.0</v>
      </c>
      <c r="I349" s="9">
        <v>12.0</v>
      </c>
      <c r="J349" s="54" t="s">
        <v>1688</v>
      </c>
      <c r="K349" s="299"/>
    </row>
    <row r="350">
      <c r="A350" s="293"/>
      <c r="B350" s="239">
        <v>348.0</v>
      </c>
      <c r="C350" s="6" t="s">
        <v>923</v>
      </c>
      <c r="D350" s="6" t="s">
        <v>14</v>
      </c>
      <c r="E350" s="6" t="s">
        <v>37</v>
      </c>
      <c r="F350" s="12">
        <v>32061.0</v>
      </c>
      <c r="G350" s="8">
        <f t="shared" ref="G350:G352" si="5">YEARFRAC(F350, TODAY(),1)</f>
        <v>38.75616438</v>
      </c>
      <c r="H350" s="49">
        <v>348.0</v>
      </c>
      <c r="I350" s="9">
        <v>-12.0</v>
      </c>
      <c r="J350" s="347" t="s">
        <v>1689</v>
      </c>
      <c r="K350" s="299"/>
    </row>
    <row r="351">
      <c r="A351" s="293"/>
      <c r="B351" s="239">
        <v>349.0</v>
      </c>
      <c r="C351" s="6" t="s">
        <v>903</v>
      </c>
      <c r="D351" s="6" t="s">
        <v>267</v>
      </c>
      <c r="E351" s="6" t="s">
        <v>69</v>
      </c>
      <c r="F351" s="12">
        <v>36870.0</v>
      </c>
      <c r="G351" s="8">
        <f t="shared" si="5"/>
        <v>25.59161614</v>
      </c>
      <c r="H351" s="9">
        <v>349.0</v>
      </c>
      <c r="I351" s="9">
        <v>-11.0</v>
      </c>
      <c r="J351" s="341" t="s">
        <v>904</v>
      </c>
      <c r="K351" s="299"/>
    </row>
    <row r="352">
      <c r="A352" s="293"/>
      <c r="B352" s="27">
        <v>350.0</v>
      </c>
      <c r="C352" s="28" t="s">
        <v>676</v>
      </c>
      <c r="D352" s="28" t="s">
        <v>36</v>
      </c>
      <c r="E352" s="28" t="s">
        <v>66</v>
      </c>
      <c r="F352" s="44">
        <v>37078.0</v>
      </c>
      <c r="G352" s="31">
        <f t="shared" si="5"/>
        <v>25.02191781</v>
      </c>
      <c r="H352" s="49">
        <v>350.0</v>
      </c>
      <c r="I352" s="9">
        <v>-7.0</v>
      </c>
      <c r="J352" s="345" t="s">
        <v>1690</v>
      </c>
      <c r="K352" s="299"/>
    </row>
    <row r="353">
      <c r="A353" s="293"/>
      <c r="B353" s="27">
        <v>351.0</v>
      </c>
      <c r="C353" s="28" t="s">
        <v>1691</v>
      </c>
      <c r="D353" s="28" t="s">
        <v>36</v>
      </c>
      <c r="E353" s="29" t="s">
        <v>58</v>
      </c>
      <c r="F353" s="44">
        <v>37004.0</v>
      </c>
      <c r="G353" s="28">
        <v>24.5</v>
      </c>
      <c r="H353" s="9">
        <v>351.0</v>
      </c>
      <c r="I353" s="9">
        <v>85.0</v>
      </c>
      <c r="J353" s="54" t="s">
        <v>1692</v>
      </c>
      <c r="K353" s="299"/>
    </row>
    <row r="354">
      <c r="A354" s="293"/>
      <c r="B354" s="27">
        <v>352.0</v>
      </c>
      <c r="C354" s="28" t="s">
        <v>728</v>
      </c>
      <c r="D354" s="28" t="s">
        <v>21</v>
      </c>
      <c r="E354" s="28" t="s">
        <v>32</v>
      </c>
      <c r="F354" s="44">
        <v>37284.0</v>
      </c>
      <c r="G354" s="31">
        <f t="shared" ref="G354:G355" si="6">YEARFRAC(F354, TODAY(),1)</f>
        <v>24.45753425</v>
      </c>
      <c r="H354" s="49">
        <v>352.0</v>
      </c>
      <c r="I354" s="9">
        <v>10.0</v>
      </c>
      <c r="J354" s="345" t="s">
        <v>1693</v>
      </c>
      <c r="K354" s="299"/>
    </row>
    <row r="355">
      <c r="A355" s="293"/>
      <c r="B355" s="239">
        <v>353.0</v>
      </c>
      <c r="C355" s="6" t="s">
        <v>974</v>
      </c>
      <c r="D355" s="6" t="s">
        <v>25</v>
      </c>
      <c r="E355" s="6" t="s">
        <v>82</v>
      </c>
      <c r="F355" s="12">
        <v>35706.0</v>
      </c>
      <c r="G355" s="8">
        <f t="shared" si="6"/>
        <v>28.77808219</v>
      </c>
      <c r="H355" s="9">
        <v>353.0</v>
      </c>
      <c r="I355" s="9">
        <v>-26.0</v>
      </c>
      <c r="J355" s="341" t="s">
        <v>1694</v>
      </c>
      <c r="K355" s="299"/>
    </row>
    <row r="356">
      <c r="A356" s="293"/>
      <c r="B356" s="27">
        <v>354.0</v>
      </c>
      <c r="C356" s="28" t="s">
        <v>926</v>
      </c>
      <c r="D356" s="28" t="s">
        <v>21</v>
      </c>
      <c r="E356" s="29" t="s">
        <v>37</v>
      </c>
      <c r="F356" s="44">
        <v>38909.0</v>
      </c>
      <c r="G356" s="28">
        <v>19.2</v>
      </c>
      <c r="H356" s="49">
        <v>354.0</v>
      </c>
      <c r="I356" s="9">
        <v>84.0</v>
      </c>
      <c r="J356" s="54" t="s">
        <v>1695</v>
      </c>
      <c r="K356" s="299"/>
    </row>
    <row r="357">
      <c r="A357" s="293"/>
      <c r="B357" s="239">
        <v>355.0</v>
      </c>
      <c r="C357" s="11" t="s">
        <v>1696</v>
      </c>
      <c r="D357" s="11" t="s">
        <v>25</v>
      </c>
      <c r="E357" s="35" t="s">
        <v>158</v>
      </c>
      <c r="F357" s="12">
        <v>35408.0</v>
      </c>
      <c r="G357" s="8">
        <f t="shared" ref="G357:G367" si="7">YEARFRAC(F357, TODAY(),1)</f>
        <v>29.59434838</v>
      </c>
      <c r="H357" s="9">
        <v>355.0</v>
      </c>
      <c r="I357" s="9">
        <v>28.0</v>
      </c>
      <c r="J357" s="341" t="s">
        <v>1697</v>
      </c>
      <c r="K357" s="299"/>
    </row>
    <row r="358">
      <c r="A358" s="293"/>
      <c r="B358" s="239">
        <v>356.0</v>
      </c>
      <c r="C358" s="6" t="s">
        <v>791</v>
      </c>
      <c r="D358" s="6" t="s">
        <v>10</v>
      </c>
      <c r="E358" s="6" t="s">
        <v>114</v>
      </c>
      <c r="F358" s="12">
        <v>36980.0</v>
      </c>
      <c r="G358" s="8">
        <f t="shared" si="7"/>
        <v>25.29041096</v>
      </c>
      <c r="H358" s="49">
        <v>356.0</v>
      </c>
      <c r="I358" s="9">
        <v>-12.0</v>
      </c>
      <c r="J358" s="347" t="s">
        <v>1698</v>
      </c>
      <c r="K358" s="299"/>
    </row>
    <row r="359">
      <c r="A359" s="293"/>
      <c r="B359" s="5">
        <v>357.0</v>
      </c>
      <c r="C359" s="6" t="s">
        <v>861</v>
      </c>
      <c r="D359" s="6" t="s">
        <v>36</v>
      </c>
      <c r="E359" s="6" t="s">
        <v>90</v>
      </c>
      <c r="F359" s="12">
        <v>36846.0</v>
      </c>
      <c r="G359" s="8">
        <f t="shared" si="7"/>
        <v>25.65718991</v>
      </c>
      <c r="H359" s="9">
        <v>357.0</v>
      </c>
      <c r="I359" s="9">
        <v>-3.0</v>
      </c>
      <c r="J359" s="347" t="s">
        <v>1699</v>
      </c>
      <c r="K359" s="299"/>
    </row>
    <row r="360">
      <c r="A360" s="293"/>
      <c r="B360" s="239">
        <v>358.0</v>
      </c>
      <c r="C360" s="6" t="s">
        <v>653</v>
      </c>
      <c r="D360" s="6" t="s">
        <v>36</v>
      </c>
      <c r="E360" s="6" t="s">
        <v>52</v>
      </c>
      <c r="F360" s="12">
        <v>38234.0</v>
      </c>
      <c r="G360" s="8">
        <f t="shared" si="7"/>
        <v>21.85664346</v>
      </c>
      <c r="H360" s="49">
        <v>358.0</v>
      </c>
      <c r="I360" s="9">
        <v>-13.0</v>
      </c>
      <c r="J360" s="347" t="s">
        <v>1700</v>
      </c>
      <c r="K360" s="299"/>
    </row>
    <row r="361">
      <c r="A361" s="293"/>
      <c r="B361" s="239">
        <v>359.0</v>
      </c>
      <c r="C361" s="11" t="s">
        <v>621</v>
      </c>
      <c r="D361" s="11" t="s">
        <v>25</v>
      </c>
      <c r="E361" s="11" t="s">
        <v>69</v>
      </c>
      <c r="F361" s="12">
        <v>35389.0</v>
      </c>
      <c r="G361" s="8">
        <f t="shared" si="7"/>
        <v>29.64626095</v>
      </c>
      <c r="H361" s="9">
        <v>359.0</v>
      </c>
      <c r="I361" s="9">
        <v>-7.0</v>
      </c>
      <c r="J361" s="344" t="s">
        <v>623</v>
      </c>
      <c r="K361" s="299"/>
    </row>
    <row r="362">
      <c r="A362" s="293"/>
      <c r="B362" s="239">
        <v>360.0</v>
      </c>
      <c r="C362" s="11" t="s">
        <v>711</v>
      </c>
      <c r="D362" s="11" t="s">
        <v>36</v>
      </c>
      <c r="E362" s="11" t="s">
        <v>43</v>
      </c>
      <c r="F362" s="12">
        <v>35240.0</v>
      </c>
      <c r="G362" s="8">
        <f t="shared" si="7"/>
        <v>30.05336477</v>
      </c>
      <c r="H362" s="49">
        <v>360.0</v>
      </c>
      <c r="I362" s="9">
        <v>25.0</v>
      </c>
      <c r="J362" s="344" t="s">
        <v>1701</v>
      </c>
      <c r="K362" s="299"/>
    </row>
    <row r="363">
      <c r="A363" s="293"/>
      <c r="B363" s="5">
        <v>361.0</v>
      </c>
      <c r="C363" s="35" t="s">
        <v>941</v>
      </c>
      <c r="D363" s="35" t="s">
        <v>14</v>
      </c>
      <c r="E363" s="35" t="s">
        <v>176</v>
      </c>
      <c r="F363" s="7">
        <v>35250.0</v>
      </c>
      <c r="G363" s="8">
        <f t="shared" si="7"/>
        <v>30.02604237</v>
      </c>
      <c r="H363" s="9">
        <v>361.0</v>
      </c>
      <c r="I363" s="9" t="s">
        <v>371</v>
      </c>
      <c r="J363" s="341" t="s">
        <v>1702</v>
      </c>
      <c r="K363" s="299"/>
    </row>
    <row r="364">
      <c r="A364" s="293"/>
      <c r="B364" s="5">
        <v>362.0</v>
      </c>
      <c r="C364" s="11" t="s">
        <v>1703</v>
      </c>
      <c r="D364" s="11" t="s">
        <v>14</v>
      </c>
      <c r="E364" s="11" t="s">
        <v>90</v>
      </c>
      <c r="F364" s="12">
        <v>37476.0</v>
      </c>
      <c r="G364" s="8">
        <f t="shared" si="7"/>
        <v>23.93150685</v>
      </c>
      <c r="H364" s="49">
        <v>362.0</v>
      </c>
      <c r="I364" s="9">
        <v>-20.0</v>
      </c>
      <c r="J364" s="341" t="s">
        <v>1704</v>
      </c>
      <c r="K364" s="299"/>
    </row>
    <row r="365">
      <c r="A365" s="293"/>
      <c r="B365" s="5">
        <v>363.0</v>
      </c>
      <c r="C365" s="6" t="s">
        <v>949</v>
      </c>
      <c r="D365" s="6" t="s">
        <v>14</v>
      </c>
      <c r="E365" s="6" t="s">
        <v>106</v>
      </c>
      <c r="F365" s="12">
        <v>33762.0</v>
      </c>
      <c r="G365" s="8">
        <f t="shared" si="7"/>
        <v>34.09981286</v>
      </c>
      <c r="H365" s="9">
        <v>363.0</v>
      </c>
      <c r="I365" s="9">
        <v>-22.0</v>
      </c>
      <c r="J365" s="341" t="s">
        <v>1705</v>
      </c>
      <c r="K365" s="299"/>
    </row>
    <row r="366">
      <c r="A366" s="293"/>
      <c r="B366" s="5">
        <v>364.0</v>
      </c>
      <c r="C366" s="15" t="s">
        <v>702</v>
      </c>
      <c r="D366" s="15" t="s">
        <v>10</v>
      </c>
      <c r="E366" s="15" t="s">
        <v>66</v>
      </c>
      <c r="F366" s="16">
        <v>36233.0</v>
      </c>
      <c r="G366" s="8">
        <f t="shared" si="7"/>
        <v>27.33424658</v>
      </c>
      <c r="H366" s="49">
        <v>364.0</v>
      </c>
      <c r="I366" s="9">
        <v>55.0</v>
      </c>
      <c r="J366" s="351" t="s">
        <v>1706</v>
      </c>
      <c r="K366" s="299"/>
    </row>
    <row r="367">
      <c r="A367" s="293"/>
      <c r="B367" s="239">
        <v>365.0</v>
      </c>
      <c r="C367" s="11" t="s">
        <v>1023</v>
      </c>
      <c r="D367" s="11" t="s">
        <v>21</v>
      </c>
      <c r="E367" s="11" t="s">
        <v>55</v>
      </c>
      <c r="F367" s="12">
        <v>34472.0</v>
      </c>
      <c r="G367" s="8">
        <f t="shared" si="7"/>
        <v>32.15616438</v>
      </c>
      <c r="H367" s="9">
        <v>365.0</v>
      </c>
      <c r="I367" s="9">
        <v>-15.0</v>
      </c>
      <c r="J367" s="344" t="s">
        <v>1707</v>
      </c>
      <c r="K367" s="299"/>
    </row>
    <row r="368">
      <c r="A368" s="293"/>
      <c r="B368" s="27">
        <v>366.0</v>
      </c>
      <c r="C368" s="28" t="s">
        <v>563</v>
      </c>
      <c r="D368" s="28" t="s">
        <v>10</v>
      </c>
      <c r="E368" s="29" t="s">
        <v>98</v>
      </c>
      <c r="F368" s="44">
        <v>37694.0</v>
      </c>
      <c r="G368" s="28">
        <v>22.6</v>
      </c>
      <c r="H368" s="49">
        <v>366.0</v>
      </c>
      <c r="I368" s="9">
        <v>37.0</v>
      </c>
      <c r="J368" s="54" t="s">
        <v>1708</v>
      </c>
      <c r="K368" s="299"/>
    </row>
    <row r="369">
      <c r="A369" s="293"/>
      <c r="B369" s="239">
        <v>367.0</v>
      </c>
      <c r="C369" s="6" t="s">
        <v>992</v>
      </c>
      <c r="D369" s="6" t="s">
        <v>25</v>
      </c>
      <c r="E369" s="6" t="s">
        <v>106</v>
      </c>
      <c r="F369" s="12">
        <v>38560.0</v>
      </c>
      <c r="G369" s="8">
        <f t="shared" ref="G369:G383" si="8">YEARFRAC(F369, TODAY(),1)</f>
        <v>20.96438356</v>
      </c>
      <c r="H369" s="9">
        <v>367.0</v>
      </c>
      <c r="I369" s="9">
        <v>-27.0</v>
      </c>
      <c r="J369" s="341" t="s">
        <v>1709</v>
      </c>
      <c r="K369" s="299"/>
    </row>
    <row r="370">
      <c r="A370" s="293"/>
      <c r="B370" s="239">
        <v>368.0</v>
      </c>
      <c r="C370" s="6" t="s">
        <v>919</v>
      </c>
      <c r="D370" s="6" t="s">
        <v>14</v>
      </c>
      <c r="E370" s="6" t="s">
        <v>55</v>
      </c>
      <c r="F370" s="12">
        <v>35338.0</v>
      </c>
      <c r="G370" s="8">
        <f t="shared" si="8"/>
        <v>29.78560521</v>
      </c>
      <c r="H370" s="49">
        <v>368.0</v>
      </c>
      <c r="I370" s="9">
        <v>-11.0</v>
      </c>
      <c r="J370" s="347" t="s">
        <v>1710</v>
      </c>
      <c r="K370" s="299"/>
    </row>
    <row r="371">
      <c r="A371" s="293"/>
      <c r="B371" s="239">
        <v>369.0</v>
      </c>
      <c r="C371" s="6" t="s">
        <v>1711</v>
      </c>
      <c r="D371" s="6" t="s">
        <v>14</v>
      </c>
      <c r="E371" s="6" t="s">
        <v>95</v>
      </c>
      <c r="F371" s="12">
        <v>37696.0</v>
      </c>
      <c r="G371" s="8">
        <f t="shared" si="8"/>
        <v>23.32876712</v>
      </c>
      <c r="H371" s="9">
        <v>369.0</v>
      </c>
      <c r="I371" s="9">
        <v>-18.0</v>
      </c>
      <c r="J371" s="347" t="s">
        <v>1712</v>
      </c>
      <c r="K371" s="299"/>
    </row>
    <row r="372">
      <c r="A372" s="293"/>
      <c r="B372" s="239">
        <v>370.0</v>
      </c>
      <c r="C372" s="6" t="s">
        <v>705</v>
      </c>
      <c r="D372" s="6" t="s">
        <v>869</v>
      </c>
      <c r="E372" s="6" t="s">
        <v>37</v>
      </c>
      <c r="F372" s="12">
        <v>37951.0</v>
      </c>
      <c r="G372" s="8">
        <f t="shared" si="8"/>
        <v>22.63013699</v>
      </c>
      <c r="H372" s="49">
        <v>370.0</v>
      </c>
      <c r="I372" s="9">
        <v>-6.0</v>
      </c>
      <c r="J372" s="341" t="s">
        <v>1713</v>
      </c>
      <c r="K372" s="299"/>
    </row>
    <row r="373">
      <c r="A373" s="293"/>
      <c r="B373" s="239">
        <v>371.0</v>
      </c>
      <c r="C373" s="35" t="s">
        <v>1714</v>
      </c>
      <c r="D373" s="35" t="s">
        <v>573</v>
      </c>
      <c r="E373" s="35" t="s">
        <v>158</v>
      </c>
      <c r="F373" s="7">
        <v>36226.0</v>
      </c>
      <c r="G373" s="8">
        <f t="shared" si="8"/>
        <v>27.35342466</v>
      </c>
      <c r="H373" s="9">
        <v>371.0</v>
      </c>
      <c r="I373" s="9">
        <v>8.0</v>
      </c>
      <c r="J373" s="341" t="s">
        <v>1715</v>
      </c>
      <c r="K373" s="299"/>
    </row>
    <row r="374">
      <c r="A374" s="293"/>
      <c r="B374" s="27">
        <v>372.0</v>
      </c>
      <c r="C374" s="28" t="s">
        <v>985</v>
      </c>
      <c r="D374" s="28" t="s">
        <v>36</v>
      </c>
      <c r="E374" s="28" t="s">
        <v>111</v>
      </c>
      <c r="F374" s="44">
        <v>37566.0</v>
      </c>
      <c r="G374" s="31">
        <f t="shared" si="8"/>
        <v>23.68493151</v>
      </c>
      <c r="H374" s="49">
        <v>372.0</v>
      </c>
      <c r="I374" s="9">
        <v>-20.0</v>
      </c>
      <c r="J374" s="345" t="s">
        <v>986</v>
      </c>
      <c r="K374" s="299"/>
    </row>
    <row r="375">
      <c r="A375" s="293"/>
      <c r="B375" s="5">
        <v>373.0</v>
      </c>
      <c r="C375" s="11" t="s">
        <v>852</v>
      </c>
      <c r="D375" s="11" t="s">
        <v>10</v>
      </c>
      <c r="E375" s="11" t="s">
        <v>114</v>
      </c>
      <c r="F375" s="12">
        <v>35101.0</v>
      </c>
      <c r="G375" s="8">
        <f t="shared" si="8"/>
        <v>30.43314619</v>
      </c>
      <c r="H375" s="9">
        <v>373.0</v>
      </c>
      <c r="I375" s="9">
        <v>-5.0</v>
      </c>
      <c r="J375" s="344" t="s">
        <v>1716</v>
      </c>
      <c r="K375" s="299"/>
    </row>
    <row r="376">
      <c r="A376" s="293"/>
      <c r="B376" s="5">
        <v>374.0</v>
      </c>
      <c r="C376" s="11" t="s">
        <v>587</v>
      </c>
      <c r="D376" s="11" t="s">
        <v>10</v>
      </c>
      <c r="E376" s="11" t="s">
        <v>111</v>
      </c>
      <c r="F376" s="12">
        <v>37439.0</v>
      </c>
      <c r="G376" s="8">
        <f t="shared" si="8"/>
        <v>24.03287671</v>
      </c>
      <c r="H376" s="49">
        <v>374.0</v>
      </c>
      <c r="I376" s="9">
        <v>7.0</v>
      </c>
      <c r="J376" s="344" t="s">
        <v>1717</v>
      </c>
      <c r="K376" s="299"/>
    </row>
    <row r="377">
      <c r="A377" s="293"/>
      <c r="B377" s="5">
        <v>375.0</v>
      </c>
      <c r="C377" s="67" t="s">
        <v>876</v>
      </c>
      <c r="D377" s="67" t="s">
        <v>10</v>
      </c>
      <c r="E377" s="67" t="s">
        <v>18</v>
      </c>
      <c r="F377" s="12">
        <v>36669.0</v>
      </c>
      <c r="G377" s="8">
        <f t="shared" si="8"/>
        <v>26.14079647</v>
      </c>
      <c r="H377" s="9">
        <v>375.0</v>
      </c>
      <c r="I377" s="9">
        <v>28.0</v>
      </c>
      <c r="J377" s="344" t="s">
        <v>1718</v>
      </c>
      <c r="K377" s="299"/>
    </row>
    <row r="378">
      <c r="A378" s="293"/>
      <c r="B378" s="239">
        <v>376.0</v>
      </c>
      <c r="C378" s="6" t="s">
        <v>1010</v>
      </c>
      <c r="D378" s="6" t="s">
        <v>36</v>
      </c>
      <c r="E378" s="6" t="s">
        <v>82</v>
      </c>
      <c r="F378" s="12">
        <v>37878.0</v>
      </c>
      <c r="G378" s="8">
        <f t="shared" si="8"/>
        <v>22.83013699</v>
      </c>
      <c r="H378" s="49">
        <v>376.0</v>
      </c>
      <c r="I378" s="9">
        <v>-3.0</v>
      </c>
      <c r="J378" s="347" t="s">
        <v>1719</v>
      </c>
      <c r="K378" s="299"/>
    </row>
    <row r="379">
      <c r="A379" s="293"/>
      <c r="B379" s="239">
        <v>377.0</v>
      </c>
      <c r="C379" s="6" t="s">
        <v>1720</v>
      </c>
      <c r="D379" s="6" t="s">
        <v>869</v>
      </c>
      <c r="E379" s="6" t="s">
        <v>213</v>
      </c>
      <c r="F379" s="12">
        <v>38293.0</v>
      </c>
      <c r="G379" s="8">
        <f t="shared" si="8"/>
        <v>21.69544128</v>
      </c>
      <c r="H379" s="9">
        <v>377.0</v>
      </c>
      <c r="I379" s="9">
        <v>-18.0</v>
      </c>
      <c r="J379" s="347" t="s">
        <v>1721</v>
      </c>
      <c r="K379" s="299"/>
    </row>
    <row r="380">
      <c r="A380" s="293"/>
      <c r="B380" s="239">
        <v>378.0</v>
      </c>
      <c r="C380" s="35" t="s">
        <v>707</v>
      </c>
      <c r="D380" s="35" t="s">
        <v>10</v>
      </c>
      <c r="E380" s="35" t="s">
        <v>40</v>
      </c>
      <c r="F380" s="7">
        <v>37767.0</v>
      </c>
      <c r="G380" s="8">
        <f t="shared" si="8"/>
        <v>23.13424658</v>
      </c>
      <c r="H380" s="49">
        <v>378.0</v>
      </c>
      <c r="I380" s="9">
        <v>10.0</v>
      </c>
      <c r="J380" s="341" t="s">
        <v>1722</v>
      </c>
      <c r="K380" s="299"/>
    </row>
    <row r="381">
      <c r="A381" s="293"/>
      <c r="B381" s="5">
        <v>379.0</v>
      </c>
      <c r="C381" s="35" t="s">
        <v>1015</v>
      </c>
      <c r="D381" s="35" t="s">
        <v>25</v>
      </c>
      <c r="E381" s="35" t="s">
        <v>58</v>
      </c>
      <c r="F381" s="7">
        <v>35591.0</v>
      </c>
      <c r="G381" s="8">
        <f t="shared" si="8"/>
        <v>29.09315068</v>
      </c>
      <c r="H381" s="9">
        <v>379.0</v>
      </c>
      <c r="I381" s="9">
        <v>13.0</v>
      </c>
      <c r="J381" s="341" t="s">
        <v>1723</v>
      </c>
      <c r="K381" s="299"/>
    </row>
    <row r="382">
      <c r="A382" s="293"/>
      <c r="B382" s="239">
        <v>380.0</v>
      </c>
      <c r="C382" s="11" t="s">
        <v>1008</v>
      </c>
      <c r="D382" s="11" t="s">
        <v>25</v>
      </c>
      <c r="E382" s="11" t="s">
        <v>95</v>
      </c>
      <c r="F382" s="12">
        <v>36757.0</v>
      </c>
      <c r="G382" s="8">
        <f t="shared" si="8"/>
        <v>25.90035931</v>
      </c>
      <c r="H382" s="49">
        <v>380.0</v>
      </c>
      <c r="I382" s="9">
        <v>14.0</v>
      </c>
      <c r="J382" s="344" t="s">
        <v>1724</v>
      </c>
      <c r="K382" s="299"/>
    </row>
    <row r="383">
      <c r="A383" s="293"/>
      <c r="B383" s="239">
        <v>381.0</v>
      </c>
      <c r="C383" s="6" t="s">
        <v>939</v>
      </c>
      <c r="D383" s="6" t="s">
        <v>10</v>
      </c>
      <c r="E383" s="6" t="s">
        <v>87</v>
      </c>
      <c r="F383" s="12">
        <v>35753.0</v>
      </c>
      <c r="G383" s="8">
        <f t="shared" si="8"/>
        <v>28.64931507</v>
      </c>
      <c r="H383" s="9">
        <v>381.0</v>
      </c>
      <c r="I383" s="9">
        <v>19.0</v>
      </c>
      <c r="J383" s="347" t="s">
        <v>1725</v>
      </c>
      <c r="K383" s="299"/>
    </row>
    <row r="384">
      <c r="A384" s="293"/>
      <c r="B384" s="27">
        <v>382.0</v>
      </c>
      <c r="C384" s="28" t="s">
        <v>899</v>
      </c>
      <c r="D384" s="28" t="s">
        <v>573</v>
      </c>
      <c r="E384" s="29" t="s">
        <v>52</v>
      </c>
      <c r="F384" s="44">
        <v>37251.0</v>
      </c>
      <c r="G384" s="28">
        <v>23.8</v>
      </c>
      <c r="H384" s="49">
        <v>382.0</v>
      </c>
      <c r="I384" s="9">
        <v>-16.0</v>
      </c>
      <c r="J384" s="54" t="s">
        <v>1726</v>
      </c>
      <c r="K384" s="299"/>
    </row>
    <row r="385">
      <c r="A385" s="293"/>
      <c r="B385" s="27">
        <v>383.0</v>
      </c>
      <c r="C385" s="28" t="s">
        <v>905</v>
      </c>
      <c r="D385" s="28" t="s">
        <v>36</v>
      </c>
      <c r="E385" s="28" t="s">
        <v>114</v>
      </c>
      <c r="F385" s="44">
        <v>37088.0</v>
      </c>
      <c r="G385" s="31">
        <f t="shared" ref="G385:G399" si="9">YEARFRAC(F385, TODAY(),1)</f>
        <v>24.99452055</v>
      </c>
      <c r="H385" s="9">
        <v>383.0</v>
      </c>
      <c r="I385" s="9">
        <v>-28.0</v>
      </c>
      <c r="J385" s="345" t="s">
        <v>1727</v>
      </c>
      <c r="K385" s="299"/>
    </row>
    <row r="386">
      <c r="A386" s="293"/>
      <c r="B386" s="5">
        <v>384.0</v>
      </c>
      <c r="C386" s="6" t="s">
        <v>1728</v>
      </c>
      <c r="D386" s="6" t="s">
        <v>14</v>
      </c>
      <c r="E386" s="35" t="s">
        <v>932</v>
      </c>
      <c r="F386" s="12">
        <v>31173.0</v>
      </c>
      <c r="G386" s="8">
        <f t="shared" si="9"/>
        <v>41.1890411</v>
      </c>
      <c r="H386" s="49">
        <v>384.0</v>
      </c>
      <c r="I386" s="9">
        <v>-56.0</v>
      </c>
      <c r="J386" s="341" t="s">
        <v>1729</v>
      </c>
      <c r="K386" s="299"/>
    </row>
    <row r="387">
      <c r="A387" s="293"/>
      <c r="B387" s="5">
        <v>385.0</v>
      </c>
      <c r="C387" s="6" t="s">
        <v>542</v>
      </c>
      <c r="D387" s="6" t="s">
        <v>25</v>
      </c>
      <c r="E387" s="6" t="s">
        <v>15</v>
      </c>
      <c r="F387" s="12">
        <v>37762.0</v>
      </c>
      <c r="G387" s="8">
        <f t="shared" si="9"/>
        <v>23.14794521</v>
      </c>
      <c r="H387" s="9">
        <v>385.0</v>
      </c>
      <c r="I387" s="9">
        <v>1.0</v>
      </c>
      <c r="J387" s="341" t="s">
        <v>1730</v>
      </c>
      <c r="K387" s="299"/>
    </row>
    <row r="388">
      <c r="A388" s="293"/>
      <c r="B388" s="5">
        <v>386.0</v>
      </c>
      <c r="C388" s="11" t="s">
        <v>843</v>
      </c>
      <c r="D388" s="11" t="s">
        <v>14</v>
      </c>
      <c r="E388" s="11" t="s">
        <v>932</v>
      </c>
      <c r="F388" s="12">
        <v>33939.0</v>
      </c>
      <c r="G388" s="8">
        <f t="shared" si="9"/>
        <v>33.6162063</v>
      </c>
      <c r="H388" s="49">
        <v>386.0</v>
      </c>
      <c r="I388" s="9">
        <v>10.0</v>
      </c>
      <c r="J388" s="344" t="s">
        <v>845</v>
      </c>
      <c r="K388" s="299"/>
    </row>
    <row r="389">
      <c r="A389" s="293"/>
      <c r="B389" s="5">
        <v>387.0</v>
      </c>
      <c r="C389" s="6" t="s">
        <v>1731</v>
      </c>
      <c r="D389" s="6" t="s">
        <v>10</v>
      </c>
      <c r="E389" s="35" t="s">
        <v>90</v>
      </c>
      <c r="F389" s="12">
        <v>37308.0</v>
      </c>
      <c r="G389" s="8">
        <f t="shared" si="9"/>
        <v>24.39178082</v>
      </c>
      <c r="H389" s="9">
        <v>387.0</v>
      </c>
      <c r="I389" s="9">
        <v>-29.0</v>
      </c>
      <c r="J389" s="341" t="s">
        <v>1732</v>
      </c>
      <c r="K389" s="299"/>
    </row>
    <row r="390">
      <c r="A390" s="293"/>
      <c r="B390" s="5">
        <v>388.0</v>
      </c>
      <c r="C390" s="6" t="s">
        <v>955</v>
      </c>
      <c r="D390" s="6" t="s">
        <v>573</v>
      </c>
      <c r="E390" s="6" t="s">
        <v>18</v>
      </c>
      <c r="F390" s="12">
        <v>38266.0</v>
      </c>
      <c r="G390" s="8">
        <f t="shared" si="9"/>
        <v>21.76921177</v>
      </c>
      <c r="H390" s="49">
        <v>388.0</v>
      </c>
      <c r="I390" s="9">
        <v>-40.0</v>
      </c>
      <c r="J390" s="341" t="s">
        <v>1733</v>
      </c>
      <c r="K390" s="299"/>
    </row>
    <row r="391">
      <c r="A391" s="293"/>
      <c r="B391" s="5">
        <v>389.0</v>
      </c>
      <c r="C391" s="6" t="s">
        <v>779</v>
      </c>
      <c r="D391" s="6" t="s">
        <v>25</v>
      </c>
      <c r="E391" s="6" t="s">
        <v>90</v>
      </c>
      <c r="F391" s="12">
        <v>36129.0</v>
      </c>
      <c r="G391" s="8">
        <f t="shared" si="9"/>
        <v>27.61917808</v>
      </c>
      <c r="H391" s="9">
        <v>389.0</v>
      </c>
      <c r="I391" s="9">
        <v>-20.0</v>
      </c>
      <c r="J391" s="347" t="s">
        <v>780</v>
      </c>
      <c r="K391" s="299"/>
    </row>
    <row r="392">
      <c r="A392" s="293"/>
      <c r="B392" s="5">
        <v>390.0</v>
      </c>
      <c r="C392" s="11" t="s">
        <v>1013</v>
      </c>
      <c r="D392" s="11" t="s">
        <v>36</v>
      </c>
      <c r="E392" s="11" t="s">
        <v>26</v>
      </c>
      <c r="F392" s="12">
        <v>34970.0</v>
      </c>
      <c r="G392" s="8">
        <f t="shared" si="9"/>
        <v>30.79178082</v>
      </c>
      <c r="H392" s="49">
        <v>390.0</v>
      </c>
      <c r="I392" s="9">
        <v>-19.0</v>
      </c>
      <c r="J392" s="344" t="s">
        <v>1734</v>
      </c>
      <c r="K392" s="299"/>
    </row>
    <row r="393">
      <c r="A393" s="293"/>
      <c r="B393" s="5">
        <v>391.0</v>
      </c>
      <c r="C393" s="6" t="s">
        <v>1735</v>
      </c>
      <c r="D393" s="6" t="s">
        <v>21</v>
      </c>
      <c r="E393" s="6" t="s">
        <v>90</v>
      </c>
      <c r="F393" s="12">
        <v>32937.0</v>
      </c>
      <c r="G393" s="8">
        <f t="shared" si="9"/>
        <v>36.35890411</v>
      </c>
      <c r="H393" s="9">
        <v>391.0</v>
      </c>
      <c r="I393" s="9">
        <v>-15.0</v>
      </c>
      <c r="J393" s="347" t="s">
        <v>1736</v>
      </c>
      <c r="K393" s="299"/>
    </row>
    <row r="394">
      <c r="A394" s="293"/>
      <c r="B394" s="5">
        <v>392.0</v>
      </c>
      <c r="C394" s="6" t="s">
        <v>911</v>
      </c>
      <c r="D394" s="6" t="s">
        <v>36</v>
      </c>
      <c r="E394" s="6" t="s">
        <v>55</v>
      </c>
      <c r="F394" s="12">
        <v>36039.0</v>
      </c>
      <c r="G394" s="8">
        <f t="shared" si="9"/>
        <v>27.86575342</v>
      </c>
      <c r="H394" s="49">
        <v>392.0</v>
      </c>
      <c r="I394" s="9">
        <v>-1.0</v>
      </c>
      <c r="J394" s="347" t="s">
        <v>1737</v>
      </c>
      <c r="K394" s="299"/>
    </row>
    <row r="395">
      <c r="A395" s="293"/>
      <c r="B395" s="5">
        <v>393.0</v>
      </c>
      <c r="C395" s="6" t="s">
        <v>921</v>
      </c>
      <c r="D395" s="6" t="s">
        <v>21</v>
      </c>
      <c r="E395" s="6" t="s">
        <v>213</v>
      </c>
      <c r="F395" s="12">
        <v>36088.0</v>
      </c>
      <c r="G395" s="8">
        <f t="shared" si="9"/>
        <v>27.73150685</v>
      </c>
      <c r="H395" s="9">
        <v>393.0</v>
      </c>
      <c r="I395" s="9">
        <v>4.0</v>
      </c>
      <c r="J395" s="341" t="s">
        <v>1738</v>
      </c>
      <c r="K395" s="299"/>
    </row>
    <row r="396">
      <c r="A396" s="293"/>
      <c r="B396" s="5">
        <v>394.0</v>
      </c>
      <c r="C396" s="11" t="s">
        <v>884</v>
      </c>
      <c r="D396" s="11" t="s">
        <v>25</v>
      </c>
      <c r="E396" s="11" t="s">
        <v>213</v>
      </c>
      <c r="F396" s="12">
        <v>34415.0</v>
      </c>
      <c r="G396" s="8">
        <f t="shared" si="9"/>
        <v>32.31232877</v>
      </c>
      <c r="H396" s="49">
        <v>394.0</v>
      </c>
      <c r="I396" s="9">
        <v>-16.0</v>
      </c>
      <c r="J396" s="344" t="s">
        <v>1739</v>
      </c>
      <c r="K396" s="299"/>
    </row>
    <row r="397">
      <c r="A397" s="293"/>
      <c r="B397" s="5">
        <v>395.0</v>
      </c>
      <c r="C397" s="6" t="s">
        <v>1740</v>
      </c>
      <c r="D397" s="6" t="s">
        <v>14</v>
      </c>
      <c r="E397" s="6" t="s">
        <v>22</v>
      </c>
      <c r="F397" s="12">
        <v>36455.0</v>
      </c>
      <c r="G397" s="8">
        <f t="shared" si="9"/>
        <v>26.7260274</v>
      </c>
      <c r="H397" s="9">
        <v>395.0</v>
      </c>
      <c r="I397" s="9">
        <v>-28.0</v>
      </c>
      <c r="J397" s="341" t="s">
        <v>1741</v>
      </c>
      <c r="K397" s="299"/>
    </row>
    <row r="398">
      <c r="A398" s="293"/>
      <c r="B398" s="239">
        <v>396.0</v>
      </c>
      <c r="C398" s="6" t="s">
        <v>1029</v>
      </c>
      <c r="D398" s="6" t="s">
        <v>25</v>
      </c>
      <c r="E398" s="6" t="s">
        <v>158</v>
      </c>
      <c r="F398" s="12">
        <v>36834.0</v>
      </c>
      <c r="G398" s="8">
        <f t="shared" si="9"/>
        <v>25.68997679</v>
      </c>
      <c r="H398" s="49">
        <v>396.0</v>
      </c>
      <c r="I398" s="9">
        <v>-29.0</v>
      </c>
      <c r="J398" s="347" t="s">
        <v>1742</v>
      </c>
      <c r="K398" s="299"/>
    </row>
    <row r="399">
      <c r="A399" s="293"/>
      <c r="B399" s="239">
        <v>397.0</v>
      </c>
      <c r="C399" s="11" t="s">
        <v>934</v>
      </c>
      <c r="D399" s="11" t="s">
        <v>21</v>
      </c>
      <c r="E399" s="11" t="s">
        <v>106</v>
      </c>
      <c r="F399" s="12">
        <v>37357.0</v>
      </c>
      <c r="G399" s="8">
        <f t="shared" si="9"/>
        <v>24.25753425</v>
      </c>
      <c r="H399" s="9">
        <v>397.0</v>
      </c>
      <c r="I399" s="9">
        <v>-10.0</v>
      </c>
      <c r="J399" s="344" t="s">
        <v>1743</v>
      </c>
      <c r="K399" s="299"/>
    </row>
    <row r="400">
      <c r="A400" s="293"/>
      <c r="B400" s="27">
        <v>398.0</v>
      </c>
      <c r="C400" s="28" t="s">
        <v>970</v>
      </c>
      <c r="D400" s="28" t="s">
        <v>36</v>
      </c>
      <c r="E400" s="29" t="s">
        <v>29</v>
      </c>
      <c r="F400" s="44">
        <v>37244.0</v>
      </c>
      <c r="G400" s="28">
        <v>23.8</v>
      </c>
      <c r="H400" s="49">
        <v>398.0</v>
      </c>
      <c r="I400" s="9">
        <v>-14.0</v>
      </c>
      <c r="J400" s="54" t="s">
        <v>971</v>
      </c>
      <c r="K400" s="299"/>
    </row>
    <row r="401">
      <c r="A401" s="293"/>
      <c r="B401" s="239">
        <v>399.0</v>
      </c>
      <c r="C401" s="6" t="s">
        <v>1002</v>
      </c>
      <c r="D401" s="6" t="s">
        <v>36</v>
      </c>
      <c r="E401" s="6" t="s">
        <v>26</v>
      </c>
      <c r="F401" s="12">
        <v>37442.0</v>
      </c>
      <c r="G401" s="8">
        <f t="shared" ref="G401:G423" si="10">YEARFRAC(F401, TODAY(),1)</f>
        <v>24.02465753</v>
      </c>
      <c r="H401" s="9">
        <v>399.0</v>
      </c>
      <c r="I401" s="9">
        <v>-25.0</v>
      </c>
      <c r="J401" s="347" t="s">
        <v>1744</v>
      </c>
      <c r="K401" s="299"/>
    </row>
    <row r="402">
      <c r="A402" s="293"/>
      <c r="B402" s="239">
        <v>400.0</v>
      </c>
      <c r="C402" s="6" t="s">
        <v>1745</v>
      </c>
      <c r="D402" s="6" t="s">
        <v>573</v>
      </c>
      <c r="E402" s="35" t="s">
        <v>158</v>
      </c>
      <c r="F402" s="12">
        <v>37885.0</v>
      </c>
      <c r="G402" s="8">
        <f t="shared" si="10"/>
        <v>22.8109589</v>
      </c>
      <c r="H402" s="49">
        <v>400.0</v>
      </c>
      <c r="I402" s="9">
        <v>-28.0</v>
      </c>
      <c r="J402" s="341" t="s">
        <v>1746</v>
      </c>
      <c r="K402" s="299"/>
    </row>
    <row r="403">
      <c r="A403" s="293"/>
      <c r="B403" s="239">
        <v>401.0</v>
      </c>
      <c r="C403" s="11" t="s">
        <v>1747</v>
      </c>
      <c r="D403" s="11" t="s">
        <v>25</v>
      </c>
      <c r="E403" s="11" t="s">
        <v>128</v>
      </c>
      <c r="F403" s="12">
        <v>37065.0</v>
      </c>
      <c r="G403" s="8">
        <f t="shared" si="10"/>
        <v>25.05753425</v>
      </c>
      <c r="H403" s="9">
        <v>401.0</v>
      </c>
      <c r="I403" s="9">
        <v>-19.0</v>
      </c>
      <c r="J403" s="344" t="s">
        <v>1748</v>
      </c>
      <c r="K403" s="299"/>
    </row>
    <row r="404">
      <c r="A404" s="293"/>
      <c r="B404" s="239">
        <v>402.0</v>
      </c>
      <c r="C404" s="6" t="s">
        <v>816</v>
      </c>
      <c r="D404" s="6" t="s">
        <v>10</v>
      </c>
      <c r="E404" s="35" t="s">
        <v>167</v>
      </c>
      <c r="F404" s="12">
        <v>36422.0</v>
      </c>
      <c r="G404" s="8">
        <f t="shared" si="10"/>
        <v>26.81643836</v>
      </c>
      <c r="H404" s="49">
        <v>402.0</v>
      </c>
      <c r="I404" s="9">
        <v>-3.0</v>
      </c>
      <c r="J404" s="341" t="s">
        <v>1070</v>
      </c>
      <c r="K404" s="299"/>
    </row>
    <row r="405">
      <c r="A405" s="293"/>
      <c r="B405" s="27">
        <v>403.0</v>
      </c>
      <c r="C405" s="28" t="s">
        <v>559</v>
      </c>
      <c r="D405" s="28" t="s">
        <v>21</v>
      </c>
      <c r="E405" s="28" t="s">
        <v>167</v>
      </c>
      <c r="F405" s="44">
        <v>37241.0</v>
      </c>
      <c r="G405" s="31">
        <f t="shared" si="10"/>
        <v>24.57534247</v>
      </c>
      <c r="H405" s="9">
        <v>403.0</v>
      </c>
      <c r="I405" s="9">
        <v>45.0</v>
      </c>
      <c r="J405" s="345" t="s">
        <v>1561</v>
      </c>
      <c r="K405" s="299"/>
    </row>
    <row r="406">
      <c r="A406" s="293"/>
      <c r="B406" s="239">
        <v>404.0</v>
      </c>
      <c r="C406" s="6" t="s">
        <v>889</v>
      </c>
      <c r="D406" s="6" t="s">
        <v>36</v>
      </c>
      <c r="E406" s="6" t="s">
        <v>95</v>
      </c>
      <c r="F406" s="12">
        <v>38138.0</v>
      </c>
      <c r="G406" s="8">
        <f t="shared" si="10"/>
        <v>22.11893854</v>
      </c>
      <c r="H406" s="49">
        <v>404.0</v>
      </c>
      <c r="I406" s="9">
        <v>-3.0</v>
      </c>
      <c r="J406" s="347" t="s">
        <v>1749</v>
      </c>
      <c r="K406" s="299"/>
    </row>
    <row r="407">
      <c r="A407" s="293"/>
      <c r="B407" s="239">
        <v>405.0</v>
      </c>
      <c r="C407" s="6" t="s">
        <v>1750</v>
      </c>
      <c r="D407" s="6" t="s">
        <v>21</v>
      </c>
      <c r="E407" s="6" t="s">
        <v>95</v>
      </c>
      <c r="F407" s="12">
        <v>35242.0</v>
      </c>
      <c r="G407" s="8">
        <f t="shared" si="10"/>
        <v>30.04790029</v>
      </c>
      <c r="H407" s="9">
        <v>405.0</v>
      </c>
      <c r="I407" s="9">
        <v>-1.0</v>
      </c>
      <c r="J407" s="347" t="s">
        <v>1751</v>
      </c>
      <c r="K407" s="299"/>
    </row>
    <row r="408">
      <c r="A408" s="293"/>
      <c r="B408" s="239">
        <v>406.0</v>
      </c>
      <c r="C408" s="15" t="s">
        <v>957</v>
      </c>
      <c r="D408" s="15" t="s">
        <v>10</v>
      </c>
      <c r="E408" s="15" t="s">
        <v>15</v>
      </c>
      <c r="F408" s="16">
        <v>34670.0</v>
      </c>
      <c r="G408" s="17">
        <f t="shared" si="10"/>
        <v>31.61369863</v>
      </c>
      <c r="H408" s="49">
        <v>406.0</v>
      </c>
      <c r="I408" s="9">
        <v>35.0</v>
      </c>
      <c r="J408" s="351" t="s">
        <v>1752</v>
      </c>
      <c r="K408" s="299"/>
    </row>
    <row r="409">
      <c r="A409" s="293"/>
      <c r="B409" s="239">
        <v>407.0</v>
      </c>
      <c r="C409" s="6" t="s">
        <v>613</v>
      </c>
      <c r="D409" s="6" t="s">
        <v>25</v>
      </c>
      <c r="E409" s="6" t="s">
        <v>98</v>
      </c>
      <c r="F409" s="12">
        <v>36548.0</v>
      </c>
      <c r="G409" s="8">
        <f t="shared" si="10"/>
        <v>26.47139756</v>
      </c>
      <c r="H409" s="9">
        <v>407.0</v>
      </c>
      <c r="I409" s="9">
        <v>-1.0</v>
      </c>
      <c r="J409" s="341" t="s">
        <v>1753</v>
      </c>
      <c r="K409" s="299"/>
    </row>
    <row r="410">
      <c r="A410" s="293"/>
      <c r="B410" s="239">
        <v>408.0</v>
      </c>
      <c r="C410" s="11" t="s">
        <v>1754</v>
      </c>
      <c r="D410" s="11" t="s">
        <v>1755</v>
      </c>
      <c r="E410" s="11" t="s">
        <v>932</v>
      </c>
      <c r="F410" s="12">
        <v>35266.0</v>
      </c>
      <c r="G410" s="8">
        <f t="shared" si="10"/>
        <v>29.98232652</v>
      </c>
      <c r="H410" s="49">
        <v>408.0</v>
      </c>
      <c r="I410" s="9">
        <v>-28.0</v>
      </c>
      <c r="J410" s="344" t="s">
        <v>1756</v>
      </c>
      <c r="K410" s="299"/>
    </row>
    <row r="411">
      <c r="A411" s="293"/>
      <c r="B411" s="239">
        <v>409.0</v>
      </c>
      <c r="C411" s="35" t="s">
        <v>781</v>
      </c>
      <c r="D411" s="6" t="s">
        <v>14</v>
      </c>
      <c r="E411" s="35" t="s">
        <v>18</v>
      </c>
      <c r="F411" s="7">
        <v>36091.0</v>
      </c>
      <c r="G411" s="8">
        <f t="shared" si="10"/>
        <v>27.72328767</v>
      </c>
      <c r="H411" s="9">
        <v>409.0</v>
      </c>
      <c r="I411" s="9" t="s">
        <v>371</v>
      </c>
      <c r="J411" s="341" t="s">
        <v>782</v>
      </c>
      <c r="K411" s="299"/>
    </row>
    <row r="412">
      <c r="A412" s="293"/>
      <c r="B412" s="239">
        <v>410.0</v>
      </c>
      <c r="C412" s="61" t="s">
        <v>1757</v>
      </c>
      <c r="D412" s="61" t="s">
        <v>10</v>
      </c>
      <c r="E412" s="61" t="s">
        <v>32</v>
      </c>
      <c r="F412" s="12">
        <v>36172.0</v>
      </c>
      <c r="G412" s="8">
        <f t="shared" si="10"/>
        <v>27.50136986</v>
      </c>
      <c r="H412" s="49">
        <v>410.0</v>
      </c>
      <c r="I412" s="9">
        <v>3.0</v>
      </c>
      <c r="J412" s="341" t="s">
        <v>1758</v>
      </c>
      <c r="K412" s="299"/>
    </row>
    <row r="413">
      <c r="A413" s="293"/>
      <c r="B413" s="5">
        <v>411.0</v>
      </c>
      <c r="C413" s="35" t="s">
        <v>987</v>
      </c>
      <c r="D413" s="35" t="s">
        <v>21</v>
      </c>
      <c r="E413" s="35" t="s">
        <v>69</v>
      </c>
      <c r="F413" s="7">
        <v>35642.0</v>
      </c>
      <c r="G413" s="8">
        <f t="shared" si="10"/>
        <v>28.95342466</v>
      </c>
      <c r="H413" s="9">
        <v>411.0</v>
      </c>
      <c r="I413" s="9" t="s">
        <v>371</v>
      </c>
      <c r="J413" s="341" t="s">
        <v>1759</v>
      </c>
      <c r="K413" s="299"/>
    </row>
    <row r="414">
      <c r="A414" s="293"/>
      <c r="B414" s="5">
        <v>412.0</v>
      </c>
      <c r="C414" s="6" t="s">
        <v>1760</v>
      </c>
      <c r="D414" s="6" t="s">
        <v>25</v>
      </c>
      <c r="E414" s="6" t="s">
        <v>58</v>
      </c>
      <c r="F414" s="12">
        <v>34137.0</v>
      </c>
      <c r="G414" s="8">
        <f t="shared" si="10"/>
        <v>33.0739726</v>
      </c>
      <c r="H414" s="49">
        <v>412.0</v>
      </c>
      <c r="I414" s="9">
        <v>-3.0</v>
      </c>
      <c r="J414" s="341" t="s">
        <v>1761</v>
      </c>
      <c r="K414" s="299"/>
    </row>
    <row r="415">
      <c r="A415" s="293"/>
      <c r="B415" s="5">
        <v>413.0</v>
      </c>
      <c r="C415" s="11" t="s">
        <v>1762</v>
      </c>
      <c r="D415" s="35" t="s">
        <v>25</v>
      </c>
      <c r="E415" s="11" t="s">
        <v>40</v>
      </c>
      <c r="F415" s="12">
        <v>37467.0</v>
      </c>
      <c r="G415" s="8">
        <f t="shared" si="10"/>
        <v>23.95616438</v>
      </c>
      <c r="H415" s="9">
        <v>413.0</v>
      </c>
      <c r="I415" s="9">
        <v>-8.0</v>
      </c>
      <c r="J415" s="344" t="s">
        <v>1763</v>
      </c>
      <c r="K415" s="299"/>
    </row>
    <row r="416">
      <c r="A416" s="293"/>
      <c r="B416" s="5">
        <v>414.0</v>
      </c>
      <c r="C416" s="11" t="s">
        <v>989</v>
      </c>
      <c r="D416" s="11" t="s">
        <v>10</v>
      </c>
      <c r="E416" s="11" t="s">
        <v>69</v>
      </c>
      <c r="F416" s="12">
        <v>33970.0</v>
      </c>
      <c r="G416" s="8">
        <f t="shared" si="10"/>
        <v>33.53150685</v>
      </c>
      <c r="H416" s="49">
        <v>414.0</v>
      </c>
      <c r="I416" s="9">
        <v>-37.0</v>
      </c>
      <c r="J416" s="344" t="s">
        <v>1764</v>
      </c>
      <c r="K416" s="299"/>
    </row>
    <row r="417">
      <c r="A417" s="293"/>
      <c r="B417" s="5">
        <v>415.0</v>
      </c>
      <c r="C417" s="6" t="s">
        <v>1765</v>
      </c>
      <c r="D417" s="6" t="s">
        <v>74</v>
      </c>
      <c r="E417" s="6" t="s">
        <v>87</v>
      </c>
      <c r="F417" s="12">
        <v>37449.0</v>
      </c>
      <c r="G417" s="8">
        <f t="shared" si="10"/>
        <v>24.00547945</v>
      </c>
      <c r="H417" s="9">
        <v>415.0</v>
      </c>
      <c r="I417" s="9">
        <v>3.0</v>
      </c>
      <c r="J417" s="347" t="s">
        <v>1766</v>
      </c>
      <c r="K417" s="299"/>
    </row>
    <row r="418">
      <c r="A418" s="293"/>
      <c r="B418" s="5">
        <v>416.0</v>
      </c>
      <c r="C418" s="6" t="s">
        <v>1767</v>
      </c>
      <c r="D418" s="6" t="s">
        <v>25</v>
      </c>
      <c r="E418" s="6" t="s">
        <v>52</v>
      </c>
      <c r="F418" s="12">
        <v>37021.0</v>
      </c>
      <c r="G418" s="8">
        <f t="shared" si="10"/>
        <v>25.17808219</v>
      </c>
      <c r="H418" s="49">
        <v>416.0</v>
      </c>
      <c r="I418" s="9">
        <v>6.0</v>
      </c>
      <c r="J418" s="347" t="s">
        <v>1768</v>
      </c>
      <c r="K418" s="299"/>
    </row>
    <row r="419">
      <c r="A419" s="293"/>
      <c r="B419" s="5">
        <v>417.0</v>
      </c>
      <c r="C419" s="15" t="s">
        <v>833</v>
      </c>
      <c r="D419" s="15" t="s">
        <v>14</v>
      </c>
      <c r="E419" s="15" t="s">
        <v>29</v>
      </c>
      <c r="F419" s="16">
        <v>36790.0</v>
      </c>
      <c r="G419" s="17">
        <f t="shared" si="10"/>
        <v>25.81019537</v>
      </c>
      <c r="H419" s="9">
        <v>417.0</v>
      </c>
      <c r="I419" s="9">
        <v>16.0</v>
      </c>
      <c r="J419" s="354" t="s">
        <v>1769</v>
      </c>
      <c r="K419" s="299"/>
    </row>
    <row r="420">
      <c r="A420" s="293"/>
      <c r="B420" s="5">
        <v>418.0</v>
      </c>
      <c r="C420" s="11" t="s">
        <v>944</v>
      </c>
      <c r="D420" s="11" t="s">
        <v>25</v>
      </c>
      <c r="E420" s="11" t="s">
        <v>58</v>
      </c>
      <c r="F420" s="12">
        <v>34232.0</v>
      </c>
      <c r="G420" s="8">
        <f t="shared" si="10"/>
        <v>32.81369863</v>
      </c>
      <c r="H420" s="49">
        <v>418.0</v>
      </c>
      <c r="I420" s="9">
        <v>-8.0</v>
      </c>
      <c r="J420" s="344" t="s">
        <v>1770</v>
      </c>
      <c r="K420" s="299"/>
    </row>
    <row r="421">
      <c r="A421" s="293"/>
      <c r="B421" s="239">
        <v>419.0</v>
      </c>
      <c r="C421" s="35" t="s">
        <v>907</v>
      </c>
      <c r="D421" s="35" t="s">
        <v>573</v>
      </c>
      <c r="E421" s="35" t="s">
        <v>128</v>
      </c>
      <c r="F421" s="7">
        <v>35794.0</v>
      </c>
      <c r="G421" s="8">
        <f t="shared" si="10"/>
        <v>28.5369863</v>
      </c>
      <c r="H421" s="9">
        <v>419.0</v>
      </c>
      <c r="I421" s="9" t="s">
        <v>371</v>
      </c>
      <c r="J421" s="341" t="s">
        <v>1771</v>
      </c>
      <c r="K421" s="299"/>
    </row>
    <row r="422">
      <c r="A422" s="293"/>
      <c r="B422" s="239">
        <v>420.0</v>
      </c>
      <c r="C422" s="6" t="s">
        <v>1772</v>
      </c>
      <c r="D422" s="6" t="s">
        <v>36</v>
      </c>
      <c r="E422" s="6" t="s">
        <v>49</v>
      </c>
      <c r="F422" s="12">
        <v>35146.0</v>
      </c>
      <c r="G422" s="8">
        <f t="shared" si="10"/>
        <v>30.31019537</v>
      </c>
      <c r="H422" s="49">
        <v>420.0</v>
      </c>
      <c r="I422" s="9">
        <v>12.0</v>
      </c>
      <c r="J422" s="347" t="s">
        <v>1773</v>
      </c>
      <c r="K422" s="299"/>
    </row>
    <row r="423">
      <c r="A423" s="293"/>
      <c r="B423" s="239">
        <v>421.0</v>
      </c>
      <c r="C423" s="6" t="s">
        <v>1774</v>
      </c>
      <c r="D423" s="6" t="s">
        <v>25</v>
      </c>
      <c r="E423" s="6" t="s">
        <v>111</v>
      </c>
      <c r="F423" s="12">
        <v>34684.0</v>
      </c>
      <c r="G423" s="8">
        <f t="shared" si="10"/>
        <v>31.57534247</v>
      </c>
      <c r="H423" s="9">
        <v>421.0</v>
      </c>
      <c r="I423" s="9">
        <v>-31.0</v>
      </c>
      <c r="J423" s="341" t="s">
        <v>1775</v>
      </c>
      <c r="K423" s="299"/>
    </row>
    <row r="424">
      <c r="A424" s="293"/>
      <c r="B424" s="27">
        <v>422.0</v>
      </c>
      <c r="C424" s="28" t="s">
        <v>981</v>
      </c>
      <c r="D424" s="28" t="s">
        <v>25</v>
      </c>
      <c r="E424" s="28" t="s">
        <v>932</v>
      </c>
      <c r="F424" s="44">
        <v>38112.0</v>
      </c>
      <c r="G424" s="28">
        <v>21.4</v>
      </c>
      <c r="H424" s="49">
        <v>422.0</v>
      </c>
      <c r="I424" s="9">
        <v>15.0</v>
      </c>
      <c r="J424" s="54" t="s">
        <v>1776</v>
      </c>
      <c r="K424" s="299"/>
    </row>
    <row r="425">
      <c r="A425" s="293"/>
      <c r="B425" s="239">
        <v>423.0</v>
      </c>
      <c r="C425" s="6" t="s">
        <v>1777</v>
      </c>
      <c r="D425" s="6" t="s">
        <v>25</v>
      </c>
      <c r="E425" s="35" t="s">
        <v>95</v>
      </c>
      <c r="F425" s="12">
        <v>37193.0</v>
      </c>
      <c r="G425" s="8">
        <f t="shared" ref="G425:G429" si="11">YEARFRAC(F425, TODAY(),1)</f>
        <v>24.70684932</v>
      </c>
      <c r="H425" s="9">
        <v>423.0</v>
      </c>
      <c r="I425" s="9">
        <v>-34.0</v>
      </c>
      <c r="J425" s="341" t="s">
        <v>1778</v>
      </c>
      <c r="K425" s="299"/>
    </row>
    <row r="426">
      <c r="A426" s="293"/>
      <c r="B426" s="239">
        <v>424.0</v>
      </c>
      <c r="C426" s="334" t="s">
        <v>1779</v>
      </c>
      <c r="D426" s="334" t="s">
        <v>10</v>
      </c>
      <c r="E426" s="334" t="s">
        <v>58</v>
      </c>
      <c r="F426" s="335">
        <v>32393.0</v>
      </c>
      <c r="G426" s="336">
        <f t="shared" si="11"/>
        <v>37.84844674</v>
      </c>
      <c r="H426" s="49">
        <v>424.0</v>
      </c>
      <c r="I426" s="9">
        <v>25.0</v>
      </c>
      <c r="J426" s="355" t="s">
        <v>1780</v>
      </c>
      <c r="K426" s="299"/>
    </row>
    <row r="427">
      <c r="A427" s="293"/>
      <c r="B427" s="239">
        <v>425.0</v>
      </c>
      <c r="C427" s="35" t="s">
        <v>855</v>
      </c>
      <c r="D427" s="6" t="s">
        <v>14</v>
      </c>
      <c r="E427" s="35" t="s">
        <v>111</v>
      </c>
      <c r="F427" s="7">
        <v>36338.0</v>
      </c>
      <c r="G427" s="8">
        <f t="shared" si="11"/>
        <v>27.04657534</v>
      </c>
      <c r="H427" s="9">
        <v>425.0</v>
      </c>
      <c r="I427" s="9" t="s">
        <v>371</v>
      </c>
      <c r="J427" s="341" t="s">
        <v>1781</v>
      </c>
      <c r="K427" s="299"/>
    </row>
    <row r="428">
      <c r="A428" s="293"/>
      <c r="B428" s="239">
        <v>426.0</v>
      </c>
      <c r="C428" s="6" t="s">
        <v>1782</v>
      </c>
      <c r="D428" s="6" t="s">
        <v>10</v>
      </c>
      <c r="E428" s="6" t="s">
        <v>32</v>
      </c>
      <c r="F428" s="12">
        <v>33980.0</v>
      </c>
      <c r="G428" s="8">
        <f t="shared" si="11"/>
        <v>33.50410959</v>
      </c>
      <c r="H428" s="49">
        <v>426.0</v>
      </c>
      <c r="I428" s="9">
        <v>-31.0</v>
      </c>
      <c r="J428" s="341" t="s">
        <v>1783</v>
      </c>
      <c r="K428" s="299"/>
    </row>
    <row r="429">
      <c r="A429" s="293"/>
      <c r="B429" s="239">
        <v>427.0</v>
      </c>
      <c r="C429" s="6" t="s">
        <v>1784</v>
      </c>
      <c r="D429" s="6" t="s">
        <v>14</v>
      </c>
      <c r="E429" s="6" t="s">
        <v>18</v>
      </c>
      <c r="F429" s="12">
        <v>38095.0</v>
      </c>
      <c r="G429" s="8">
        <f t="shared" si="11"/>
        <v>22.23642488</v>
      </c>
      <c r="H429" s="9">
        <v>427.0</v>
      </c>
      <c r="I429" s="9">
        <v>-29.0</v>
      </c>
      <c r="J429" s="341" t="s">
        <v>1785</v>
      </c>
      <c r="K429" s="299"/>
    </row>
    <row r="430">
      <c r="A430" s="293"/>
      <c r="B430" s="27">
        <v>428.0</v>
      </c>
      <c r="C430" s="28" t="s">
        <v>1786</v>
      </c>
      <c r="D430" s="28" t="s">
        <v>10</v>
      </c>
      <c r="E430" s="28" t="s">
        <v>87</v>
      </c>
      <c r="F430" s="44">
        <v>37985.0</v>
      </c>
      <c r="G430" s="28">
        <v>21.8</v>
      </c>
      <c r="H430" s="49">
        <v>428.0</v>
      </c>
      <c r="I430" s="9">
        <v>9.0</v>
      </c>
      <c r="J430" s="54" t="s">
        <v>1787</v>
      </c>
      <c r="K430" s="299"/>
    </row>
    <row r="431">
      <c r="A431" s="293"/>
      <c r="B431" s="239">
        <v>429.0</v>
      </c>
      <c r="C431" s="35" t="s">
        <v>1788</v>
      </c>
      <c r="D431" s="11" t="s">
        <v>14</v>
      </c>
      <c r="E431" s="35" t="s">
        <v>43</v>
      </c>
      <c r="F431" s="7">
        <v>36217.0</v>
      </c>
      <c r="G431" s="8">
        <f>YEARFRAC(F431, TODAY(),1)</f>
        <v>27.37808219</v>
      </c>
      <c r="H431" s="9">
        <v>429.0</v>
      </c>
      <c r="I431" s="9">
        <v>-9.0</v>
      </c>
      <c r="J431" s="341" t="s">
        <v>1789</v>
      </c>
      <c r="K431" s="299"/>
    </row>
    <row r="432">
      <c r="A432" s="293"/>
      <c r="B432" s="27">
        <v>430.0</v>
      </c>
      <c r="C432" s="28" t="s">
        <v>649</v>
      </c>
      <c r="D432" s="28" t="s">
        <v>267</v>
      </c>
      <c r="E432" s="29" t="s">
        <v>213</v>
      </c>
      <c r="F432" s="44">
        <v>38545.0</v>
      </c>
      <c r="G432" s="28">
        <v>20.2</v>
      </c>
      <c r="H432" s="49">
        <v>430.0</v>
      </c>
      <c r="I432" s="9">
        <v>15.0</v>
      </c>
      <c r="J432" s="54" t="s">
        <v>1790</v>
      </c>
      <c r="K432" s="299"/>
    </row>
    <row r="433">
      <c r="A433" s="293"/>
      <c r="B433" s="239">
        <v>431.0</v>
      </c>
      <c r="C433" s="6" t="s">
        <v>1791</v>
      </c>
      <c r="D433" s="6" t="s">
        <v>25</v>
      </c>
      <c r="E433" s="6" t="s">
        <v>98</v>
      </c>
      <c r="F433" s="12">
        <v>32491.0</v>
      </c>
      <c r="G433" s="8">
        <f t="shared" ref="G433:G439" si="12">YEARFRAC(F433, TODAY(),1)</f>
        <v>37.58068718</v>
      </c>
      <c r="H433" s="9">
        <v>431.0</v>
      </c>
      <c r="I433" s="9">
        <v>4.0</v>
      </c>
      <c r="J433" s="347" t="s">
        <v>1792</v>
      </c>
      <c r="K433" s="299"/>
    </row>
    <row r="434">
      <c r="A434" s="293"/>
      <c r="B434" s="239">
        <v>432.0</v>
      </c>
      <c r="C434" s="6" t="s">
        <v>1793</v>
      </c>
      <c r="D434" s="6" t="s">
        <v>36</v>
      </c>
      <c r="E434" s="6" t="s">
        <v>158</v>
      </c>
      <c r="F434" s="12">
        <v>37325.0</v>
      </c>
      <c r="G434" s="8">
        <f t="shared" si="12"/>
        <v>24.34520548</v>
      </c>
      <c r="H434" s="49">
        <v>432.0</v>
      </c>
      <c r="I434" s="9">
        <v>-21.0</v>
      </c>
      <c r="J434" s="341" t="s">
        <v>1794</v>
      </c>
      <c r="K434" s="299"/>
    </row>
    <row r="435">
      <c r="A435" s="293"/>
      <c r="B435" s="239">
        <v>433.0</v>
      </c>
      <c r="C435" s="6" t="s">
        <v>1795</v>
      </c>
      <c r="D435" s="6" t="s">
        <v>36</v>
      </c>
      <c r="E435" s="35" t="s">
        <v>37</v>
      </c>
      <c r="F435" s="12">
        <v>36967.0</v>
      </c>
      <c r="G435" s="8">
        <f t="shared" si="12"/>
        <v>25.3260274</v>
      </c>
      <c r="H435" s="9">
        <v>433.0</v>
      </c>
      <c r="I435" s="9">
        <v>-26.0</v>
      </c>
      <c r="J435" s="341" t="s">
        <v>1796</v>
      </c>
      <c r="K435" s="299"/>
    </row>
    <row r="436">
      <c r="A436" s="293"/>
      <c r="B436" s="239">
        <v>434.0</v>
      </c>
      <c r="C436" s="6" t="s">
        <v>1797</v>
      </c>
      <c r="D436" s="6" t="s">
        <v>25</v>
      </c>
      <c r="E436" s="6" t="s">
        <v>87</v>
      </c>
      <c r="F436" s="12">
        <v>37930.0</v>
      </c>
      <c r="G436" s="8">
        <f t="shared" si="12"/>
        <v>22.68767123</v>
      </c>
      <c r="H436" s="49">
        <v>434.0</v>
      </c>
      <c r="I436" s="9">
        <v>-26.0</v>
      </c>
      <c r="J436" s="347" t="s">
        <v>1798</v>
      </c>
      <c r="K436" s="299"/>
    </row>
    <row r="437">
      <c r="A437" s="293"/>
      <c r="B437" s="5">
        <v>435.0</v>
      </c>
      <c r="C437" s="6" t="s">
        <v>1799</v>
      </c>
      <c r="D437" s="6" t="s">
        <v>14</v>
      </c>
      <c r="E437" s="6" t="s">
        <v>95</v>
      </c>
      <c r="F437" s="12">
        <v>37753.0</v>
      </c>
      <c r="G437" s="8">
        <f t="shared" si="12"/>
        <v>23.17260274</v>
      </c>
      <c r="H437" s="9">
        <v>435.0</v>
      </c>
      <c r="I437" s="9">
        <v>-14.0</v>
      </c>
      <c r="J437" s="347" t="s">
        <v>1800</v>
      </c>
      <c r="K437" s="299"/>
    </row>
    <row r="438">
      <c r="A438" s="293"/>
      <c r="B438" s="5">
        <v>436.0</v>
      </c>
      <c r="C438" s="6" t="s">
        <v>1801</v>
      </c>
      <c r="D438" s="6" t="s">
        <v>25</v>
      </c>
      <c r="E438" s="35" t="s">
        <v>29</v>
      </c>
      <c r="F438" s="12">
        <v>36718.0</v>
      </c>
      <c r="G438" s="8">
        <f t="shared" si="12"/>
        <v>26.00691669</v>
      </c>
      <c r="H438" s="49">
        <v>436.0</v>
      </c>
      <c r="I438" s="9">
        <v>-21.0</v>
      </c>
      <c r="J438" s="347" t="s">
        <v>1802</v>
      </c>
      <c r="K438" s="299"/>
    </row>
    <row r="439">
      <c r="A439" s="293"/>
      <c r="B439" s="5">
        <v>437.0</v>
      </c>
      <c r="C439" s="6" t="s">
        <v>1803</v>
      </c>
      <c r="D439" s="6" t="s">
        <v>36</v>
      </c>
      <c r="E439" s="6" t="s">
        <v>43</v>
      </c>
      <c r="F439" s="12">
        <v>38040.0</v>
      </c>
      <c r="G439" s="8">
        <f t="shared" si="12"/>
        <v>22.38669811</v>
      </c>
      <c r="H439" s="9">
        <v>437.0</v>
      </c>
      <c r="I439" s="9">
        <v>-11.0</v>
      </c>
      <c r="J439" s="347" t="s">
        <v>1804</v>
      </c>
      <c r="K439" s="299"/>
    </row>
    <row r="440">
      <c r="A440" s="293"/>
      <c r="B440" s="27">
        <v>438.0</v>
      </c>
      <c r="C440" s="28" t="s">
        <v>1021</v>
      </c>
      <c r="D440" s="28" t="s">
        <v>573</v>
      </c>
      <c r="E440" s="28" t="s">
        <v>46</v>
      </c>
      <c r="F440" s="44">
        <v>37314.0</v>
      </c>
      <c r="G440" s="28">
        <v>23.6</v>
      </c>
      <c r="H440" s="49">
        <v>438.0</v>
      </c>
      <c r="I440" s="49">
        <v>0.0</v>
      </c>
      <c r="J440" s="54" t="s">
        <v>1805</v>
      </c>
      <c r="K440" s="299"/>
    </row>
    <row r="441">
      <c r="A441" s="293"/>
      <c r="B441" s="239">
        <v>439.0</v>
      </c>
      <c r="C441" s="6" t="s">
        <v>1806</v>
      </c>
      <c r="D441" s="6" t="s">
        <v>14</v>
      </c>
      <c r="E441" s="6" t="s">
        <v>18</v>
      </c>
      <c r="F441" s="12">
        <v>35230.0</v>
      </c>
      <c r="G441" s="8">
        <f t="shared" ref="G441:G452" si="13">YEARFRAC(F441, TODAY(),1)</f>
        <v>30.08068718</v>
      </c>
      <c r="H441" s="9">
        <v>439.0</v>
      </c>
      <c r="I441" s="9">
        <v>-8.0</v>
      </c>
      <c r="J441" s="347" t="s">
        <v>1807</v>
      </c>
      <c r="K441" s="299"/>
    </row>
    <row r="442">
      <c r="A442" s="293"/>
      <c r="B442" s="239">
        <v>440.0</v>
      </c>
      <c r="C442" s="6" t="s">
        <v>1017</v>
      </c>
      <c r="D442" s="6" t="s">
        <v>183</v>
      </c>
      <c r="E442" s="6" t="s">
        <v>11</v>
      </c>
      <c r="F442" s="12">
        <v>38142.0</v>
      </c>
      <c r="G442" s="8">
        <f t="shared" si="13"/>
        <v>22.10800958</v>
      </c>
      <c r="H442" s="49">
        <v>440.0</v>
      </c>
      <c r="I442" s="9">
        <v>-15.0</v>
      </c>
      <c r="J442" s="341" t="s">
        <v>1808</v>
      </c>
      <c r="K442" s="299"/>
    </row>
    <row r="443">
      <c r="A443" s="293"/>
      <c r="B443" s="239">
        <v>441.0</v>
      </c>
      <c r="C443" s="15" t="s">
        <v>1809</v>
      </c>
      <c r="D443" s="15" t="s">
        <v>21</v>
      </c>
      <c r="E443" s="15" t="s">
        <v>15</v>
      </c>
      <c r="F443" s="16">
        <v>36325.0</v>
      </c>
      <c r="G443" s="17">
        <f t="shared" si="13"/>
        <v>27.08219178</v>
      </c>
      <c r="H443" s="9">
        <v>441.0</v>
      </c>
      <c r="I443" s="9">
        <v>-7.0</v>
      </c>
      <c r="J443" s="351" t="s">
        <v>1810</v>
      </c>
      <c r="K443" s="299"/>
    </row>
    <row r="444">
      <c r="A444" s="293"/>
      <c r="B444" s="239">
        <v>442.0</v>
      </c>
      <c r="C444" s="11" t="s">
        <v>1027</v>
      </c>
      <c r="D444" s="11" t="s">
        <v>25</v>
      </c>
      <c r="E444" s="35" t="s">
        <v>49</v>
      </c>
      <c r="F444" s="12">
        <v>37440.0</v>
      </c>
      <c r="G444" s="8">
        <f t="shared" si="13"/>
        <v>24.03013699</v>
      </c>
      <c r="H444" s="49">
        <v>442.0</v>
      </c>
      <c r="I444" s="9">
        <v>-12.0</v>
      </c>
      <c r="J444" s="341" t="s">
        <v>1811</v>
      </c>
      <c r="K444" s="299"/>
    </row>
    <row r="445">
      <c r="A445" s="293"/>
      <c r="B445" s="239">
        <v>443.0</v>
      </c>
      <c r="C445" s="6" t="s">
        <v>1812</v>
      </c>
      <c r="D445" s="6" t="s">
        <v>36</v>
      </c>
      <c r="E445" s="35" t="s">
        <v>213</v>
      </c>
      <c r="F445" s="12">
        <v>35598.0</v>
      </c>
      <c r="G445" s="8">
        <f t="shared" si="13"/>
        <v>29.0739726</v>
      </c>
      <c r="H445" s="9">
        <v>443.0</v>
      </c>
      <c r="I445" s="9">
        <v>-19.0</v>
      </c>
      <c r="J445" s="341" t="s">
        <v>1813</v>
      </c>
      <c r="K445" s="299"/>
    </row>
    <row r="446">
      <c r="A446" s="293"/>
      <c r="B446" s="239">
        <v>444.0</v>
      </c>
      <c r="C446" s="6" t="s">
        <v>1814</v>
      </c>
      <c r="D446" s="6" t="s">
        <v>25</v>
      </c>
      <c r="E446" s="6" t="s">
        <v>29</v>
      </c>
      <c r="F446" s="12">
        <v>37686.0</v>
      </c>
      <c r="G446" s="8">
        <f t="shared" si="13"/>
        <v>23.35616438</v>
      </c>
      <c r="H446" s="49">
        <v>444.0</v>
      </c>
      <c r="I446" s="9">
        <v>-13.0</v>
      </c>
      <c r="J446" s="341" t="s">
        <v>1815</v>
      </c>
      <c r="K446" s="299"/>
    </row>
    <row r="447">
      <c r="A447" s="293"/>
      <c r="B447" s="239">
        <v>445.0</v>
      </c>
      <c r="C447" s="6" t="s">
        <v>1816</v>
      </c>
      <c r="D447" s="6" t="s">
        <v>36</v>
      </c>
      <c r="E447" s="6" t="s">
        <v>98</v>
      </c>
      <c r="F447" s="12">
        <v>38557.0</v>
      </c>
      <c r="G447" s="8">
        <f t="shared" si="13"/>
        <v>20.97260274</v>
      </c>
      <c r="H447" s="9">
        <v>445.0</v>
      </c>
      <c r="I447" s="9">
        <v>-1.0</v>
      </c>
      <c r="J447" s="347" t="s">
        <v>1817</v>
      </c>
      <c r="K447" s="299"/>
    </row>
    <row r="448">
      <c r="A448" s="293"/>
      <c r="B448" s="239">
        <v>446.0</v>
      </c>
      <c r="C448" s="15" t="s">
        <v>1818</v>
      </c>
      <c r="D448" s="15" t="s">
        <v>25</v>
      </c>
      <c r="E448" s="15" t="s">
        <v>43</v>
      </c>
      <c r="F448" s="16">
        <v>37630.0</v>
      </c>
      <c r="G448" s="17">
        <f t="shared" si="13"/>
        <v>23.50958904</v>
      </c>
      <c r="H448" s="49">
        <v>446.0</v>
      </c>
      <c r="I448" s="9">
        <v>-4.0</v>
      </c>
      <c r="J448" s="354" t="s">
        <v>1819</v>
      </c>
      <c r="K448" s="299"/>
    </row>
    <row r="449">
      <c r="A449" s="293"/>
      <c r="B449" s="239">
        <v>447.0</v>
      </c>
      <c r="C449" s="6" t="s">
        <v>1820</v>
      </c>
      <c r="D449" s="6" t="s">
        <v>14</v>
      </c>
      <c r="E449" s="6" t="s">
        <v>26</v>
      </c>
      <c r="F449" s="12">
        <v>34893.0</v>
      </c>
      <c r="G449" s="8">
        <f t="shared" si="13"/>
        <v>31.00273973</v>
      </c>
      <c r="H449" s="9">
        <v>447.0</v>
      </c>
      <c r="I449" s="9">
        <v>-35.0</v>
      </c>
      <c r="J449" s="341" t="s">
        <v>1821</v>
      </c>
      <c r="K449" s="299"/>
    </row>
    <row r="450">
      <c r="A450" s="293"/>
      <c r="B450" s="239">
        <v>448.0</v>
      </c>
      <c r="C450" s="14" t="s">
        <v>442</v>
      </c>
      <c r="D450" s="14" t="s">
        <v>25</v>
      </c>
      <c r="E450" s="14" t="s">
        <v>176</v>
      </c>
      <c r="F450" s="16">
        <v>37429.0</v>
      </c>
      <c r="G450" s="17">
        <f t="shared" si="13"/>
        <v>24.06027397</v>
      </c>
      <c r="H450" s="49">
        <v>448.0</v>
      </c>
      <c r="I450" s="356">
        <v>-1.0</v>
      </c>
      <c r="J450" s="51" t="s">
        <v>443</v>
      </c>
      <c r="K450" s="299"/>
    </row>
    <row r="451">
      <c r="A451" s="293"/>
      <c r="B451" s="239">
        <v>449.0</v>
      </c>
      <c r="C451" s="6" t="s">
        <v>1822</v>
      </c>
      <c r="D451" s="6" t="s">
        <v>36</v>
      </c>
      <c r="E451" s="6" t="s">
        <v>213</v>
      </c>
      <c r="F451" s="12">
        <v>37208.0</v>
      </c>
      <c r="G451" s="8">
        <f t="shared" si="13"/>
        <v>24.66575342</v>
      </c>
      <c r="H451" s="9">
        <v>449.0</v>
      </c>
      <c r="I451" s="9">
        <v>-33.0</v>
      </c>
      <c r="J451" s="341" t="s">
        <v>1823</v>
      </c>
      <c r="K451" s="299"/>
    </row>
    <row r="452">
      <c r="A452" s="293"/>
      <c r="B452" s="378">
        <v>450.0</v>
      </c>
      <c r="C452" s="357" t="s">
        <v>1824</v>
      </c>
      <c r="D452" s="357" t="s">
        <v>10</v>
      </c>
      <c r="E452" s="357" t="s">
        <v>932</v>
      </c>
      <c r="F452" s="358">
        <v>36480.0</v>
      </c>
      <c r="G452" s="359">
        <f t="shared" si="13"/>
        <v>26.65753425</v>
      </c>
      <c r="H452" s="49">
        <v>450.0</v>
      </c>
      <c r="I452" s="360">
        <v>-36.0</v>
      </c>
      <c r="J452" s="361" t="s">
        <v>1825</v>
      </c>
      <c r="K452" s="299"/>
    </row>
  </sheetData>
  <mergeCells count="3">
    <mergeCell ref="A1:A320"/>
    <mergeCell ref="B1:K1"/>
    <mergeCell ref="K2:K320"/>
  </mergeCells>
  <conditionalFormatting sqref="I3:I452">
    <cfRule type="colorScale" priority="1">
      <colorScale>
        <cfvo type="min"/>
        <cfvo type="formula" val="0"/>
        <cfvo type="max"/>
        <color rgb="FFE67C73"/>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4" max="4" width="17.88"/>
    <col customWidth="1" min="8" max="8" width="112.88"/>
  </cols>
  <sheetData>
    <row r="1">
      <c r="A1" s="379" t="s">
        <v>1960</v>
      </c>
      <c r="B1" s="379" t="s">
        <v>1</v>
      </c>
      <c r="C1" s="379" t="s">
        <v>1961</v>
      </c>
      <c r="D1" s="379" t="s">
        <v>1962</v>
      </c>
      <c r="E1" s="379" t="s">
        <v>4</v>
      </c>
      <c r="F1" s="380" t="s">
        <v>5</v>
      </c>
      <c r="G1" s="381" t="s">
        <v>1963</v>
      </c>
      <c r="H1" s="379" t="s">
        <v>1360</v>
      </c>
      <c r="I1" s="382"/>
      <c r="J1" s="382"/>
      <c r="K1" s="382"/>
      <c r="L1" s="382"/>
      <c r="M1" s="382"/>
      <c r="N1" s="382"/>
      <c r="O1" s="382"/>
      <c r="P1" s="382"/>
      <c r="Q1" s="382"/>
      <c r="R1" s="382"/>
      <c r="S1" s="382"/>
      <c r="T1" s="382"/>
      <c r="U1" s="382"/>
      <c r="V1" s="383"/>
      <c r="W1" s="383"/>
      <c r="X1" s="383"/>
      <c r="Y1" s="383"/>
    </row>
    <row r="2">
      <c r="A2" s="384">
        <v>1.0</v>
      </c>
      <c r="B2" s="385" t="s">
        <v>24</v>
      </c>
      <c r="C2" s="385" t="s">
        <v>25</v>
      </c>
      <c r="D2" s="386" t="s">
        <v>1964</v>
      </c>
      <c r="E2" s="387">
        <v>39072.0</v>
      </c>
      <c r="F2" s="382"/>
      <c r="G2" s="388">
        <v>1.0</v>
      </c>
      <c r="H2" s="389" t="s">
        <v>1965</v>
      </c>
      <c r="I2" s="382"/>
      <c r="J2" s="382"/>
      <c r="K2" s="382"/>
      <c r="L2" s="382"/>
      <c r="M2" s="382"/>
      <c r="N2" s="382"/>
      <c r="O2" s="382"/>
      <c r="P2" s="382"/>
      <c r="Q2" s="382"/>
      <c r="R2" s="382"/>
      <c r="S2" s="382"/>
      <c r="T2" s="382"/>
      <c r="U2" s="382"/>
      <c r="V2" s="383"/>
      <c r="W2" s="383"/>
      <c r="X2" s="383"/>
      <c r="Y2" s="383"/>
    </row>
    <row r="3">
      <c r="A3" s="390"/>
      <c r="B3" s="391" t="s">
        <v>34</v>
      </c>
      <c r="C3" s="390"/>
      <c r="D3" s="390"/>
      <c r="E3" s="390"/>
      <c r="F3" s="390"/>
      <c r="G3" s="390"/>
      <c r="H3" s="390"/>
      <c r="I3" s="390"/>
      <c r="J3" s="390"/>
      <c r="K3" s="390"/>
      <c r="L3" s="390"/>
      <c r="M3" s="390"/>
      <c r="N3" s="390"/>
      <c r="O3" s="390"/>
      <c r="P3" s="390"/>
      <c r="Q3" s="390"/>
      <c r="R3" s="390"/>
      <c r="S3" s="390"/>
      <c r="T3" s="390"/>
      <c r="U3" s="390"/>
      <c r="V3" s="383"/>
      <c r="W3" s="383"/>
      <c r="X3" s="383"/>
      <c r="Y3" s="383"/>
    </row>
    <row r="4">
      <c r="A4" s="384">
        <v>2.0</v>
      </c>
      <c r="B4" s="385" t="s">
        <v>71</v>
      </c>
      <c r="C4" s="385" t="s">
        <v>14</v>
      </c>
      <c r="D4" s="385" t="s">
        <v>1966</v>
      </c>
      <c r="E4" s="392">
        <v>38778.0</v>
      </c>
      <c r="F4" s="382"/>
      <c r="G4" s="388">
        <v>2.0</v>
      </c>
      <c r="H4" s="382"/>
      <c r="I4" s="382"/>
      <c r="J4" s="382"/>
      <c r="K4" s="382"/>
      <c r="L4" s="382"/>
      <c r="M4" s="382"/>
      <c r="N4" s="382"/>
      <c r="O4" s="382"/>
      <c r="P4" s="382"/>
      <c r="Q4" s="382"/>
      <c r="R4" s="382"/>
      <c r="S4" s="382"/>
      <c r="T4" s="382"/>
      <c r="U4" s="382"/>
      <c r="V4" s="383"/>
      <c r="W4" s="383"/>
      <c r="X4" s="383"/>
      <c r="Y4" s="383"/>
    </row>
    <row r="5">
      <c r="A5" s="384">
        <v>3.0</v>
      </c>
      <c r="B5" s="385" t="s">
        <v>130</v>
      </c>
      <c r="C5" s="385" t="s">
        <v>14</v>
      </c>
      <c r="D5" s="385" t="s">
        <v>1967</v>
      </c>
      <c r="E5" s="392">
        <v>38563.0</v>
      </c>
      <c r="F5" s="382"/>
      <c r="G5" s="388">
        <v>4.0</v>
      </c>
      <c r="H5" s="382"/>
      <c r="I5" s="382"/>
      <c r="J5" s="382"/>
      <c r="K5" s="382"/>
      <c r="L5" s="382"/>
      <c r="M5" s="382"/>
      <c r="N5" s="382"/>
      <c r="O5" s="382"/>
      <c r="P5" s="382"/>
      <c r="Q5" s="382"/>
      <c r="R5" s="382"/>
      <c r="S5" s="382"/>
      <c r="T5" s="382"/>
      <c r="U5" s="382"/>
      <c r="V5" s="383"/>
      <c r="W5" s="383"/>
      <c r="X5" s="383"/>
      <c r="Y5" s="383"/>
    </row>
    <row r="6">
      <c r="A6" s="390"/>
      <c r="B6" s="391" t="s">
        <v>34</v>
      </c>
      <c r="C6" s="390"/>
      <c r="D6" s="390"/>
      <c r="E6" s="393"/>
      <c r="F6" s="390"/>
      <c r="G6" s="390"/>
      <c r="H6" s="390"/>
      <c r="I6" s="390"/>
      <c r="J6" s="390"/>
      <c r="K6" s="390"/>
      <c r="L6" s="390"/>
      <c r="M6" s="390"/>
      <c r="N6" s="390"/>
      <c r="O6" s="390"/>
      <c r="P6" s="390"/>
      <c r="Q6" s="390"/>
      <c r="R6" s="390"/>
      <c r="S6" s="390"/>
      <c r="T6" s="390"/>
      <c r="U6" s="390"/>
      <c r="V6" s="383"/>
      <c r="W6" s="383"/>
      <c r="X6" s="383"/>
      <c r="Y6" s="383"/>
    </row>
    <row r="7">
      <c r="A7" s="384">
        <v>4.0</v>
      </c>
      <c r="B7" s="385" t="s">
        <v>193</v>
      </c>
      <c r="C7" s="385" t="s">
        <v>10</v>
      </c>
      <c r="D7" s="385" t="s">
        <v>1968</v>
      </c>
      <c r="E7" s="392">
        <v>38513.0</v>
      </c>
      <c r="F7" s="382"/>
      <c r="G7" s="394">
        <v>10.0</v>
      </c>
      <c r="H7" s="389" t="s">
        <v>1969</v>
      </c>
      <c r="I7" s="382"/>
      <c r="J7" s="382"/>
      <c r="K7" s="382"/>
      <c r="L7" s="382"/>
      <c r="M7" s="382"/>
      <c r="N7" s="382"/>
      <c r="O7" s="382"/>
      <c r="P7" s="382"/>
      <c r="Q7" s="382"/>
      <c r="R7" s="382"/>
      <c r="S7" s="382"/>
      <c r="T7" s="382"/>
      <c r="U7" s="382"/>
      <c r="V7" s="383"/>
      <c r="W7" s="383"/>
      <c r="X7" s="383"/>
      <c r="Y7" s="383"/>
    </row>
    <row r="8">
      <c r="A8" s="384">
        <v>5.0</v>
      </c>
      <c r="B8" s="385" t="s">
        <v>403</v>
      </c>
      <c r="C8" s="385" t="s">
        <v>14</v>
      </c>
      <c r="D8" s="385" t="s">
        <v>1428</v>
      </c>
      <c r="E8" s="392">
        <v>38866.0</v>
      </c>
      <c r="F8" s="382"/>
      <c r="G8" s="394">
        <v>8.0</v>
      </c>
      <c r="H8" s="389" t="s">
        <v>1970</v>
      </c>
      <c r="I8" s="382"/>
      <c r="J8" s="382"/>
      <c r="K8" s="382"/>
      <c r="L8" s="382"/>
      <c r="M8" s="382"/>
      <c r="N8" s="382"/>
      <c r="O8" s="382"/>
      <c r="P8" s="382"/>
      <c r="Q8" s="382"/>
      <c r="R8" s="382"/>
      <c r="S8" s="382"/>
      <c r="T8" s="382"/>
      <c r="U8" s="382"/>
      <c r="V8" s="383"/>
      <c r="W8" s="383"/>
      <c r="X8" s="383"/>
      <c r="Y8" s="383"/>
    </row>
    <row r="9">
      <c r="A9" s="384">
        <v>6.0</v>
      </c>
      <c r="B9" s="385" t="s">
        <v>89</v>
      </c>
      <c r="C9" s="385" t="s">
        <v>36</v>
      </c>
      <c r="D9" s="385" t="s">
        <v>1369</v>
      </c>
      <c r="E9" s="392">
        <v>38567.0</v>
      </c>
      <c r="F9" s="382"/>
      <c r="G9" s="394">
        <v>5.0</v>
      </c>
      <c r="H9" s="382"/>
      <c r="I9" s="382"/>
      <c r="J9" s="382"/>
      <c r="K9" s="382"/>
      <c r="L9" s="382"/>
      <c r="M9" s="382"/>
      <c r="N9" s="382"/>
      <c r="O9" s="382"/>
      <c r="P9" s="382"/>
      <c r="Q9" s="382"/>
      <c r="R9" s="382"/>
      <c r="S9" s="382"/>
      <c r="T9" s="382"/>
      <c r="U9" s="382"/>
      <c r="V9" s="383"/>
      <c r="W9" s="383"/>
      <c r="X9" s="383"/>
      <c r="Y9" s="383"/>
    </row>
    <row r="10">
      <c r="A10" s="384">
        <v>7.0</v>
      </c>
      <c r="B10" s="385" t="s">
        <v>301</v>
      </c>
      <c r="C10" s="385" t="s">
        <v>21</v>
      </c>
      <c r="D10" s="385" t="s">
        <v>1369</v>
      </c>
      <c r="E10" s="392">
        <v>38974.0</v>
      </c>
      <c r="F10" s="382"/>
      <c r="G10" s="394">
        <v>13.0</v>
      </c>
      <c r="H10" s="395" t="s">
        <v>1971</v>
      </c>
      <c r="I10" s="382"/>
      <c r="J10" s="382"/>
      <c r="K10" s="382"/>
      <c r="L10" s="382"/>
      <c r="M10" s="382"/>
      <c r="N10" s="382"/>
      <c r="O10" s="382"/>
      <c r="P10" s="382"/>
      <c r="Q10" s="382"/>
      <c r="R10" s="382"/>
      <c r="S10" s="382"/>
      <c r="T10" s="382"/>
      <c r="U10" s="382"/>
      <c r="V10" s="383"/>
      <c r="W10" s="383"/>
      <c r="X10" s="383"/>
      <c r="Y10" s="383"/>
    </row>
    <row r="11">
      <c r="A11" s="384">
        <v>8.0</v>
      </c>
      <c r="B11" s="385" t="s">
        <v>232</v>
      </c>
      <c r="C11" s="396" t="s">
        <v>10</v>
      </c>
      <c r="D11" s="385" t="s">
        <v>1972</v>
      </c>
      <c r="E11" s="392">
        <v>38348.0</v>
      </c>
      <c r="F11" s="382"/>
      <c r="G11" s="394">
        <v>7.0</v>
      </c>
      <c r="H11" s="389" t="s">
        <v>1973</v>
      </c>
      <c r="I11" s="382"/>
      <c r="J11" s="382"/>
      <c r="K11" s="382"/>
      <c r="L11" s="382"/>
      <c r="M11" s="382"/>
      <c r="N11" s="382"/>
      <c r="O11" s="382"/>
      <c r="P11" s="382"/>
      <c r="Q11" s="382"/>
      <c r="R11" s="382"/>
      <c r="S11" s="382"/>
      <c r="T11" s="382"/>
      <c r="U11" s="382"/>
      <c r="V11" s="383"/>
      <c r="W11" s="383"/>
      <c r="X11" s="383"/>
      <c r="Y11" s="383"/>
    </row>
    <row r="12">
      <c r="A12" s="390"/>
      <c r="B12" s="391" t="s">
        <v>34</v>
      </c>
      <c r="C12" s="390"/>
      <c r="D12" s="390"/>
      <c r="E12" s="390"/>
      <c r="F12" s="390"/>
      <c r="G12" s="390"/>
      <c r="H12" s="390"/>
      <c r="I12" s="390"/>
      <c r="J12" s="390"/>
      <c r="K12" s="390"/>
      <c r="L12" s="390"/>
      <c r="M12" s="390"/>
      <c r="N12" s="390"/>
      <c r="O12" s="390"/>
      <c r="P12" s="390"/>
      <c r="Q12" s="390"/>
      <c r="R12" s="390"/>
      <c r="S12" s="390"/>
      <c r="T12" s="390"/>
      <c r="U12" s="390"/>
      <c r="V12" s="383"/>
      <c r="W12" s="383"/>
      <c r="X12" s="383"/>
      <c r="Y12" s="383"/>
    </row>
    <row r="13">
      <c r="A13" s="384">
        <v>9.0</v>
      </c>
      <c r="B13" s="385" t="s">
        <v>242</v>
      </c>
      <c r="C13" s="385" t="s">
        <v>25</v>
      </c>
      <c r="D13" s="385" t="s">
        <v>1966</v>
      </c>
      <c r="E13" s="392">
        <v>38942.0</v>
      </c>
      <c r="F13" s="382"/>
      <c r="G13" s="388">
        <v>3.0</v>
      </c>
      <c r="H13" s="389" t="s">
        <v>1974</v>
      </c>
      <c r="I13" s="382"/>
      <c r="J13" s="382"/>
      <c r="K13" s="382"/>
      <c r="L13" s="382"/>
      <c r="M13" s="382"/>
      <c r="N13" s="382"/>
      <c r="O13" s="382"/>
      <c r="P13" s="382"/>
      <c r="Q13" s="382"/>
      <c r="R13" s="382"/>
      <c r="S13" s="382"/>
      <c r="T13" s="382"/>
      <c r="U13" s="382"/>
      <c r="V13" s="383"/>
      <c r="W13" s="383"/>
      <c r="X13" s="383"/>
      <c r="Y13" s="383"/>
    </row>
    <row r="14">
      <c r="A14" s="384">
        <v>10.0</v>
      </c>
      <c r="B14" s="385" t="s">
        <v>276</v>
      </c>
      <c r="C14" s="385" t="s">
        <v>14</v>
      </c>
      <c r="D14" s="385" t="s">
        <v>1975</v>
      </c>
      <c r="E14" s="392">
        <v>39004.0</v>
      </c>
      <c r="F14" s="382"/>
      <c r="G14" s="397">
        <v>12.0</v>
      </c>
      <c r="H14" s="382"/>
      <c r="I14" s="382"/>
      <c r="J14" s="382"/>
      <c r="K14" s="382"/>
      <c r="L14" s="382"/>
      <c r="M14" s="382"/>
      <c r="N14" s="382"/>
      <c r="O14" s="382"/>
      <c r="P14" s="382"/>
      <c r="Q14" s="382"/>
      <c r="R14" s="382"/>
      <c r="S14" s="382"/>
      <c r="T14" s="382"/>
      <c r="U14" s="382"/>
      <c r="V14" s="383"/>
      <c r="W14" s="383"/>
      <c r="X14" s="383"/>
      <c r="Y14" s="383"/>
    </row>
    <row r="15">
      <c r="A15" s="384">
        <v>11.0</v>
      </c>
      <c r="B15" s="385" t="s">
        <v>316</v>
      </c>
      <c r="C15" s="385" t="s">
        <v>573</v>
      </c>
      <c r="D15" s="385" t="s">
        <v>1471</v>
      </c>
      <c r="E15" s="392">
        <v>38783.0</v>
      </c>
      <c r="F15" s="382"/>
      <c r="G15" s="397">
        <v>6.0</v>
      </c>
      <c r="H15" s="382"/>
      <c r="I15" s="382"/>
      <c r="J15" s="382"/>
      <c r="K15" s="382"/>
      <c r="L15" s="382"/>
      <c r="M15" s="382"/>
      <c r="N15" s="382"/>
      <c r="O15" s="382"/>
      <c r="P15" s="382"/>
      <c r="Q15" s="382"/>
      <c r="R15" s="382"/>
      <c r="S15" s="382"/>
      <c r="T15" s="382"/>
      <c r="U15" s="382"/>
      <c r="V15" s="383"/>
      <c r="W15" s="383"/>
      <c r="X15" s="383"/>
      <c r="Y15" s="383"/>
    </row>
    <row r="16">
      <c r="A16" s="398">
        <v>12.0</v>
      </c>
      <c r="B16" s="385" t="s">
        <v>353</v>
      </c>
      <c r="C16" s="385" t="s">
        <v>21</v>
      </c>
      <c r="D16" s="385" t="s">
        <v>1976</v>
      </c>
      <c r="E16" s="392">
        <v>38711.0</v>
      </c>
      <c r="F16" s="382"/>
      <c r="G16" s="397">
        <v>15.0</v>
      </c>
      <c r="H16" s="382"/>
      <c r="I16" s="382"/>
      <c r="J16" s="382"/>
      <c r="K16" s="382"/>
      <c r="L16" s="382"/>
      <c r="M16" s="382"/>
      <c r="N16" s="382"/>
      <c r="O16" s="382"/>
      <c r="P16" s="382"/>
      <c r="Q16" s="382"/>
      <c r="R16" s="382"/>
      <c r="S16" s="382"/>
      <c r="T16" s="382"/>
      <c r="U16" s="382"/>
      <c r="V16" s="383"/>
      <c r="W16" s="383"/>
      <c r="X16" s="383"/>
      <c r="Y16" s="383"/>
    </row>
    <row r="17">
      <c r="A17" s="398">
        <v>13.0</v>
      </c>
      <c r="B17" s="385" t="s">
        <v>262</v>
      </c>
      <c r="C17" s="385" t="s">
        <v>74</v>
      </c>
      <c r="D17" s="385" t="s">
        <v>1384</v>
      </c>
      <c r="E17" s="392">
        <v>38779.0</v>
      </c>
      <c r="F17" s="382"/>
      <c r="G17" s="397">
        <v>9.0</v>
      </c>
      <c r="H17" s="382"/>
      <c r="I17" s="382"/>
      <c r="J17" s="382"/>
      <c r="K17" s="382"/>
      <c r="L17" s="382"/>
      <c r="M17" s="382"/>
      <c r="N17" s="382"/>
      <c r="O17" s="382"/>
      <c r="P17" s="382"/>
      <c r="Q17" s="382"/>
      <c r="R17" s="382"/>
      <c r="S17" s="382"/>
      <c r="T17" s="382"/>
      <c r="U17" s="382"/>
      <c r="V17" s="383"/>
      <c r="W17" s="383"/>
      <c r="X17" s="383"/>
      <c r="Y17" s="383"/>
    </row>
    <row r="18">
      <c r="A18" s="399">
        <v>14.0</v>
      </c>
      <c r="B18" s="385" t="s">
        <v>426</v>
      </c>
      <c r="C18" s="400" t="s">
        <v>25</v>
      </c>
      <c r="D18" s="400" t="s">
        <v>1977</v>
      </c>
      <c r="E18" s="392">
        <v>39069.0</v>
      </c>
      <c r="F18" s="401"/>
      <c r="G18" s="397">
        <v>11.0</v>
      </c>
      <c r="H18" s="402" t="s">
        <v>1978</v>
      </c>
      <c r="I18" s="401"/>
      <c r="J18" s="401"/>
      <c r="K18" s="401"/>
      <c r="L18" s="401"/>
      <c r="M18" s="401"/>
      <c r="N18" s="401"/>
      <c r="O18" s="401"/>
      <c r="P18" s="401"/>
      <c r="Q18" s="401"/>
      <c r="R18" s="401"/>
      <c r="S18" s="401"/>
      <c r="T18" s="401"/>
      <c r="U18" s="401"/>
      <c r="V18" s="383"/>
      <c r="W18" s="383"/>
      <c r="X18" s="383"/>
      <c r="Y18" s="383"/>
    </row>
    <row r="19">
      <c r="A19" s="399">
        <v>15.0</v>
      </c>
      <c r="B19" s="400" t="s">
        <v>318</v>
      </c>
      <c r="C19" s="400" t="s">
        <v>25</v>
      </c>
      <c r="D19" s="400" t="s">
        <v>1448</v>
      </c>
      <c r="E19" s="401"/>
      <c r="F19" s="401"/>
      <c r="G19" s="397">
        <v>14.0</v>
      </c>
      <c r="H19" s="403" t="s">
        <v>1979</v>
      </c>
      <c r="I19" s="401"/>
      <c r="J19" s="401"/>
      <c r="K19" s="401"/>
      <c r="L19" s="401"/>
      <c r="M19" s="401"/>
      <c r="N19" s="401"/>
      <c r="O19" s="401"/>
      <c r="P19" s="401"/>
      <c r="Q19" s="401"/>
      <c r="R19" s="401"/>
      <c r="S19" s="401"/>
      <c r="T19" s="401"/>
      <c r="U19" s="401"/>
      <c r="V19" s="383"/>
      <c r="W19" s="383"/>
      <c r="X19" s="383"/>
      <c r="Y19" s="383"/>
    </row>
    <row r="20">
      <c r="A20" s="398">
        <v>16.0</v>
      </c>
      <c r="B20" s="385" t="s">
        <v>669</v>
      </c>
      <c r="C20" s="385" t="s">
        <v>14</v>
      </c>
      <c r="D20" s="385" t="s">
        <v>1980</v>
      </c>
      <c r="E20" s="404"/>
      <c r="F20" s="382"/>
      <c r="G20" s="397">
        <v>20.0</v>
      </c>
      <c r="H20" s="382"/>
      <c r="I20" s="382"/>
      <c r="J20" s="382"/>
      <c r="K20" s="382"/>
      <c r="L20" s="382"/>
      <c r="M20" s="382"/>
      <c r="N20" s="382"/>
      <c r="O20" s="382"/>
      <c r="P20" s="382"/>
      <c r="Q20" s="382"/>
      <c r="R20" s="382"/>
      <c r="S20" s="382"/>
      <c r="T20" s="382"/>
      <c r="U20" s="382"/>
      <c r="V20" s="383"/>
      <c r="W20" s="383"/>
      <c r="X20" s="383"/>
      <c r="Y20" s="383"/>
    </row>
    <row r="21">
      <c r="A21" s="390"/>
      <c r="B21" s="391" t="s">
        <v>34</v>
      </c>
      <c r="C21" s="390"/>
      <c r="D21" s="390"/>
      <c r="E21" s="390"/>
      <c r="F21" s="390"/>
      <c r="G21" s="390"/>
      <c r="H21" s="390"/>
      <c r="I21" s="390"/>
      <c r="J21" s="390"/>
      <c r="K21" s="390"/>
      <c r="L21" s="390"/>
      <c r="M21" s="390"/>
      <c r="N21" s="390"/>
      <c r="O21" s="390"/>
      <c r="P21" s="390"/>
      <c r="Q21" s="390"/>
      <c r="R21" s="390"/>
      <c r="S21" s="390"/>
      <c r="T21" s="390"/>
      <c r="U21" s="390"/>
      <c r="V21" s="383"/>
      <c r="W21" s="383"/>
      <c r="X21" s="383"/>
      <c r="Y21" s="383"/>
    </row>
    <row r="22">
      <c r="A22" s="398">
        <v>17.0</v>
      </c>
      <c r="B22" s="385" t="s">
        <v>640</v>
      </c>
      <c r="C22" s="385" t="s">
        <v>10</v>
      </c>
      <c r="D22" s="385" t="s">
        <v>1981</v>
      </c>
      <c r="E22" s="404"/>
      <c r="F22" s="382"/>
      <c r="G22" s="397">
        <v>17.0</v>
      </c>
      <c r="H22" s="389" t="s">
        <v>1982</v>
      </c>
      <c r="I22" s="382"/>
      <c r="J22" s="382"/>
      <c r="K22" s="382"/>
      <c r="L22" s="382"/>
      <c r="M22" s="382"/>
      <c r="N22" s="382"/>
      <c r="O22" s="382"/>
      <c r="P22" s="382"/>
      <c r="Q22" s="382"/>
      <c r="R22" s="382"/>
      <c r="S22" s="382"/>
      <c r="T22" s="382"/>
      <c r="U22" s="382"/>
      <c r="V22" s="383"/>
      <c r="W22" s="383"/>
      <c r="X22" s="383"/>
      <c r="Y22" s="383"/>
    </row>
    <row r="23">
      <c r="A23" s="384">
        <v>18.0</v>
      </c>
      <c r="B23" s="385" t="s">
        <v>1157</v>
      </c>
      <c r="C23" s="385" t="s">
        <v>14</v>
      </c>
      <c r="D23" s="385" t="s">
        <v>1489</v>
      </c>
      <c r="E23" s="404"/>
      <c r="F23" s="382"/>
      <c r="G23" s="397">
        <v>23.0</v>
      </c>
      <c r="H23" s="382"/>
      <c r="I23" s="382"/>
      <c r="J23" s="382"/>
      <c r="K23" s="382"/>
      <c r="L23" s="382"/>
      <c r="M23" s="382"/>
      <c r="N23" s="382"/>
      <c r="O23" s="382"/>
      <c r="P23" s="382"/>
      <c r="Q23" s="382"/>
      <c r="R23" s="382"/>
      <c r="S23" s="382"/>
      <c r="T23" s="382"/>
      <c r="U23" s="382"/>
      <c r="V23" s="383"/>
      <c r="W23" s="383"/>
      <c r="X23" s="383"/>
      <c r="Y23" s="383"/>
    </row>
    <row r="24">
      <c r="A24" s="384">
        <v>19.0</v>
      </c>
      <c r="B24" s="385" t="s">
        <v>493</v>
      </c>
      <c r="C24" s="385" t="s">
        <v>36</v>
      </c>
      <c r="D24" s="385" t="s">
        <v>1983</v>
      </c>
      <c r="E24" s="404"/>
      <c r="F24" s="382"/>
      <c r="G24" s="397">
        <v>16.0</v>
      </c>
      <c r="H24" s="382"/>
      <c r="I24" s="382"/>
      <c r="J24" s="382"/>
      <c r="K24" s="382"/>
      <c r="L24" s="382"/>
      <c r="M24" s="382"/>
      <c r="N24" s="382"/>
      <c r="O24" s="382"/>
      <c r="P24" s="382"/>
      <c r="Q24" s="382"/>
      <c r="R24" s="382"/>
      <c r="S24" s="382"/>
      <c r="T24" s="382"/>
      <c r="U24" s="382"/>
      <c r="V24" s="383"/>
      <c r="W24" s="383"/>
      <c r="X24" s="383"/>
      <c r="Y24" s="383"/>
    </row>
    <row r="25">
      <c r="A25" s="398">
        <v>20.0</v>
      </c>
      <c r="B25" s="385" t="s">
        <v>488</v>
      </c>
      <c r="C25" s="385" t="s">
        <v>14</v>
      </c>
      <c r="D25" s="385" t="s">
        <v>1984</v>
      </c>
      <c r="E25" s="404"/>
      <c r="F25" s="382"/>
      <c r="G25" s="397">
        <v>19.0</v>
      </c>
      <c r="H25" s="382"/>
      <c r="I25" s="382"/>
      <c r="J25" s="382"/>
      <c r="K25" s="382"/>
      <c r="L25" s="382"/>
      <c r="M25" s="382"/>
      <c r="N25" s="382"/>
      <c r="O25" s="382"/>
      <c r="P25" s="382"/>
      <c r="Q25" s="382"/>
      <c r="R25" s="382"/>
      <c r="S25" s="382"/>
      <c r="T25" s="382"/>
      <c r="U25" s="382"/>
      <c r="V25" s="383"/>
      <c r="W25" s="383"/>
      <c r="X25" s="383"/>
      <c r="Y25" s="383"/>
    </row>
    <row r="26">
      <c r="A26" s="398">
        <v>21.0</v>
      </c>
      <c r="B26" s="385" t="s">
        <v>688</v>
      </c>
      <c r="C26" s="385" t="s">
        <v>25</v>
      </c>
      <c r="D26" s="385" t="s">
        <v>1985</v>
      </c>
      <c r="E26" s="404"/>
      <c r="F26" s="382"/>
      <c r="G26" s="397">
        <v>18.0</v>
      </c>
      <c r="H26" s="382"/>
      <c r="I26" s="382"/>
      <c r="J26" s="382"/>
      <c r="K26" s="382"/>
      <c r="L26" s="382"/>
      <c r="M26" s="382"/>
      <c r="N26" s="382"/>
      <c r="O26" s="382"/>
      <c r="P26" s="382"/>
      <c r="Q26" s="382"/>
      <c r="R26" s="382"/>
      <c r="S26" s="382"/>
      <c r="T26" s="382"/>
      <c r="U26" s="382"/>
      <c r="V26" s="383"/>
      <c r="W26" s="383"/>
      <c r="X26" s="383"/>
      <c r="Y26" s="383"/>
    </row>
    <row r="27">
      <c r="A27" s="398">
        <v>22.0</v>
      </c>
      <c r="B27" s="385" t="s">
        <v>454</v>
      </c>
      <c r="C27" s="385" t="s">
        <v>25</v>
      </c>
      <c r="D27" s="385" t="s">
        <v>1986</v>
      </c>
      <c r="E27" s="404"/>
      <c r="F27" s="382"/>
      <c r="G27" s="397">
        <v>21.0</v>
      </c>
      <c r="H27" s="382"/>
      <c r="I27" s="382"/>
      <c r="J27" s="382"/>
      <c r="K27" s="382"/>
      <c r="L27" s="382"/>
      <c r="M27" s="382"/>
      <c r="N27" s="382"/>
      <c r="O27" s="382"/>
      <c r="P27" s="382"/>
      <c r="Q27" s="382"/>
      <c r="R27" s="382"/>
      <c r="S27" s="382"/>
      <c r="T27" s="382"/>
      <c r="U27" s="382"/>
      <c r="V27" s="383"/>
      <c r="W27" s="383"/>
      <c r="X27" s="383"/>
      <c r="Y27" s="383"/>
    </row>
    <row r="28">
      <c r="A28" s="398">
        <v>23.0</v>
      </c>
      <c r="B28" s="385" t="s">
        <v>1133</v>
      </c>
      <c r="C28" s="385" t="s">
        <v>267</v>
      </c>
      <c r="D28" s="385" t="s">
        <v>1987</v>
      </c>
      <c r="E28" s="404"/>
      <c r="F28" s="382"/>
      <c r="G28" s="397">
        <v>25.0</v>
      </c>
      <c r="H28" s="397" t="s">
        <v>1988</v>
      </c>
      <c r="I28" s="382"/>
      <c r="J28" s="382"/>
      <c r="K28" s="382"/>
      <c r="L28" s="382"/>
      <c r="M28" s="382"/>
      <c r="N28" s="382"/>
      <c r="O28" s="382"/>
      <c r="P28" s="382"/>
      <c r="Q28" s="382"/>
      <c r="R28" s="382"/>
      <c r="S28" s="382"/>
      <c r="T28" s="382"/>
      <c r="U28" s="382"/>
      <c r="V28" s="383"/>
      <c r="W28" s="383"/>
      <c r="X28" s="383"/>
      <c r="Y28" s="383"/>
    </row>
    <row r="29">
      <c r="A29" s="384">
        <v>24.0</v>
      </c>
      <c r="B29" s="385" t="s">
        <v>210</v>
      </c>
      <c r="C29" s="385" t="s">
        <v>36</v>
      </c>
      <c r="D29" s="385" t="s">
        <v>1989</v>
      </c>
      <c r="E29" s="404"/>
      <c r="F29" s="382"/>
      <c r="G29" s="397">
        <v>22.0</v>
      </c>
      <c r="H29" s="405" t="s">
        <v>1990</v>
      </c>
      <c r="I29" s="382"/>
      <c r="J29" s="382"/>
      <c r="K29" s="382"/>
      <c r="L29" s="382"/>
      <c r="M29" s="382"/>
      <c r="N29" s="382"/>
      <c r="O29" s="382"/>
      <c r="P29" s="382"/>
      <c r="Q29" s="382"/>
      <c r="R29" s="382"/>
      <c r="S29" s="382"/>
      <c r="T29" s="382"/>
      <c r="U29" s="382"/>
      <c r="V29" s="383"/>
      <c r="W29" s="383"/>
      <c r="X29" s="383"/>
      <c r="Y29" s="383"/>
    </row>
    <row r="30">
      <c r="A30" s="398">
        <v>25.0</v>
      </c>
      <c r="B30" s="385" t="s">
        <v>1991</v>
      </c>
      <c r="C30" s="385" t="s">
        <v>25</v>
      </c>
      <c r="D30" s="385" t="s">
        <v>1451</v>
      </c>
      <c r="E30" s="404"/>
      <c r="F30" s="382"/>
      <c r="G30" s="397">
        <v>34.0</v>
      </c>
      <c r="H30" s="382"/>
      <c r="I30" s="382"/>
      <c r="J30" s="382"/>
      <c r="K30" s="382"/>
      <c r="L30" s="382"/>
      <c r="M30" s="382"/>
      <c r="N30" s="382"/>
      <c r="O30" s="382"/>
      <c r="P30" s="382"/>
      <c r="Q30" s="382"/>
      <c r="R30" s="382"/>
      <c r="S30" s="382"/>
      <c r="T30" s="382"/>
      <c r="U30" s="382"/>
      <c r="V30" s="383"/>
      <c r="W30" s="383"/>
      <c r="X30" s="383"/>
      <c r="Y30" s="383"/>
    </row>
    <row r="31">
      <c r="A31" s="390"/>
      <c r="B31" s="391" t="s">
        <v>34</v>
      </c>
      <c r="C31" s="390"/>
      <c r="D31" s="390"/>
      <c r="E31" s="390"/>
      <c r="F31" s="390"/>
      <c r="G31" s="390"/>
      <c r="H31" s="390"/>
      <c r="I31" s="390"/>
      <c r="J31" s="390"/>
      <c r="K31" s="390"/>
      <c r="L31" s="390"/>
      <c r="M31" s="390"/>
      <c r="N31" s="390"/>
      <c r="O31" s="390"/>
      <c r="P31" s="390"/>
      <c r="Q31" s="390"/>
      <c r="R31" s="390"/>
      <c r="S31" s="390"/>
      <c r="T31" s="390"/>
      <c r="U31" s="390"/>
      <c r="V31" s="383"/>
      <c r="W31" s="383"/>
      <c r="X31" s="383"/>
      <c r="Y31" s="383"/>
    </row>
    <row r="32">
      <c r="A32" s="398">
        <v>26.0</v>
      </c>
      <c r="B32" s="385" t="s">
        <v>807</v>
      </c>
      <c r="C32" s="385" t="s">
        <v>74</v>
      </c>
      <c r="D32" s="385" t="s">
        <v>1977</v>
      </c>
      <c r="E32" s="404"/>
      <c r="F32" s="382"/>
      <c r="G32" s="397">
        <v>24.0</v>
      </c>
      <c r="H32" s="382"/>
      <c r="I32" s="382"/>
      <c r="J32" s="382"/>
      <c r="K32" s="382"/>
      <c r="L32" s="382"/>
      <c r="M32" s="382"/>
      <c r="N32" s="382"/>
      <c r="O32" s="382"/>
      <c r="P32" s="382"/>
      <c r="Q32" s="382"/>
      <c r="R32" s="382"/>
      <c r="S32" s="382"/>
      <c r="T32" s="382"/>
      <c r="U32" s="382"/>
      <c r="V32" s="383"/>
      <c r="W32" s="383"/>
      <c r="X32" s="383"/>
      <c r="Y32" s="383"/>
    </row>
    <row r="33">
      <c r="A33" s="398">
        <v>27.0</v>
      </c>
      <c r="B33" s="385" t="s">
        <v>568</v>
      </c>
      <c r="C33" s="385" t="s">
        <v>21</v>
      </c>
      <c r="D33" s="385" t="s">
        <v>1992</v>
      </c>
      <c r="E33" s="404"/>
      <c r="F33" s="382"/>
      <c r="G33" s="397">
        <v>32.0</v>
      </c>
      <c r="H33" s="382"/>
      <c r="I33" s="382"/>
      <c r="J33" s="382"/>
      <c r="K33" s="382"/>
      <c r="L33" s="382"/>
      <c r="M33" s="382"/>
      <c r="N33" s="382"/>
      <c r="O33" s="382"/>
      <c r="P33" s="382"/>
      <c r="Q33" s="382"/>
      <c r="R33" s="382"/>
      <c r="S33" s="382"/>
      <c r="T33" s="382"/>
      <c r="U33" s="382"/>
      <c r="V33" s="383"/>
      <c r="W33" s="383"/>
      <c r="X33" s="383"/>
      <c r="Y33" s="383"/>
    </row>
    <row r="34">
      <c r="A34" s="398">
        <v>28.0</v>
      </c>
      <c r="B34" s="400" t="s">
        <v>1993</v>
      </c>
      <c r="C34" s="400" t="s">
        <v>36</v>
      </c>
      <c r="D34" s="400" t="s">
        <v>1994</v>
      </c>
      <c r="E34" s="401"/>
      <c r="F34" s="401"/>
      <c r="G34" s="397">
        <v>39.0</v>
      </c>
      <c r="H34" s="401"/>
      <c r="I34" s="401"/>
      <c r="J34" s="401"/>
      <c r="K34" s="401"/>
      <c r="L34" s="401"/>
      <c r="M34" s="401"/>
      <c r="N34" s="401"/>
      <c r="O34" s="401"/>
      <c r="P34" s="401"/>
      <c r="Q34" s="401"/>
      <c r="R34" s="401"/>
      <c r="S34" s="401"/>
      <c r="T34" s="401"/>
      <c r="U34" s="401"/>
      <c r="V34" s="383"/>
      <c r="W34" s="383"/>
      <c r="X34" s="383"/>
      <c r="Y34" s="383"/>
    </row>
    <row r="35">
      <c r="A35" s="398">
        <v>29.0</v>
      </c>
      <c r="B35" s="385" t="s">
        <v>366</v>
      </c>
      <c r="C35" s="385" t="s">
        <v>21</v>
      </c>
      <c r="D35" s="385" t="s">
        <v>1995</v>
      </c>
      <c r="E35" s="404"/>
      <c r="F35" s="382"/>
      <c r="G35" s="397">
        <v>33.0</v>
      </c>
      <c r="H35" s="382"/>
      <c r="I35" s="382"/>
      <c r="J35" s="382"/>
      <c r="K35" s="382"/>
      <c r="L35" s="382"/>
      <c r="M35" s="382"/>
      <c r="N35" s="382"/>
      <c r="O35" s="382"/>
      <c r="P35" s="382"/>
      <c r="Q35" s="382"/>
      <c r="R35" s="382"/>
      <c r="S35" s="382"/>
      <c r="T35" s="382"/>
      <c r="U35" s="382"/>
      <c r="V35" s="383"/>
      <c r="W35" s="383"/>
      <c r="X35" s="383"/>
      <c r="Y35" s="383"/>
    </row>
    <row r="36">
      <c r="A36" s="398">
        <v>30.0</v>
      </c>
      <c r="B36" s="385" t="s">
        <v>500</v>
      </c>
      <c r="C36" s="385" t="s">
        <v>14</v>
      </c>
      <c r="D36" s="396" t="s">
        <v>1996</v>
      </c>
      <c r="E36" s="404"/>
      <c r="F36" s="382"/>
      <c r="G36" s="397">
        <v>38.0</v>
      </c>
      <c r="H36" s="382"/>
      <c r="I36" s="382"/>
      <c r="J36" s="382"/>
      <c r="K36" s="382"/>
      <c r="L36" s="382"/>
      <c r="M36" s="382"/>
      <c r="N36" s="382"/>
      <c r="O36" s="382"/>
      <c r="P36" s="382"/>
      <c r="Q36" s="382"/>
      <c r="R36" s="382"/>
      <c r="S36" s="382"/>
      <c r="T36" s="382"/>
      <c r="U36" s="382"/>
      <c r="V36" s="383"/>
      <c r="W36" s="383"/>
      <c r="X36" s="383"/>
      <c r="Y36" s="383"/>
    </row>
    <row r="37">
      <c r="A37" s="398">
        <v>31.0</v>
      </c>
      <c r="B37" s="385" t="s">
        <v>396</v>
      </c>
      <c r="C37" s="385" t="s">
        <v>36</v>
      </c>
      <c r="D37" s="385" t="s">
        <v>1997</v>
      </c>
      <c r="E37" s="404"/>
      <c r="F37" s="382"/>
      <c r="G37" s="397">
        <v>26.0</v>
      </c>
      <c r="H37" s="382"/>
      <c r="I37" s="382"/>
      <c r="J37" s="382"/>
      <c r="K37" s="382"/>
      <c r="L37" s="382"/>
      <c r="M37" s="382"/>
      <c r="N37" s="382"/>
      <c r="O37" s="382"/>
      <c r="P37" s="382"/>
      <c r="Q37" s="382"/>
      <c r="R37" s="382"/>
      <c r="S37" s="382"/>
      <c r="T37" s="382"/>
      <c r="U37" s="382"/>
      <c r="V37" s="383"/>
      <c r="W37" s="383"/>
      <c r="X37" s="383"/>
      <c r="Y37" s="383"/>
    </row>
    <row r="38">
      <c r="A38" s="398">
        <v>32.0</v>
      </c>
      <c r="B38" s="385" t="s">
        <v>471</v>
      </c>
      <c r="C38" s="385" t="s">
        <v>10</v>
      </c>
      <c r="D38" s="385" t="s">
        <v>1478</v>
      </c>
      <c r="E38" s="404"/>
      <c r="F38" s="382"/>
      <c r="G38" s="397">
        <v>28.0</v>
      </c>
      <c r="H38" s="382"/>
      <c r="I38" s="382"/>
      <c r="J38" s="382"/>
      <c r="K38" s="382"/>
      <c r="L38" s="382"/>
      <c r="M38" s="382"/>
      <c r="N38" s="382"/>
      <c r="O38" s="382"/>
      <c r="P38" s="382"/>
      <c r="Q38" s="382"/>
      <c r="R38" s="382"/>
      <c r="S38" s="382"/>
      <c r="T38" s="382"/>
      <c r="U38" s="382"/>
      <c r="V38" s="383"/>
      <c r="W38" s="383"/>
      <c r="X38" s="383"/>
      <c r="Y38" s="383"/>
    </row>
    <row r="39">
      <c r="A39" s="398">
        <v>33.0</v>
      </c>
      <c r="B39" s="385" t="s">
        <v>879</v>
      </c>
      <c r="C39" s="385" t="s">
        <v>10</v>
      </c>
      <c r="D39" s="385" t="s">
        <v>1998</v>
      </c>
      <c r="E39" s="404"/>
      <c r="F39" s="382"/>
      <c r="G39" s="397">
        <v>35.0</v>
      </c>
      <c r="H39" s="382"/>
      <c r="I39" s="382"/>
      <c r="J39" s="382"/>
      <c r="K39" s="382"/>
      <c r="L39" s="382"/>
      <c r="M39" s="382"/>
      <c r="N39" s="382"/>
      <c r="O39" s="382"/>
      <c r="P39" s="382"/>
      <c r="Q39" s="382"/>
      <c r="R39" s="382"/>
      <c r="S39" s="382"/>
      <c r="T39" s="382"/>
      <c r="U39" s="382"/>
      <c r="V39" s="383"/>
      <c r="W39" s="383"/>
      <c r="X39" s="383"/>
      <c r="Y39" s="383"/>
    </row>
    <row r="40">
      <c r="A40" s="390"/>
      <c r="B40" s="391" t="s">
        <v>34</v>
      </c>
      <c r="C40" s="390"/>
      <c r="D40" s="390"/>
      <c r="E40" s="390"/>
      <c r="F40" s="390"/>
      <c r="G40" s="390"/>
      <c r="H40" s="390"/>
      <c r="I40" s="390"/>
      <c r="J40" s="390"/>
      <c r="K40" s="390"/>
      <c r="L40" s="390"/>
      <c r="M40" s="390"/>
      <c r="N40" s="390"/>
      <c r="O40" s="390"/>
      <c r="P40" s="390"/>
      <c r="Q40" s="390"/>
      <c r="R40" s="390"/>
      <c r="S40" s="390"/>
      <c r="T40" s="390"/>
      <c r="U40" s="390"/>
      <c r="V40" s="383"/>
      <c r="W40" s="383"/>
      <c r="X40" s="383"/>
      <c r="Y40" s="383"/>
    </row>
    <row r="41">
      <c r="A41" s="398">
        <v>34.0</v>
      </c>
      <c r="B41" s="385" t="s">
        <v>896</v>
      </c>
      <c r="C41" s="385" t="s">
        <v>14</v>
      </c>
      <c r="D41" s="385" t="s">
        <v>1999</v>
      </c>
      <c r="E41" s="404"/>
      <c r="F41" s="382"/>
      <c r="G41" s="397">
        <v>29.0</v>
      </c>
      <c r="H41" s="382"/>
      <c r="I41" s="382"/>
      <c r="J41" s="382"/>
      <c r="K41" s="382"/>
      <c r="L41" s="382"/>
      <c r="M41" s="382"/>
      <c r="N41" s="382"/>
      <c r="O41" s="382"/>
      <c r="P41" s="382"/>
      <c r="Q41" s="382"/>
      <c r="R41" s="382"/>
      <c r="S41" s="382"/>
      <c r="T41" s="382"/>
      <c r="U41" s="382"/>
      <c r="V41" s="383"/>
      <c r="W41" s="383"/>
      <c r="X41" s="383"/>
      <c r="Y41" s="383"/>
    </row>
    <row r="42">
      <c r="A42" s="384">
        <v>35.0</v>
      </c>
      <c r="B42" s="385" t="s">
        <v>2000</v>
      </c>
      <c r="C42" s="385" t="s">
        <v>183</v>
      </c>
      <c r="D42" s="385" t="s">
        <v>1998</v>
      </c>
      <c r="E42" s="404"/>
      <c r="F42" s="382"/>
      <c r="G42" s="397">
        <v>37.0</v>
      </c>
      <c r="H42" s="382"/>
      <c r="I42" s="382"/>
      <c r="J42" s="382"/>
      <c r="K42" s="382"/>
      <c r="L42" s="382"/>
      <c r="M42" s="382"/>
      <c r="N42" s="382"/>
      <c r="O42" s="382"/>
      <c r="P42" s="382"/>
      <c r="Q42" s="382"/>
      <c r="R42" s="382"/>
      <c r="S42" s="382"/>
      <c r="T42" s="382"/>
      <c r="U42" s="382"/>
      <c r="V42" s="383"/>
      <c r="W42" s="383"/>
      <c r="X42" s="383"/>
      <c r="Y42" s="383"/>
    </row>
    <row r="43">
      <c r="A43" s="384">
        <v>36.0</v>
      </c>
      <c r="B43" s="385" t="s">
        <v>278</v>
      </c>
      <c r="C43" s="385" t="s">
        <v>21</v>
      </c>
      <c r="D43" s="385" t="s">
        <v>2001</v>
      </c>
      <c r="E43" s="404"/>
      <c r="F43" s="382"/>
      <c r="G43" s="397">
        <v>31.0</v>
      </c>
      <c r="H43" s="382"/>
      <c r="I43" s="382"/>
      <c r="J43" s="382"/>
      <c r="K43" s="382"/>
      <c r="L43" s="382"/>
      <c r="M43" s="382"/>
      <c r="N43" s="382"/>
      <c r="O43" s="382"/>
      <c r="P43" s="382"/>
      <c r="Q43" s="382"/>
      <c r="R43" s="382"/>
      <c r="S43" s="382"/>
      <c r="T43" s="382"/>
      <c r="U43" s="382"/>
      <c r="V43" s="383"/>
      <c r="W43" s="383"/>
      <c r="X43" s="383"/>
      <c r="Y43" s="383"/>
    </row>
    <row r="44">
      <c r="A44" s="384">
        <v>37.0</v>
      </c>
      <c r="B44" s="385" t="s">
        <v>709</v>
      </c>
      <c r="C44" s="385" t="s">
        <v>25</v>
      </c>
      <c r="D44" s="385" t="s">
        <v>2002</v>
      </c>
      <c r="E44" s="404"/>
      <c r="F44" s="382"/>
      <c r="G44" s="397">
        <v>30.0</v>
      </c>
      <c r="H44" s="382"/>
      <c r="I44" s="382"/>
      <c r="J44" s="382"/>
      <c r="K44" s="382"/>
      <c r="L44" s="382"/>
      <c r="M44" s="382"/>
      <c r="N44" s="382"/>
      <c r="O44" s="382"/>
      <c r="P44" s="382"/>
      <c r="Q44" s="382"/>
      <c r="R44" s="382"/>
      <c r="S44" s="382"/>
      <c r="T44" s="382"/>
      <c r="U44" s="382"/>
      <c r="V44" s="383"/>
      <c r="W44" s="383"/>
      <c r="X44" s="383"/>
      <c r="Y44" s="383"/>
    </row>
    <row r="45">
      <c r="A45" s="384">
        <v>38.0</v>
      </c>
      <c r="B45" s="385" t="s">
        <v>2003</v>
      </c>
      <c r="C45" s="385" t="s">
        <v>10</v>
      </c>
      <c r="D45" s="385" t="s">
        <v>1984</v>
      </c>
      <c r="E45" s="404"/>
      <c r="F45" s="382"/>
      <c r="G45" s="397">
        <v>35.0</v>
      </c>
      <c r="H45" s="382"/>
      <c r="I45" s="382"/>
      <c r="J45" s="382"/>
      <c r="K45" s="382"/>
      <c r="L45" s="382"/>
      <c r="M45" s="382"/>
      <c r="N45" s="382"/>
      <c r="O45" s="382"/>
      <c r="P45" s="382"/>
      <c r="Q45" s="382"/>
      <c r="R45" s="382"/>
      <c r="S45" s="382"/>
      <c r="T45" s="382"/>
      <c r="U45" s="382"/>
      <c r="V45" s="383"/>
      <c r="W45" s="383"/>
      <c r="X45" s="383"/>
      <c r="Y45" s="383"/>
    </row>
    <row r="46">
      <c r="A46" s="384">
        <v>39.0</v>
      </c>
      <c r="B46" s="385" t="s">
        <v>2004</v>
      </c>
      <c r="C46" s="385" t="s">
        <v>25</v>
      </c>
      <c r="D46" s="385" t="s">
        <v>2005</v>
      </c>
      <c r="E46" s="404"/>
      <c r="F46" s="382"/>
      <c r="G46" s="397">
        <v>42.0</v>
      </c>
      <c r="H46" s="382"/>
      <c r="I46" s="382"/>
      <c r="J46" s="382"/>
      <c r="K46" s="382"/>
      <c r="L46" s="382"/>
      <c r="M46" s="382"/>
      <c r="N46" s="382"/>
      <c r="O46" s="382"/>
      <c r="P46" s="382"/>
      <c r="Q46" s="382"/>
      <c r="R46" s="382"/>
      <c r="S46" s="382"/>
      <c r="T46" s="382"/>
      <c r="U46" s="382"/>
      <c r="V46" s="383"/>
      <c r="W46" s="383"/>
      <c r="X46" s="383"/>
      <c r="Y46" s="383"/>
    </row>
    <row r="47">
      <c r="A47" s="384">
        <v>40.0</v>
      </c>
      <c r="B47" s="385" t="s">
        <v>401</v>
      </c>
      <c r="C47" s="385" t="s">
        <v>36</v>
      </c>
      <c r="D47" s="385" t="s">
        <v>1428</v>
      </c>
      <c r="E47" s="404"/>
      <c r="F47" s="382"/>
      <c r="G47" s="397">
        <v>27.0</v>
      </c>
      <c r="H47" s="382"/>
      <c r="I47" s="382"/>
      <c r="J47" s="382"/>
      <c r="K47" s="382"/>
      <c r="L47" s="382"/>
      <c r="M47" s="382"/>
      <c r="N47" s="382"/>
      <c r="O47" s="382"/>
      <c r="P47" s="382"/>
      <c r="Q47" s="382"/>
      <c r="R47" s="382"/>
      <c r="S47" s="382"/>
      <c r="T47" s="382"/>
      <c r="U47" s="382"/>
      <c r="V47" s="383"/>
      <c r="W47" s="383"/>
      <c r="X47" s="383"/>
      <c r="Y47" s="383"/>
    </row>
    <row r="48">
      <c r="A48" s="390"/>
      <c r="B48" s="391" t="s">
        <v>34</v>
      </c>
      <c r="C48" s="390"/>
      <c r="D48" s="390"/>
      <c r="E48" s="390"/>
      <c r="F48" s="390"/>
      <c r="G48" s="390"/>
      <c r="H48" s="390"/>
      <c r="I48" s="390"/>
      <c r="J48" s="390"/>
      <c r="K48" s="390"/>
      <c r="L48" s="390"/>
      <c r="M48" s="390"/>
      <c r="N48" s="390"/>
      <c r="O48" s="390"/>
      <c r="P48" s="390"/>
      <c r="Q48" s="390"/>
      <c r="R48" s="390"/>
      <c r="S48" s="390"/>
      <c r="T48" s="390"/>
      <c r="U48" s="390"/>
      <c r="V48" s="383"/>
      <c r="W48" s="383"/>
      <c r="X48" s="383"/>
      <c r="Y48" s="383"/>
    </row>
    <row r="49">
      <c r="A49" s="384">
        <v>41.0</v>
      </c>
      <c r="B49" s="385" t="s">
        <v>751</v>
      </c>
      <c r="C49" s="385" t="s">
        <v>36</v>
      </c>
      <c r="D49" s="406" t="s">
        <v>1398</v>
      </c>
      <c r="E49" s="404"/>
      <c r="F49" s="382"/>
      <c r="G49" s="397">
        <v>40.0</v>
      </c>
      <c r="H49" s="382"/>
      <c r="I49" s="382"/>
      <c r="J49" s="382"/>
      <c r="K49" s="382"/>
      <c r="L49" s="382"/>
      <c r="M49" s="382"/>
      <c r="N49" s="382"/>
      <c r="O49" s="382"/>
      <c r="P49" s="382"/>
      <c r="Q49" s="382"/>
      <c r="R49" s="382"/>
      <c r="S49" s="382"/>
      <c r="T49" s="382"/>
      <c r="U49" s="382"/>
      <c r="V49" s="383"/>
      <c r="W49" s="383"/>
      <c r="X49" s="383"/>
      <c r="Y49" s="383"/>
    </row>
    <row r="50">
      <c r="A50" s="384">
        <v>42.0</v>
      </c>
      <c r="B50" s="385" t="s">
        <v>2006</v>
      </c>
      <c r="C50" s="385" t="s">
        <v>74</v>
      </c>
      <c r="D50" s="406" t="s">
        <v>2007</v>
      </c>
      <c r="E50" s="404"/>
      <c r="F50" s="382"/>
      <c r="G50" s="397">
        <v>43.0</v>
      </c>
      <c r="H50" s="405" t="s">
        <v>2008</v>
      </c>
      <c r="I50" s="382"/>
      <c r="J50" s="382"/>
      <c r="K50" s="382"/>
      <c r="L50" s="382"/>
      <c r="M50" s="382"/>
      <c r="N50" s="382"/>
      <c r="O50" s="382"/>
      <c r="P50" s="382"/>
      <c r="Q50" s="382"/>
      <c r="R50" s="382"/>
      <c r="S50" s="382"/>
      <c r="T50" s="382"/>
      <c r="U50" s="382"/>
      <c r="V50" s="383"/>
      <c r="W50" s="383"/>
      <c r="X50" s="383"/>
      <c r="Y50" s="383"/>
    </row>
    <row r="51">
      <c r="A51" s="384">
        <v>43.0</v>
      </c>
      <c r="B51" s="385" t="s">
        <v>981</v>
      </c>
      <c r="C51" s="385" t="s">
        <v>25</v>
      </c>
      <c r="D51" s="382"/>
      <c r="E51" s="404"/>
      <c r="F51" s="382"/>
      <c r="G51" s="397">
        <v>41.0</v>
      </c>
      <c r="H51" s="382"/>
      <c r="I51" s="382"/>
      <c r="J51" s="382"/>
      <c r="K51" s="382"/>
      <c r="L51" s="382"/>
      <c r="M51" s="382"/>
      <c r="N51" s="382"/>
      <c r="O51" s="382"/>
      <c r="P51" s="382"/>
      <c r="Q51" s="382"/>
      <c r="R51" s="382"/>
      <c r="S51" s="382"/>
      <c r="T51" s="382"/>
      <c r="U51" s="382"/>
      <c r="V51" s="383"/>
      <c r="W51" s="383"/>
      <c r="X51" s="383"/>
      <c r="Y51" s="383"/>
    </row>
    <row r="52">
      <c r="A52" s="398">
        <v>44.0</v>
      </c>
      <c r="B52" s="385" t="s">
        <v>615</v>
      </c>
      <c r="C52" s="385" t="s">
        <v>14</v>
      </c>
      <c r="D52" s="385" t="s">
        <v>2009</v>
      </c>
      <c r="E52" s="404"/>
      <c r="F52" s="382"/>
      <c r="G52" s="397">
        <v>45.0</v>
      </c>
      <c r="H52" s="382"/>
      <c r="I52" s="382"/>
      <c r="J52" s="382"/>
      <c r="K52" s="382"/>
      <c r="L52" s="382"/>
      <c r="M52" s="382"/>
      <c r="N52" s="382"/>
      <c r="O52" s="382"/>
      <c r="P52" s="382"/>
      <c r="Q52" s="382"/>
      <c r="R52" s="382"/>
      <c r="S52" s="382"/>
      <c r="T52" s="382"/>
      <c r="U52" s="382"/>
      <c r="V52" s="383"/>
      <c r="W52" s="383"/>
      <c r="X52" s="383"/>
      <c r="Y52" s="383"/>
    </row>
    <row r="53">
      <c r="A53" s="398"/>
      <c r="B53" s="396" t="s">
        <v>2010</v>
      </c>
      <c r="C53" s="396" t="s">
        <v>21</v>
      </c>
      <c r="D53" s="396" t="s">
        <v>2011</v>
      </c>
      <c r="E53" s="404"/>
      <c r="F53" s="382"/>
      <c r="G53" s="397">
        <v>55.0</v>
      </c>
      <c r="H53" s="395" t="s">
        <v>2012</v>
      </c>
      <c r="I53" s="382"/>
      <c r="J53" s="382"/>
      <c r="K53" s="382"/>
      <c r="L53" s="382"/>
      <c r="M53" s="382"/>
      <c r="N53" s="382"/>
      <c r="O53" s="382"/>
      <c r="P53" s="382"/>
      <c r="Q53" s="382"/>
      <c r="R53" s="382"/>
      <c r="S53" s="382"/>
      <c r="T53" s="382"/>
      <c r="U53" s="382"/>
      <c r="V53" s="383"/>
      <c r="W53" s="383"/>
      <c r="X53" s="383"/>
      <c r="Y53" s="383"/>
    </row>
    <row r="54">
      <c r="A54" s="398"/>
      <c r="B54" s="385" t="s">
        <v>676</v>
      </c>
      <c r="C54" s="385" t="s">
        <v>77</v>
      </c>
      <c r="D54" s="385" t="s">
        <v>2013</v>
      </c>
      <c r="E54" s="404"/>
      <c r="F54" s="382"/>
      <c r="G54" s="382"/>
      <c r="H54" s="395" t="s">
        <v>2014</v>
      </c>
      <c r="I54" s="382"/>
      <c r="J54" s="382"/>
      <c r="K54" s="382"/>
      <c r="L54" s="382"/>
      <c r="M54" s="382"/>
      <c r="N54" s="382"/>
      <c r="O54" s="382"/>
      <c r="P54" s="382"/>
      <c r="Q54" s="382"/>
      <c r="R54" s="382"/>
      <c r="S54" s="382"/>
      <c r="T54" s="382"/>
      <c r="U54" s="382"/>
      <c r="V54" s="383"/>
      <c r="W54" s="383"/>
      <c r="X54" s="383"/>
      <c r="Y54" s="383"/>
    </row>
    <row r="55">
      <c r="A55" s="384"/>
      <c r="B55" s="396" t="s">
        <v>970</v>
      </c>
      <c r="C55" s="396" t="s">
        <v>36</v>
      </c>
      <c r="D55" s="386" t="s">
        <v>1474</v>
      </c>
      <c r="E55" s="404"/>
      <c r="F55" s="382"/>
      <c r="G55" s="397">
        <v>44.0</v>
      </c>
      <c r="H55" s="382"/>
      <c r="I55" s="382"/>
      <c r="J55" s="382"/>
      <c r="K55" s="382"/>
      <c r="L55" s="382"/>
      <c r="M55" s="382"/>
      <c r="N55" s="382"/>
      <c r="O55" s="382"/>
      <c r="P55" s="382"/>
      <c r="Q55" s="382"/>
      <c r="R55" s="382"/>
      <c r="S55" s="382"/>
      <c r="T55" s="382"/>
      <c r="U55" s="382"/>
      <c r="V55" s="383"/>
      <c r="W55" s="383"/>
      <c r="X55" s="383"/>
      <c r="Y55" s="383"/>
    </row>
    <row r="56">
      <c r="A56" s="384"/>
      <c r="B56" s="385"/>
      <c r="C56" s="385"/>
      <c r="D56" s="406"/>
      <c r="E56" s="404"/>
      <c r="F56" s="382"/>
      <c r="G56" s="382"/>
      <c r="H56" s="382"/>
      <c r="I56" s="382"/>
      <c r="J56" s="382"/>
      <c r="K56" s="382"/>
      <c r="L56" s="382"/>
      <c r="M56" s="382"/>
      <c r="N56" s="382"/>
      <c r="O56" s="382"/>
      <c r="P56" s="382"/>
      <c r="Q56" s="382"/>
      <c r="R56" s="382"/>
      <c r="S56" s="382"/>
      <c r="T56" s="382"/>
      <c r="U56" s="382"/>
      <c r="V56" s="383"/>
      <c r="W56" s="383"/>
      <c r="X56" s="383"/>
      <c r="Y56" s="383"/>
    </row>
    <row r="57">
      <c r="A57" s="384"/>
      <c r="B57" s="385"/>
      <c r="C57" s="385"/>
      <c r="D57" s="382"/>
      <c r="E57" s="404"/>
      <c r="F57" s="382"/>
      <c r="G57" s="382"/>
      <c r="H57" s="382"/>
      <c r="I57" s="382"/>
      <c r="J57" s="382"/>
      <c r="K57" s="382"/>
      <c r="L57" s="382"/>
      <c r="M57" s="382"/>
      <c r="N57" s="382"/>
      <c r="O57" s="382"/>
      <c r="P57" s="382"/>
      <c r="Q57" s="382"/>
      <c r="R57" s="382"/>
      <c r="S57" s="382"/>
      <c r="T57" s="382"/>
      <c r="U57" s="382"/>
      <c r="V57" s="383"/>
      <c r="W57" s="383"/>
      <c r="X57" s="383"/>
      <c r="Y57" s="383"/>
    </row>
    <row r="58">
      <c r="A58" s="398"/>
      <c r="B58" s="385"/>
      <c r="C58" s="385"/>
      <c r="D58" s="385"/>
      <c r="E58" s="404"/>
      <c r="F58" s="382"/>
      <c r="G58" s="382"/>
      <c r="H58" s="382"/>
      <c r="I58" s="382"/>
      <c r="J58" s="382"/>
      <c r="K58" s="382"/>
      <c r="L58" s="382"/>
      <c r="M58" s="382"/>
      <c r="N58" s="382"/>
      <c r="O58" s="382"/>
      <c r="P58" s="382"/>
      <c r="Q58" s="382"/>
      <c r="R58" s="382"/>
      <c r="S58" s="382"/>
      <c r="T58" s="382"/>
      <c r="U58" s="382"/>
      <c r="V58" s="383"/>
      <c r="W58" s="383"/>
      <c r="X58" s="383"/>
      <c r="Y58" s="383"/>
    </row>
    <row r="59">
      <c r="A59" s="390"/>
      <c r="B59" s="391" t="s">
        <v>34</v>
      </c>
      <c r="C59" s="390"/>
      <c r="D59" s="390"/>
      <c r="E59" s="390"/>
      <c r="F59" s="390"/>
      <c r="G59" s="390"/>
      <c r="H59" s="390"/>
      <c r="I59" s="390"/>
      <c r="J59" s="390"/>
      <c r="K59" s="390"/>
      <c r="L59" s="390"/>
      <c r="M59" s="390"/>
      <c r="N59" s="390"/>
      <c r="O59" s="390"/>
      <c r="P59" s="390"/>
      <c r="Q59" s="390"/>
      <c r="R59" s="390"/>
      <c r="S59" s="390"/>
      <c r="T59" s="390"/>
      <c r="U59" s="390"/>
      <c r="V59" s="383"/>
      <c r="W59" s="383"/>
      <c r="X59" s="383"/>
      <c r="Y59" s="383"/>
    </row>
    <row r="60">
      <c r="A60" s="382"/>
      <c r="B60" s="382"/>
      <c r="C60" s="382"/>
      <c r="D60" s="382"/>
      <c r="E60" s="404"/>
      <c r="F60" s="382"/>
      <c r="G60" s="382"/>
      <c r="H60" s="382"/>
      <c r="I60" s="382"/>
      <c r="J60" s="382"/>
      <c r="K60" s="382"/>
      <c r="L60" s="382"/>
      <c r="M60" s="382"/>
      <c r="N60" s="382"/>
      <c r="O60" s="382"/>
      <c r="P60" s="382"/>
      <c r="Q60" s="382"/>
      <c r="R60" s="382"/>
      <c r="S60" s="382"/>
      <c r="T60" s="382"/>
      <c r="U60" s="382"/>
      <c r="V60" s="383"/>
      <c r="W60" s="383"/>
      <c r="X60" s="383"/>
      <c r="Y60" s="383"/>
    </row>
    <row r="61">
      <c r="A61" s="382"/>
      <c r="B61" s="382"/>
      <c r="C61" s="382"/>
      <c r="D61" s="382"/>
      <c r="E61" s="404"/>
      <c r="F61" s="382"/>
      <c r="G61" s="382"/>
      <c r="H61" s="382"/>
      <c r="I61" s="382"/>
      <c r="J61" s="382"/>
      <c r="K61" s="382"/>
      <c r="L61" s="382"/>
      <c r="M61" s="382"/>
      <c r="N61" s="382"/>
      <c r="O61" s="382"/>
      <c r="P61" s="382"/>
      <c r="Q61" s="382"/>
      <c r="R61" s="382"/>
      <c r="S61" s="382"/>
      <c r="T61" s="382"/>
      <c r="U61" s="382"/>
      <c r="V61" s="383"/>
      <c r="W61" s="383"/>
      <c r="X61" s="383"/>
      <c r="Y61" s="383"/>
    </row>
    <row r="62">
      <c r="A62" s="382"/>
      <c r="B62" s="382"/>
      <c r="C62" s="382"/>
      <c r="D62" s="382"/>
      <c r="E62" s="404"/>
      <c r="F62" s="382"/>
      <c r="G62" s="382"/>
      <c r="H62" s="382"/>
      <c r="I62" s="382"/>
      <c r="J62" s="382"/>
      <c r="K62" s="382"/>
      <c r="L62" s="382"/>
      <c r="M62" s="382"/>
      <c r="N62" s="382"/>
      <c r="O62" s="382"/>
      <c r="P62" s="382"/>
      <c r="Q62" s="382"/>
      <c r="R62" s="382"/>
      <c r="S62" s="382"/>
      <c r="T62" s="382"/>
      <c r="U62" s="382"/>
      <c r="V62" s="383"/>
      <c r="W62" s="383"/>
      <c r="X62" s="383"/>
      <c r="Y62" s="383"/>
    </row>
    <row r="63">
      <c r="A63" s="382"/>
      <c r="B63" s="382"/>
      <c r="C63" s="382"/>
      <c r="D63" s="382"/>
      <c r="E63" s="404"/>
      <c r="F63" s="382"/>
      <c r="G63" s="382"/>
      <c r="H63" s="382"/>
      <c r="I63" s="382"/>
      <c r="J63" s="382"/>
      <c r="K63" s="382"/>
      <c r="L63" s="382"/>
      <c r="M63" s="382"/>
      <c r="N63" s="382"/>
      <c r="O63" s="382"/>
      <c r="P63" s="382"/>
      <c r="Q63" s="382"/>
      <c r="R63" s="382"/>
      <c r="S63" s="382"/>
      <c r="T63" s="382"/>
      <c r="U63" s="382"/>
      <c r="V63" s="383"/>
      <c r="W63" s="383"/>
      <c r="X63" s="383"/>
      <c r="Y63" s="383"/>
    </row>
    <row r="64">
      <c r="A64" s="382"/>
      <c r="B64" s="382"/>
      <c r="C64" s="382"/>
      <c r="D64" s="382"/>
      <c r="E64" s="404"/>
      <c r="F64" s="382"/>
      <c r="G64" s="382"/>
      <c r="H64" s="382"/>
      <c r="I64" s="382"/>
      <c r="J64" s="382"/>
      <c r="K64" s="382"/>
      <c r="L64" s="382"/>
      <c r="M64" s="382"/>
      <c r="N64" s="382"/>
      <c r="O64" s="382"/>
      <c r="P64" s="382"/>
      <c r="Q64" s="382"/>
      <c r="R64" s="382"/>
      <c r="S64" s="382"/>
      <c r="T64" s="382"/>
      <c r="U64" s="382"/>
      <c r="V64" s="383"/>
      <c r="W64" s="383"/>
      <c r="X64" s="383"/>
      <c r="Y64" s="383"/>
    </row>
    <row r="65">
      <c r="A65" s="382"/>
      <c r="B65" s="382"/>
      <c r="C65" s="382"/>
      <c r="D65" s="382"/>
      <c r="E65" s="404"/>
      <c r="F65" s="382"/>
      <c r="G65" s="382"/>
      <c r="H65" s="382"/>
      <c r="I65" s="382"/>
      <c r="J65" s="382"/>
      <c r="K65" s="382"/>
      <c r="L65" s="382"/>
      <c r="M65" s="382"/>
      <c r="N65" s="382"/>
      <c r="O65" s="382"/>
      <c r="P65" s="382"/>
      <c r="Q65" s="382"/>
      <c r="R65" s="382"/>
      <c r="S65" s="382"/>
      <c r="T65" s="382"/>
      <c r="U65" s="382"/>
      <c r="V65" s="383"/>
      <c r="W65" s="383"/>
      <c r="X65" s="383"/>
      <c r="Y65" s="383"/>
    </row>
    <row r="66">
      <c r="A66" s="382"/>
      <c r="B66" s="382"/>
      <c r="C66" s="382"/>
      <c r="D66" s="382"/>
      <c r="E66" s="404"/>
      <c r="F66" s="382"/>
      <c r="G66" s="382"/>
      <c r="H66" s="382"/>
      <c r="I66" s="382"/>
      <c r="J66" s="382"/>
      <c r="K66" s="382"/>
      <c r="L66" s="382"/>
      <c r="M66" s="382"/>
      <c r="N66" s="382"/>
      <c r="O66" s="382"/>
      <c r="P66" s="382"/>
      <c r="Q66" s="382"/>
      <c r="R66" s="382"/>
      <c r="S66" s="382"/>
      <c r="T66" s="382"/>
      <c r="U66" s="382"/>
      <c r="V66" s="383"/>
      <c r="W66" s="383"/>
      <c r="X66" s="383"/>
      <c r="Y66" s="383"/>
    </row>
    <row r="67">
      <c r="A67" s="382"/>
      <c r="B67" s="382"/>
      <c r="C67" s="382"/>
      <c r="D67" s="382"/>
      <c r="E67" s="404"/>
      <c r="F67" s="382"/>
      <c r="G67" s="382"/>
      <c r="H67" s="382"/>
      <c r="I67" s="382"/>
      <c r="J67" s="382"/>
      <c r="K67" s="382"/>
      <c r="L67" s="382"/>
      <c r="M67" s="382"/>
      <c r="N67" s="382"/>
      <c r="O67" s="382"/>
      <c r="P67" s="382"/>
      <c r="Q67" s="382"/>
      <c r="R67" s="382"/>
      <c r="S67" s="382"/>
      <c r="T67" s="382"/>
      <c r="U67" s="382"/>
      <c r="V67" s="383"/>
      <c r="W67" s="383"/>
      <c r="X67" s="383"/>
      <c r="Y67" s="383"/>
    </row>
    <row r="68">
      <c r="A68" s="382"/>
      <c r="B68" s="382"/>
      <c r="C68" s="382"/>
      <c r="D68" s="382"/>
      <c r="E68" s="404"/>
      <c r="F68" s="382"/>
      <c r="G68" s="382"/>
      <c r="H68" s="382"/>
      <c r="I68" s="382"/>
      <c r="J68" s="382"/>
      <c r="K68" s="382"/>
      <c r="L68" s="382"/>
      <c r="M68" s="382"/>
      <c r="N68" s="382"/>
      <c r="O68" s="382"/>
      <c r="P68" s="382"/>
      <c r="Q68" s="382"/>
      <c r="R68" s="382"/>
      <c r="S68" s="382"/>
      <c r="T68" s="382"/>
      <c r="U68" s="382"/>
      <c r="V68" s="383"/>
      <c r="W68" s="383"/>
      <c r="X68" s="383"/>
      <c r="Y68" s="383"/>
    </row>
    <row r="69">
      <c r="A69" s="382"/>
      <c r="B69" s="382"/>
      <c r="C69" s="382"/>
      <c r="D69" s="382"/>
      <c r="E69" s="404"/>
      <c r="F69" s="382"/>
      <c r="G69" s="382"/>
      <c r="H69" s="382"/>
      <c r="I69" s="382"/>
      <c r="J69" s="382"/>
      <c r="K69" s="382"/>
      <c r="L69" s="382"/>
      <c r="M69" s="382"/>
      <c r="N69" s="382"/>
      <c r="O69" s="382"/>
      <c r="P69" s="382"/>
      <c r="Q69" s="382"/>
      <c r="R69" s="382"/>
      <c r="S69" s="382"/>
      <c r="T69" s="382"/>
      <c r="U69" s="382"/>
      <c r="V69" s="383"/>
      <c r="W69" s="383"/>
      <c r="X69" s="383"/>
      <c r="Y69" s="383"/>
    </row>
    <row r="70">
      <c r="A70" s="384"/>
      <c r="B70" s="385"/>
      <c r="C70" s="385"/>
      <c r="D70" s="385"/>
      <c r="E70" s="404"/>
      <c r="F70" s="382"/>
      <c r="G70" s="382"/>
      <c r="H70" s="382"/>
      <c r="I70" s="382"/>
      <c r="J70" s="382"/>
      <c r="K70" s="382"/>
      <c r="L70" s="382"/>
      <c r="M70" s="382"/>
      <c r="N70" s="382"/>
      <c r="O70" s="382"/>
      <c r="P70" s="382"/>
      <c r="Q70" s="382"/>
      <c r="R70" s="382"/>
      <c r="S70" s="382"/>
      <c r="T70" s="382"/>
      <c r="U70" s="382"/>
      <c r="V70" s="383"/>
      <c r="W70" s="383"/>
      <c r="X70" s="383"/>
      <c r="Y70" s="383"/>
    </row>
    <row r="71">
      <c r="A71" s="384"/>
      <c r="B71" s="385"/>
      <c r="C71" s="385"/>
      <c r="D71" s="385"/>
      <c r="E71" s="404"/>
      <c r="F71" s="382"/>
      <c r="G71" s="382"/>
      <c r="H71" s="382"/>
      <c r="I71" s="382"/>
      <c r="J71" s="382"/>
      <c r="K71" s="382"/>
      <c r="L71" s="382"/>
      <c r="M71" s="382"/>
      <c r="N71" s="382"/>
      <c r="O71" s="382"/>
      <c r="P71" s="382"/>
      <c r="Q71" s="382"/>
      <c r="R71" s="382"/>
      <c r="S71" s="382"/>
      <c r="T71" s="382"/>
      <c r="U71" s="382"/>
      <c r="V71" s="383"/>
      <c r="W71" s="383"/>
      <c r="X71" s="383"/>
      <c r="Y71" s="383"/>
    </row>
    <row r="72">
      <c r="A72" s="390"/>
      <c r="B72" s="407" t="s">
        <v>34</v>
      </c>
      <c r="C72" s="390"/>
      <c r="D72" s="390"/>
      <c r="E72" s="393"/>
      <c r="F72" s="390"/>
      <c r="G72" s="390"/>
      <c r="H72" s="390"/>
      <c r="I72" s="390"/>
      <c r="J72" s="390"/>
      <c r="K72" s="390"/>
      <c r="L72" s="390"/>
      <c r="M72" s="390"/>
      <c r="N72" s="390"/>
      <c r="O72" s="390"/>
      <c r="P72" s="390"/>
      <c r="Q72" s="390"/>
      <c r="R72" s="390"/>
      <c r="S72" s="390"/>
      <c r="T72" s="390"/>
      <c r="U72" s="390"/>
      <c r="V72" s="383"/>
      <c r="W72" s="383"/>
      <c r="X72" s="383"/>
      <c r="Y72" s="383"/>
    </row>
    <row r="73">
      <c r="A73" s="384">
        <v>49.0</v>
      </c>
      <c r="B73" s="382"/>
      <c r="C73" s="382"/>
      <c r="D73" s="382"/>
      <c r="E73" s="404"/>
      <c r="F73" s="382"/>
      <c r="G73" s="382"/>
      <c r="H73" s="382"/>
      <c r="I73" s="382"/>
      <c r="J73" s="382"/>
      <c r="K73" s="382"/>
      <c r="L73" s="382"/>
      <c r="M73" s="382"/>
      <c r="N73" s="382"/>
      <c r="O73" s="382"/>
      <c r="P73" s="382"/>
      <c r="Q73" s="382"/>
      <c r="R73" s="382"/>
      <c r="S73" s="382"/>
      <c r="T73" s="382"/>
      <c r="U73" s="382"/>
      <c r="V73" s="383"/>
      <c r="W73" s="383"/>
      <c r="X73" s="383"/>
      <c r="Y73" s="383"/>
    </row>
    <row r="74">
      <c r="A74" s="384">
        <v>50.0</v>
      </c>
      <c r="B74" s="382"/>
      <c r="C74" s="382"/>
      <c r="D74" s="382"/>
      <c r="E74" s="404"/>
      <c r="F74" s="382"/>
      <c r="G74" s="382"/>
      <c r="H74" s="382"/>
      <c r="I74" s="382"/>
      <c r="J74" s="382"/>
      <c r="K74" s="382"/>
      <c r="L74" s="382"/>
      <c r="M74" s="382"/>
      <c r="N74" s="382"/>
      <c r="O74" s="382"/>
      <c r="P74" s="382"/>
      <c r="Q74" s="382"/>
      <c r="R74" s="382"/>
      <c r="S74" s="382"/>
      <c r="T74" s="382"/>
      <c r="U74" s="382"/>
      <c r="V74" s="383"/>
      <c r="W74" s="383"/>
      <c r="X74" s="383"/>
      <c r="Y74" s="383"/>
    </row>
    <row r="75">
      <c r="A75" s="384">
        <v>51.0</v>
      </c>
      <c r="B75" s="382"/>
      <c r="C75" s="382"/>
      <c r="D75" s="382"/>
      <c r="E75" s="404"/>
      <c r="F75" s="382"/>
      <c r="G75" s="382"/>
      <c r="H75" s="382"/>
      <c r="I75" s="382"/>
      <c r="J75" s="382"/>
      <c r="K75" s="382"/>
      <c r="L75" s="382"/>
      <c r="M75" s="382"/>
      <c r="N75" s="382"/>
      <c r="O75" s="382"/>
      <c r="P75" s="382"/>
      <c r="Q75" s="382"/>
      <c r="R75" s="382"/>
      <c r="S75" s="382"/>
      <c r="T75" s="382"/>
      <c r="U75" s="382"/>
      <c r="V75" s="383"/>
      <c r="W75" s="383"/>
      <c r="X75" s="383"/>
      <c r="Y75" s="383"/>
    </row>
    <row r="76">
      <c r="A76" s="384">
        <v>52.0</v>
      </c>
      <c r="B76" s="382"/>
      <c r="C76" s="382"/>
      <c r="D76" s="382"/>
      <c r="E76" s="404"/>
      <c r="F76" s="382"/>
      <c r="G76" s="382"/>
      <c r="H76" s="382"/>
      <c r="I76" s="382"/>
      <c r="J76" s="382"/>
      <c r="K76" s="382"/>
      <c r="L76" s="382"/>
      <c r="M76" s="382"/>
      <c r="N76" s="382"/>
      <c r="O76" s="382"/>
      <c r="P76" s="382"/>
      <c r="Q76" s="382"/>
      <c r="R76" s="382"/>
      <c r="S76" s="382"/>
      <c r="T76" s="382"/>
      <c r="U76" s="382"/>
      <c r="V76" s="383"/>
      <c r="W76" s="383"/>
      <c r="X76" s="383"/>
      <c r="Y76" s="383"/>
    </row>
    <row r="77">
      <c r="A77" s="384">
        <v>53.0</v>
      </c>
      <c r="B77" s="385" t="s">
        <v>2015</v>
      </c>
      <c r="C77" s="382"/>
      <c r="D77" s="382"/>
      <c r="E77" s="404"/>
      <c r="F77" s="382"/>
      <c r="G77" s="382"/>
      <c r="H77" s="382"/>
      <c r="I77" s="382"/>
      <c r="J77" s="382"/>
      <c r="K77" s="382"/>
      <c r="L77" s="382"/>
      <c r="M77" s="382"/>
      <c r="N77" s="382"/>
      <c r="O77" s="382"/>
      <c r="P77" s="382"/>
      <c r="Q77" s="382"/>
      <c r="R77" s="382"/>
      <c r="S77" s="382"/>
      <c r="T77" s="382"/>
      <c r="U77" s="382"/>
      <c r="V77" s="383"/>
      <c r="W77" s="383"/>
      <c r="X77" s="383"/>
      <c r="Y77" s="383"/>
    </row>
    <row r="78">
      <c r="A78" s="384">
        <v>54.0</v>
      </c>
      <c r="B78" s="385" t="s">
        <v>2016</v>
      </c>
      <c r="C78" s="385" t="s">
        <v>2017</v>
      </c>
      <c r="D78" s="382"/>
      <c r="E78" s="404"/>
      <c r="F78" s="382"/>
      <c r="G78" s="382"/>
      <c r="H78" s="382"/>
      <c r="I78" s="382"/>
      <c r="J78" s="382"/>
      <c r="K78" s="382"/>
      <c r="L78" s="382"/>
      <c r="M78" s="382"/>
      <c r="N78" s="382"/>
      <c r="O78" s="382"/>
      <c r="P78" s="382"/>
      <c r="Q78" s="382"/>
      <c r="R78" s="382"/>
      <c r="S78" s="382"/>
      <c r="T78" s="382"/>
      <c r="U78" s="382"/>
      <c r="V78" s="383"/>
      <c r="W78" s="383"/>
      <c r="X78" s="383"/>
      <c r="Y78" s="383"/>
    </row>
    <row r="79">
      <c r="A79" s="384">
        <v>55.0</v>
      </c>
      <c r="B79" s="385" t="s">
        <v>2018</v>
      </c>
      <c r="C79" s="385" t="s">
        <v>2019</v>
      </c>
      <c r="D79" s="382"/>
      <c r="E79" s="404"/>
      <c r="F79" s="382"/>
      <c r="G79" s="382"/>
      <c r="H79" s="382"/>
      <c r="I79" s="382"/>
      <c r="J79" s="382"/>
      <c r="K79" s="382"/>
      <c r="L79" s="382"/>
      <c r="M79" s="382"/>
      <c r="N79" s="382"/>
      <c r="O79" s="382"/>
      <c r="P79" s="382"/>
      <c r="Q79" s="382"/>
      <c r="R79" s="382"/>
      <c r="S79" s="382"/>
      <c r="T79" s="382"/>
      <c r="U79" s="382"/>
      <c r="V79" s="383"/>
      <c r="W79" s="383"/>
      <c r="X79" s="383"/>
      <c r="Y79" s="383"/>
    </row>
    <row r="80">
      <c r="A80" s="384">
        <v>56.0</v>
      </c>
      <c r="B80" s="385" t="s">
        <v>2020</v>
      </c>
      <c r="C80" s="385" t="s">
        <v>2021</v>
      </c>
      <c r="D80" s="382"/>
      <c r="E80" s="404"/>
      <c r="F80" s="382"/>
      <c r="G80" s="382"/>
      <c r="H80" s="382"/>
      <c r="I80" s="382"/>
      <c r="J80" s="382"/>
      <c r="K80" s="382"/>
      <c r="L80" s="382"/>
      <c r="M80" s="382"/>
      <c r="N80" s="382"/>
      <c r="O80" s="382"/>
      <c r="P80" s="382"/>
      <c r="Q80" s="382"/>
      <c r="R80" s="382"/>
      <c r="S80" s="382"/>
      <c r="T80" s="382"/>
      <c r="U80" s="382"/>
      <c r="V80" s="383"/>
      <c r="W80" s="383"/>
      <c r="X80" s="383"/>
      <c r="Y80" s="383"/>
    </row>
    <row r="81">
      <c r="A81" s="384">
        <v>57.0</v>
      </c>
      <c r="B81" s="385" t="s">
        <v>2022</v>
      </c>
      <c r="C81" s="385" t="s">
        <v>2023</v>
      </c>
      <c r="D81" s="382"/>
      <c r="E81" s="404"/>
      <c r="F81" s="382"/>
      <c r="G81" s="382"/>
      <c r="H81" s="382"/>
      <c r="I81" s="382"/>
      <c r="J81" s="382"/>
      <c r="K81" s="382"/>
      <c r="L81" s="382"/>
      <c r="M81" s="382"/>
      <c r="N81" s="382"/>
      <c r="O81" s="382"/>
      <c r="P81" s="382"/>
      <c r="Q81" s="382"/>
      <c r="R81" s="382"/>
      <c r="S81" s="382"/>
      <c r="T81" s="382"/>
      <c r="U81" s="382"/>
      <c r="V81" s="383"/>
      <c r="W81" s="383"/>
      <c r="X81" s="383"/>
      <c r="Y81" s="383"/>
    </row>
    <row r="82">
      <c r="A82" s="384">
        <v>58.0</v>
      </c>
      <c r="B82" s="385" t="s">
        <v>2024</v>
      </c>
      <c r="C82" s="385" t="s">
        <v>2025</v>
      </c>
      <c r="D82" s="382"/>
      <c r="E82" s="404"/>
      <c r="F82" s="382"/>
      <c r="G82" s="382"/>
      <c r="H82" s="382"/>
      <c r="I82" s="382"/>
      <c r="J82" s="382"/>
      <c r="K82" s="382"/>
      <c r="L82" s="382"/>
      <c r="M82" s="382"/>
      <c r="N82" s="382"/>
      <c r="O82" s="382"/>
      <c r="P82" s="382"/>
      <c r="Q82" s="382"/>
      <c r="R82" s="382"/>
      <c r="S82" s="382"/>
      <c r="T82" s="382"/>
      <c r="U82" s="382"/>
      <c r="V82" s="383"/>
      <c r="W82" s="383"/>
      <c r="X82" s="383"/>
      <c r="Y82" s="383"/>
    </row>
    <row r="83">
      <c r="A83" s="384">
        <v>59.0</v>
      </c>
      <c r="B83" s="382"/>
      <c r="C83" s="385" t="s">
        <v>2026</v>
      </c>
      <c r="D83" s="382"/>
      <c r="E83" s="404"/>
      <c r="F83" s="382"/>
      <c r="G83" s="382"/>
      <c r="H83" s="382"/>
      <c r="I83" s="382"/>
      <c r="J83" s="382"/>
      <c r="K83" s="382"/>
      <c r="L83" s="382"/>
      <c r="M83" s="382"/>
      <c r="N83" s="382"/>
      <c r="O83" s="382"/>
      <c r="P83" s="382"/>
      <c r="Q83" s="382"/>
      <c r="R83" s="382"/>
      <c r="S83" s="382"/>
      <c r="T83" s="382"/>
      <c r="U83" s="382"/>
      <c r="V83" s="383"/>
      <c r="W83" s="383"/>
      <c r="X83" s="383"/>
      <c r="Y83" s="383"/>
    </row>
    <row r="84">
      <c r="A84" s="384">
        <v>60.0</v>
      </c>
      <c r="B84" s="382"/>
      <c r="C84" s="385" t="s">
        <v>2027</v>
      </c>
      <c r="D84" s="382"/>
      <c r="E84" s="404"/>
      <c r="F84" s="382"/>
      <c r="G84" s="382"/>
      <c r="H84" s="382"/>
      <c r="I84" s="382"/>
      <c r="J84" s="382"/>
      <c r="K84" s="382"/>
      <c r="L84" s="382"/>
      <c r="M84" s="382"/>
      <c r="N84" s="382"/>
      <c r="O84" s="382"/>
      <c r="P84" s="382"/>
      <c r="Q84" s="382"/>
      <c r="R84" s="382"/>
      <c r="S84" s="382"/>
      <c r="T84" s="382"/>
      <c r="U84" s="382"/>
      <c r="V84" s="383"/>
      <c r="W84" s="383"/>
      <c r="X84" s="383"/>
      <c r="Y84" s="383"/>
    </row>
    <row r="85">
      <c r="A85" s="384">
        <v>61.0</v>
      </c>
      <c r="B85" s="382"/>
      <c r="C85" s="382"/>
      <c r="D85" s="382"/>
      <c r="E85" s="404"/>
      <c r="F85" s="382"/>
      <c r="G85" s="382"/>
      <c r="H85" s="382"/>
      <c r="I85" s="382"/>
      <c r="J85" s="382"/>
      <c r="K85" s="382"/>
      <c r="L85" s="382"/>
      <c r="M85" s="382"/>
      <c r="N85" s="382"/>
      <c r="O85" s="382"/>
      <c r="P85" s="382"/>
      <c r="Q85" s="382"/>
      <c r="R85" s="382"/>
      <c r="S85" s="382"/>
      <c r="T85" s="382"/>
      <c r="U85" s="382"/>
      <c r="V85" s="383"/>
      <c r="W85" s="383"/>
      <c r="X85" s="383"/>
      <c r="Y85" s="383"/>
    </row>
    <row r="86">
      <c r="A86" s="384">
        <v>62.0</v>
      </c>
      <c r="B86" s="382"/>
      <c r="C86" s="382"/>
      <c r="D86" s="382"/>
      <c r="E86" s="404"/>
      <c r="F86" s="382"/>
      <c r="G86" s="382"/>
      <c r="H86" s="382"/>
      <c r="I86" s="382"/>
      <c r="J86" s="382"/>
      <c r="K86" s="382"/>
      <c r="L86" s="382"/>
      <c r="M86" s="382"/>
      <c r="N86" s="382"/>
      <c r="O86" s="382"/>
      <c r="P86" s="382"/>
      <c r="Q86" s="382"/>
      <c r="R86" s="382"/>
      <c r="S86" s="382"/>
      <c r="T86" s="382"/>
      <c r="U86" s="382"/>
      <c r="V86" s="383"/>
      <c r="W86" s="383"/>
      <c r="X86" s="383"/>
      <c r="Y86" s="383"/>
    </row>
    <row r="87">
      <c r="A87" s="384">
        <v>63.0</v>
      </c>
      <c r="B87" s="382"/>
      <c r="C87" s="382"/>
      <c r="D87" s="382"/>
      <c r="E87" s="404"/>
      <c r="F87" s="382"/>
      <c r="G87" s="382"/>
      <c r="H87" s="382"/>
      <c r="I87" s="382"/>
      <c r="J87" s="382"/>
      <c r="K87" s="382"/>
      <c r="L87" s="382"/>
      <c r="M87" s="382"/>
      <c r="N87" s="382"/>
      <c r="O87" s="382"/>
      <c r="P87" s="382"/>
      <c r="Q87" s="382"/>
      <c r="R87" s="382"/>
      <c r="S87" s="382"/>
      <c r="T87" s="382"/>
      <c r="U87" s="382"/>
      <c r="V87" s="383"/>
      <c r="W87" s="383"/>
      <c r="X87" s="383"/>
      <c r="Y87" s="383"/>
    </row>
    <row r="88">
      <c r="A88" s="384">
        <v>64.0</v>
      </c>
      <c r="B88" s="382"/>
      <c r="C88" s="382"/>
      <c r="D88" s="382"/>
      <c r="E88" s="404"/>
      <c r="F88" s="382"/>
      <c r="G88" s="382"/>
      <c r="H88" s="382"/>
      <c r="I88" s="382"/>
      <c r="J88" s="382"/>
      <c r="K88" s="382"/>
      <c r="L88" s="382"/>
      <c r="M88" s="382"/>
      <c r="N88" s="382"/>
      <c r="O88" s="382"/>
      <c r="P88" s="382"/>
      <c r="Q88" s="382"/>
      <c r="R88" s="382"/>
      <c r="S88" s="382"/>
      <c r="T88" s="382"/>
      <c r="U88" s="382"/>
      <c r="V88" s="383"/>
      <c r="W88" s="383"/>
      <c r="X88" s="383"/>
      <c r="Y88" s="383"/>
    </row>
    <row r="89">
      <c r="A89" s="384">
        <v>65.0</v>
      </c>
      <c r="B89" s="382"/>
      <c r="C89" s="382"/>
      <c r="D89" s="382"/>
      <c r="E89" s="404"/>
      <c r="F89" s="382"/>
      <c r="G89" s="382"/>
      <c r="H89" s="382"/>
      <c r="I89" s="382"/>
      <c r="J89" s="382"/>
      <c r="K89" s="382"/>
      <c r="L89" s="382"/>
      <c r="M89" s="382"/>
      <c r="N89" s="382"/>
      <c r="O89" s="382"/>
      <c r="P89" s="382"/>
      <c r="Q89" s="382"/>
      <c r="R89" s="382"/>
      <c r="S89" s="382"/>
      <c r="T89" s="382"/>
      <c r="U89" s="382"/>
      <c r="V89" s="383"/>
      <c r="W89" s="383"/>
      <c r="X89" s="383"/>
      <c r="Y89" s="383"/>
    </row>
    <row r="90">
      <c r="A90" s="384">
        <v>66.0</v>
      </c>
      <c r="B90" s="382"/>
      <c r="C90" s="382"/>
      <c r="D90" s="382"/>
      <c r="E90" s="404"/>
      <c r="F90" s="382"/>
      <c r="G90" s="382"/>
      <c r="H90" s="382"/>
      <c r="I90" s="382"/>
      <c r="J90" s="382"/>
      <c r="K90" s="382"/>
      <c r="L90" s="382"/>
      <c r="M90" s="382"/>
      <c r="N90" s="382"/>
      <c r="O90" s="382"/>
      <c r="P90" s="382"/>
      <c r="Q90" s="382"/>
      <c r="R90" s="382"/>
      <c r="S90" s="382"/>
      <c r="T90" s="382"/>
      <c r="U90" s="382"/>
      <c r="V90" s="383"/>
      <c r="W90" s="383"/>
      <c r="X90" s="383"/>
      <c r="Y90" s="383"/>
    </row>
    <row r="91">
      <c r="A91" s="384">
        <v>67.0</v>
      </c>
      <c r="B91" s="382"/>
      <c r="C91" s="382"/>
      <c r="D91" s="382"/>
      <c r="E91" s="404"/>
      <c r="F91" s="382"/>
      <c r="G91" s="382"/>
      <c r="H91" s="382"/>
      <c r="I91" s="382"/>
      <c r="J91" s="382"/>
      <c r="K91" s="382"/>
      <c r="L91" s="382"/>
      <c r="M91" s="382"/>
      <c r="N91" s="382"/>
      <c r="O91" s="382"/>
      <c r="P91" s="382"/>
      <c r="Q91" s="382"/>
      <c r="R91" s="382"/>
      <c r="S91" s="382"/>
      <c r="T91" s="382"/>
      <c r="U91" s="382"/>
      <c r="V91" s="383"/>
      <c r="W91" s="383"/>
      <c r="X91" s="383"/>
      <c r="Y91" s="383"/>
    </row>
    <row r="92">
      <c r="A92" s="384">
        <v>68.0</v>
      </c>
      <c r="B92" s="382"/>
      <c r="C92" s="382"/>
      <c r="D92" s="382"/>
      <c r="E92" s="404"/>
      <c r="F92" s="382"/>
      <c r="G92" s="382"/>
      <c r="H92" s="382"/>
      <c r="I92" s="382"/>
      <c r="J92" s="382"/>
      <c r="K92" s="382"/>
      <c r="L92" s="382"/>
      <c r="M92" s="382"/>
      <c r="N92" s="382"/>
      <c r="O92" s="382"/>
      <c r="P92" s="382"/>
      <c r="Q92" s="382"/>
      <c r="R92" s="382"/>
      <c r="S92" s="382"/>
      <c r="T92" s="382"/>
      <c r="U92" s="382"/>
      <c r="V92" s="383"/>
      <c r="W92" s="383"/>
      <c r="X92" s="383"/>
      <c r="Y92" s="383"/>
    </row>
    <row r="93">
      <c r="A93" s="384">
        <v>69.0</v>
      </c>
      <c r="B93" s="382"/>
      <c r="C93" s="382"/>
      <c r="D93" s="382"/>
      <c r="E93" s="404"/>
      <c r="F93" s="382"/>
      <c r="G93" s="382"/>
      <c r="H93" s="382"/>
      <c r="I93" s="382"/>
      <c r="J93" s="382"/>
      <c r="K93" s="382"/>
      <c r="L93" s="382"/>
      <c r="M93" s="382"/>
      <c r="N93" s="382"/>
      <c r="O93" s="382"/>
      <c r="P93" s="382"/>
      <c r="Q93" s="382"/>
      <c r="R93" s="382"/>
      <c r="S93" s="382"/>
      <c r="T93" s="382"/>
      <c r="U93" s="382"/>
      <c r="V93" s="383"/>
      <c r="W93" s="383"/>
      <c r="X93" s="383"/>
      <c r="Y93" s="383"/>
    </row>
    <row r="94">
      <c r="A94" s="382"/>
      <c r="B94" s="382"/>
      <c r="C94" s="382"/>
      <c r="D94" s="382"/>
      <c r="E94" s="404"/>
      <c r="F94" s="382"/>
      <c r="G94" s="382"/>
      <c r="H94" s="382"/>
      <c r="I94" s="382"/>
      <c r="J94" s="382"/>
      <c r="K94" s="382"/>
      <c r="L94" s="382"/>
      <c r="M94" s="382"/>
      <c r="N94" s="382"/>
      <c r="O94" s="382"/>
      <c r="P94" s="382"/>
      <c r="Q94" s="382"/>
      <c r="R94" s="382"/>
      <c r="S94" s="382"/>
      <c r="T94" s="382"/>
      <c r="U94" s="382"/>
      <c r="V94" s="383"/>
      <c r="W94" s="383"/>
      <c r="X94" s="383"/>
      <c r="Y94" s="383"/>
    </row>
    <row r="95">
      <c r="A95" s="382"/>
      <c r="B95" s="382"/>
      <c r="C95" s="382"/>
      <c r="D95" s="382"/>
      <c r="E95" s="404"/>
      <c r="F95" s="382"/>
      <c r="G95" s="382"/>
      <c r="H95" s="382"/>
      <c r="I95" s="382"/>
      <c r="J95" s="382"/>
      <c r="K95" s="382"/>
      <c r="L95" s="382"/>
      <c r="M95" s="382"/>
      <c r="N95" s="382"/>
      <c r="O95" s="382"/>
      <c r="P95" s="382"/>
      <c r="Q95" s="382"/>
      <c r="R95" s="382"/>
      <c r="S95" s="382"/>
      <c r="T95" s="382"/>
      <c r="U95" s="382"/>
      <c r="V95" s="383"/>
      <c r="W95" s="383"/>
      <c r="X95" s="383"/>
      <c r="Y95" s="383"/>
    </row>
    <row r="96">
      <c r="A96" s="382"/>
      <c r="B96" s="382"/>
      <c r="C96" s="382"/>
      <c r="D96" s="382"/>
      <c r="E96" s="404"/>
      <c r="F96" s="382"/>
      <c r="G96" s="382"/>
      <c r="H96" s="382"/>
      <c r="I96" s="382"/>
      <c r="J96" s="382"/>
      <c r="K96" s="382"/>
      <c r="L96" s="382"/>
      <c r="M96" s="382"/>
      <c r="N96" s="382"/>
      <c r="O96" s="382"/>
      <c r="P96" s="382"/>
      <c r="Q96" s="382"/>
      <c r="R96" s="382"/>
      <c r="S96" s="382"/>
      <c r="T96" s="382"/>
      <c r="U96" s="382"/>
      <c r="V96" s="383"/>
      <c r="W96" s="383"/>
      <c r="X96" s="383"/>
      <c r="Y96" s="383"/>
    </row>
    <row r="97">
      <c r="A97" s="382"/>
      <c r="B97" s="382"/>
      <c r="C97" s="382"/>
      <c r="D97" s="382"/>
      <c r="E97" s="404"/>
      <c r="F97" s="382"/>
      <c r="G97" s="382"/>
      <c r="H97" s="382"/>
      <c r="I97" s="382"/>
      <c r="J97" s="382"/>
      <c r="K97" s="382"/>
      <c r="L97" s="382"/>
      <c r="M97" s="382"/>
      <c r="N97" s="382"/>
      <c r="O97" s="382"/>
      <c r="P97" s="382"/>
      <c r="Q97" s="382"/>
      <c r="R97" s="382"/>
      <c r="S97" s="382"/>
      <c r="T97" s="382"/>
      <c r="U97" s="382"/>
      <c r="V97" s="383"/>
      <c r="W97" s="383"/>
      <c r="X97" s="383"/>
      <c r="Y97" s="383"/>
    </row>
    <row r="98">
      <c r="A98" s="382"/>
      <c r="B98" s="382"/>
      <c r="C98" s="382"/>
      <c r="D98" s="382"/>
      <c r="E98" s="404"/>
      <c r="F98" s="382"/>
      <c r="G98" s="382"/>
      <c r="H98" s="382"/>
      <c r="I98" s="382"/>
      <c r="J98" s="382"/>
      <c r="K98" s="382"/>
      <c r="L98" s="382"/>
      <c r="M98" s="382"/>
      <c r="N98" s="382"/>
      <c r="O98" s="382"/>
      <c r="P98" s="382"/>
      <c r="Q98" s="382"/>
      <c r="R98" s="382"/>
      <c r="S98" s="382"/>
      <c r="T98" s="382"/>
      <c r="U98" s="382"/>
      <c r="V98" s="383"/>
      <c r="W98" s="383"/>
      <c r="X98" s="383"/>
      <c r="Y98" s="383"/>
    </row>
    <row r="99">
      <c r="A99" s="390"/>
      <c r="B99" s="390"/>
      <c r="C99" s="390"/>
      <c r="D99" s="390"/>
      <c r="E99" s="390"/>
      <c r="F99" s="390"/>
      <c r="G99" s="390"/>
      <c r="H99" s="390"/>
      <c r="I99" s="390"/>
      <c r="J99" s="390"/>
      <c r="K99" s="390"/>
      <c r="L99" s="390"/>
      <c r="M99" s="390"/>
      <c r="N99" s="390"/>
      <c r="O99" s="390"/>
      <c r="P99" s="390"/>
      <c r="Q99" s="390"/>
      <c r="R99" s="390"/>
      <c r="S99" s="390"/>
      <c r="T99" s="390"/>
      <c r="U99" s="390"/>
      <c r="V99" s="383"/>
      <c r="W99" s="383"/>
      <c r="X99" s="383"/>
      <c r="Y99" s="383"/>
    </row>
    <row r="100">
      <c r="A100" s="382"/>
      <c r="B100" s="382"/>
      <c r="C100" s="382"/>
      <c r="D100" s="382"/>
      <c r="E100" s="404"/>
      <c r="F100" s="382"/>
      <c r="G100" s="382"/>
      <c r="H100" s="382"/>
      <c r="I100" s="382"/>
      <c r="J100" s="382"/>
      <c r="K100" s="382"/>
      <c r="L100" s="382"/>
      <c r="M100" s="382"/>
      <c r="N100" s="382"/>
      <c r="O100" s="382"/>
      <c r="P100" s="382"/>
      <c r="Q100" s="382"/>
      <c r="R100" s="382"/>
      <c r="S100" s="382"/>
      <c r="T100" s="382"/>
      <c r="U100" s="382"/>
      <c r="V100" s="383"/>
      <c r="W100" s="383"/>
      <c r="X100" s="383"/>
      <c r="Y100" s="383"/>
    </row>
    <row r="101">
      <c r="A101" s="382"/>
      <c r="B101" s="382"/>
      <c r="C101" s="382"/>
      <c r="D101" s="382"/>
      <c r="E101" s="404"/>
      <c r="F101" s="382"/>
      <c r="G101" s="382"/>
      <c r="H101" s="382"/>
      <c r="I101" s="382"/>
      <c r="J101" s="382"/>
      <c r="K101" s="382"/>
      <c r="L101" s="382"/>
      <c r="M101" s="382"/>
      <c r="N101" s="382"/>
      <c r="O101" s="382"/>
      <c r="P101" s="382"/>
      <c r="Q101" s="382"/>
      <c r="R101" s="382"/>
      <c r="S101" s="382"/>
      <c r="T101" s="382"/>
      <c r="U101" s="382"/>
      <c r="V101" s="383"/>
      <c r="W101" s="383"/>
      <c r="X101" s="383"/>
      <c r="Y101" s="383"/>
    </row>
    <row r="102">
      <c r="A102" s="382"/>
      <c r="B102" s="382"/>
      <c r="C102" s="382"/>
      <c r="D102" s="382"/>
      <c r="E102" s="404"/>
      <c r="F102" s="382"/>
      <c r="G102" s="382"/>
      <c r="H102" s="382"/>
      <c r="I102" s="382"/>
      <c r="J102" s="382"/>
      <c r="K102" s="382"/>
      <c r="L102" s="382"/>
      <c r="M102" s="382"/>
      <c r="N102" s="382"/>
      <c r="O102" s="382"/>
      <c r="P102" s="382"/>
      <c r="Q102" s="382"/>
      <c r="R102" s="382"/>
      <c r="S102" s="382"/>
      <c r="T102" s="382"/>
      <c r="U102" s="382"/>
      <c r="V102" s="383"/>
      <c r="W102" s="383"/>
      <c r="X102" s="383"/>
      <c r="Y102" s="383"/>
    </row>
    <row r="103">
      <c r="A103" s="382"/>
      <c r="B103" s="382"/>
      <c r="C103" s="382"/>
      <c r="D103" s="382"/>
      <c r="E103" s="404"/>
      <c r="F103" s="382"/>
      <c r="G103" s="382"/>
      <c r="H103" s="382"/>
      <c r="I103" s="382"/>
      <c r="J103" s="382"/>
      <c r="K103" s="382"/>
      <c r="L103" s="382"/>
      <c r="M103" s="382"/>
      <c r="N103" s="382"/>
      <c r="O103" s="382"/>
      <c r="P103" s="382"/>
      <c r="Q103" s="382"/>
      <c r="R103" s="382"/>
      <c r="S103" s="382"/>
      <c r="T103" s="382"/>
      <c r="U103" s="382"/>
      <c r="V103" s="383"/>
      <c r="W103" s="383"/>
      <c r="X103" s="383"/>
      <c r="Y103" s="383"/>
    </row>
    <row r="104">
      <c r="A104" s="382"/>
      <c r="B104" s="382"/>
      <c r="C104" s="382"/>
      <c r="D104" s="382"/>
      <c r="E104" s="404"/>
      <c r="F104" s="382"/>
      <c r="G104" s="382"/>
      <c r="H104" s="382"/>
      <c r="I104" s="382"/>
      <c r="J104" s="382"/>
      <c r="K104" s="382"/>
      <c r="L104" s="382"/>
      <c r="M104" s="382"/>
      <c r="N104" s="382"/>
      <c r="O104" s="382"/>
      <c r="P104" s="382"/>
      <c r="Q104" s="382"/>
      <c r="R104" s="382"/>
      <c r="S104" s="382"/>
      <c r="T104" s="382"/>
      <c r="U104" s="382"/>
      <c r="V104" s="383"/>
      <c r="W104" s="383"/>
      <c r="X104" s="383"/>
      <c r="Y104" s="383"/>
    </row>
    <row r="105">
      <c r="A105" s="382"/>
      <c r="B105" s="382"/>
      <c r="C105" s="382"/>
      <c r="D105" s="382"/>
      <c r="E105" s="404"/>
      <c r="F105" s="382"/>
      <c r="G105" s="382"/>
      <c r="H105" s="382"/>
      <c r="I105" s="382"/>
      <c r="J105" s="382"/>
      <c r="K105" s="382"/>
      <c r="L105" s="382"/>
      <c r="M105" s="382"/>
      <c r="N105" s="382"/>
      <c r="O105" s="382"/>
      <c r="P105" s="382"/>
      <c r="Q105" s="382"/>
      <c r="R105" s="382"/>
      <c r="S105" s="382"/>
      <c r="T105" s="382"/>
      <c r="U105" s="382"/>
      <c r="V105" s="383"/>
      <c r="W105" s="383"/>
      <c r="X105" s="383"/>
      <c r="Y105" s="383"/>
    </row>
    <row r="106">
      <c r="A106" s="382"/>
      <c r="B106" s="382"/>
      <c r="C106" s="382"/>
      <c r="D106" s="382"/>
      <c r="E106" s="404"/>
      <c r="F106" s="382"/>
      <c r="G106" s="382"/>
      <c r="H106" s="382"/>
      <c r="I106" s="382"/>
      <c r="J106" s="382"/>
      <c r="K106" s="382"/>
      <c r="L106" s="382"/>
      <c r="M106" s="382"/>
      <c r="N106" s="382"/>
      <c r="O106" s="382"/>
      <c r="P106" s="382"/>
      <c r="Q106" s="382"/>
      <c r="R106" s="382"/>
      <c r="S106" s="382"/>
      <c r="T106" s="382"/>
      <c r="U106" s="382"/>
      <c r="V106" s="383"/>
      <c r="W106" s="383"/>
      <c r="X106" s="383"/>
      <c r="Y106" s="383"/>
    </row>
    <row r="107">
      <c r="A107" s="382"/>
      <c r="B107" s="382"/>
      <c r="C107" s="382"/>
      <c r="D107" s="382"/>
      <c r="E107" s="404"/>
      <c r="F107" s="382"/>
      <c r="G107" s="382"/>
      <c r="H107" s="382"/>
      <c r="I107" s="382"/>
      <c r="J107" s="382"/>
      <c r="K107" s="382"/>
      <c r="L107" s="382"/>
      <c r="M107" s="382"/>
      <c r="N107" s="382"/>
      <c r="O107" s="382"/>
      <c r="P107" s="382"/>
      <c r="Q107" s="382"/>
      <c r="R107" s="382"/>
      <c r="S107" s="382"/>
      <c r="T107" s="382"/>
      <c r="U107" s="382"/>
      <c r="V107" s="383"/>
      <c r="W107" s="383"/>
      <c r="X107" s="383"/>
      <c r="Y107" s="383"/>
    </row>
    <row r="108">
      <c r="A108" s="382"/>
      <c r="B108" s="382"/>
      <c r="C108" s="382"/>
      <c r="D108" s="382"/>
      <c r="E108" s="404"/>
      <c r="F108" s="382"/>
      <c r="G108" s="382"/>
      <c r="H108" s="382"/>
      <c r="I108" s="382"/>
      <c r="J108" s="382"/>
      <c r="K108" s="382"/>
      <c r="L108" s="382"/>
      <c r="M108" s="382"/>
      <c r="N108" s="382"/>
      <c r="O108" s="382"/>
      <c r="P108" s="382"/>
      <c r="Q108" s="382"/>
      <c r="R108" s="382"/>
      <c r="S108" s="382"/>
      <c r="T108" s="382"/>
      <c r="U108" s="382"/>
      <c r="V108" s="383"/>
      <c r="W108" s="383"/>
      <c r="X108" s="383"/>
      <c r="Y108" s="383"/>
    </row>
    <row r="109">
      <c r="A109" s="382"/>
      <c r="B109" s="382"/>
      <c r="C109" s="382"/>
      <c r="D109" s="382"/>
      <c r="E109" s="404"/>
      <c r="F109" s="382"/>
      <c r="G109" s="382"/>
      <c r="H109" s="382"/>
      <c r="I109" s="382"/>
      <c r="J109" s="382"/>
      <c r="K109" s="382"/>
      <c r="L109" s="382"/>
      <c r="M109" s="382"/>
      <c r="N109" s="382"/>
      <c r="O109" s="382"/>
      <c r="P109" s="382"/>
      <c r="Q109" s="382"/>
      <c r="R109" s="382"/>
      <c r="S109" s="382"/>
      <c r="T109" s="382"/>
      <c r="U109" s="382"/>
      <c r="V109" s="383"/>
      <c r="W109" s="383"/>
      <c r="X109" s="383"/>
      <c r="Y109" s="383"/>
    </row>
    <row r="110">
      <c r="A110" s="382"/>
      <c r="B110" s="382"/>
      <c r="C110" s="382"/>
      <c r="D110" s="382"/>
      <c r="E110" s="404"/>
      <c r="F110" s="382"/>
      <c r="G110" s="382"/>
      <c r="H110" s="382"/>
      <c r="I110" s="382"/>
      <c r="J110" s="382"/>
      <c r="K110" s="382"/>
      <c r="L110" s="382"/>
      <c r="M110" s="382"/>
      <c r="N110" s="382"/>
      <c r="O110" s="382"/>
      <c r="P110" s="382"/>
      <c r="Q110" s="382"/>
      <c r="R110" s="382"/>
      <c r="S110" s="382"/>
      <c r="T110" s="382"/>
      <c r="U110" s="382"/>
      <c r="V110" s="383"/>
      <c r="W110" s="383"/>
      <c r="X110" s="383"/>
      <c r="Y110" s="383"/>
    </row>
    <row r="111">
      <c r="A111" s="382"/>
      <c r="B111" s="382"/>
      <c r="C111" s="382"/>
      <c r="D111" s="382"/>
      <c r="E111" s="404"/>
      <c r="F111" s="382"/>
      <c r="G111" s="382"/>
      <c r="H111" s="382"/>
      <c r="I111" s="382"/>
      <c r="J111" s="382"/>
      <c r="K111" s="382"/>
      <c r="L111" s="382"/>
      <c r="M111" s="382"/>
      <c r="N111" s="382"/>
      <c r="O111" s="382"/>
      <c r="P111" s="382"/>
      <c r="Q111" s="382"/>
      <c r="R111" s="382"/>
      <c r="S111" s="382"/>
      <c r="T111" s="382"/>
      <c r="U111" s="382"/>
      <c r="V111" s="383"/>
      <c r="W111" s="383"/>
      <c r="X111" s="383"/>
      <c r="Y111" s="383"/>
    </row>
    <row r="112">
      <c r="A112" s="382"/>
      <c r="B112" s="382"/>
      <c r="C112" s="382"/>
      <c r="D112" s="382"/>
      <c r="E112" s="404"/>
      <c r="F112" s="382"/>
      <c r="G112" s="382"/>
      <c r="H112" s="382"/>
      <c r="I112" s="382"/>
      <c r="J112" s="382"/>
      <c r="K112" s="382"/>
      <c r="L112" s="382"/>
      <c r="M112" s="382"/>
      <c r="N112" s="382"/>
      <c r="O112" s="382"/>
      <c r="P112" s="382"/>
      <c r="Q112" s="382"/>
      <c r="R112" s="382"/>
      <c r="S112" s="382"/>
      <c r="T112" s="382"/>
      <c r="U112" s="382"/>
      <c r="V112" s="383"/>
      <c r="W112" s="383"/>
      <c r="X112" s="383"/>
      <c r="Y112" s="383"/>
    </row>
    <row r="113">
      <c r="A113" s="382"/>
      <c r="B113" s="382"/>
      <c r="C113" s="382"/>
      <c r="D113" s="382"/>
      <c r="E113" s="404"/>
      <c r="F113" s="382"/>
      <c r="G113" s="382"/>
      <c r="H113" s="382"/>
      <c r="I113" s="382"/>
      <c r="J113" s="382"/>
      <c r="K113" s="382"/>
      <c r="L113" s="382"/>
      <c r="M113" s="382"/>
      <c r="N113" s="382"/>
      <c r="O113" s="382"/>
      <c r="P113" s="382"/>
      <c r="Q113" s="382"/>
      <c r="R113" s="382"/>
      <c r="S113" s="382"/>
      <c r="T113" s="382"/>
      <c r="U113" s="382"/>
      <c r="V113" s="383"/>
      <c r="W113" s="383"/>
      <c r="X113" s="383"/>
      <c r="Y113" s="383"/>
    </row>
    <row r="114">
      <c r="A114" s="382"/>
      <c r="B114" s="382"/>
      <c r="C114" s="382"/>
      <c r="D114" s="382"/>
      <c r="E114" s="404"/>
      <c r="F114" s="382"/>
      <c r="G114" s="382"/>
      <c r="H114" s="382"/>
      <c r="I114" s="382"/>
      <c r="J114" s="382"/>
      <c r="K114" s="382"/>
      <c r="L114" s="382"/>
      <c r="M114" s="382"/>
      <c r="N114" s="382"/>
      <c r="O114" s="382"/>
      <c r="P114" s="382"/>
      <c r="Q114" s="382"/>
      <c r="R114" s="382"/>
      <c r="S114" s="382"/>
      <c r="T114" s="382"/>
      <c r="U114" s="382"/>
      <c r="V114" s="383"/>
      <c r="W114" s="383"/>
      <c r="X114" s="383"/>
      <c r="Y114" s="383"/>
    </row>
    <row r="115">
      <c r="A115" s="382"/>
      <c r="B115" s="382"/>
      <c r="C115" s="382"/>
      <c r="D115" s="382"/>
      <c r="E115" s="404"/>
      <c r="F115" s="382"/>
      <c r="G115" s="382"/>
      <c r="H115" s="382"/>
      <c r="I115" s="382"/>
      <c r="J115" s="382"/>
      <c r="K115" s="382"/>
      <c r="L115" s="382"/>
      <c r="M115" s="382"/>
      <c r="N115" s="382"/>
      <c r="O115" s="382"/>
      <c r="P115" s="382"/>
      <c r="Q115" s="382"/>
      <c r="R115" s="382"/>
      <c r="S115" s="382"/>
      <c r="T115" s="382"/>
      <c r="U115" s="382"/>
      <c r="V115" s="383"/>
      <c r="W115" s="383"/>
      <c r="X115" s="383"/>
      <c r="Y115" s="383"/>
    </row>
    <row r="116">
      <c r="A116" s="382"/>
      <c r="B116" s="382"/>
      <c r="C116" s="382"/>
      <c r="D116" s="382"/>
      <c r="E116" s="404"/>
      <c r="F116" s="382"/>
      <c r="G116" s="382"/>
      <c r="H116" s="382"/>
      <c r="I116" s="382"/>
      <c r="J116" s="382"/>
      <c r="K116" s="382"/>
      <c r="L116" s="382"/>
      <c r="M116" s="382"/>
      <c r="N116" s="382"/>
      <c r="O116" s="382"/>
      <c r="P116" s="382"/>
      <c r="Q116" s="382"/>
      <c r="R116" s="382"/>
      <c r="S116" s="382"/>
      <c r="T116" s="382"/>
      <c r="U116" s="382"/>
      <c r="V116" s="383"/>
      <c r="W116" s="383"/>
      <c r="X116" s="383"/>
      <c r="Y116" s="383"/>
    </row>
    <row r="117">
      <c r="A117" s="382"/>
      <c r="B117" s="382"/>
      <c r="C117" s="382"/>
      <c r="D117" s="382"/>
      <c r="E117" s="404"/>
      <c r="F117" s="382"/>
      <c r="G117" s="382"/>
      <c r="H117" s="382"/>
      <c r="I117" s="382"/>
      <c r="J117" s="382"/>
      <c r="K117" s="382"/>
      <c r="L117" s="382"/>
      <c r="M117" s="382"/>
      <c r="N117" s="382"/>
      <c r="O117" s="382"/>
      <c r="P117" s="382"/>
      <c r="Q117" s="382"/>
      <c r="R117" s="382"/>
      <c r="S117" s="382"/>
      <c r="T117" s="382"/>
      <c r="U117" s="382"/>
      <c r="V117" s="383"/>
      <c r="W117" s="383"/>
      <c r="X117" s="383"/>
      <c r="Y117" s="383"/>
    </row>
    <row r="118">
      <c r="A118" s="382"/>
      <c r="B118" s="382"/>
      <c r="C118" s="382"/>
      <c r="D118" s="382"/>
      <c r="E118" s="404"/>
      <c r="F118" s="382"/>
      <c r="G118" s="382"/>
      <c r="H118" s="382"/>
      <c r="I118" s="382"/>
      <c r="J118" s="382"/>
      <c r="K118" s="382"/>
      <c r="L118" s="382"/>
      <c r="M118" s="382"/>
      <c r="N118" s="382"/>
      <c r="O118" s="382"/>
      <c r="P118" s="382"/>
      <c r="Q118" s="382"/>
      <c r="R118" s="382"/>
      <c r="S118" s="382"/>
      <c r="T118" s="382"/>
      <c r="U118" s="382"/>
      <c r="V118" s="383"/>
      <c r="W118" s="383"/>
      <c r="X118" s="383"/>
      <c r="Y118" s="383"/>
    </row>
    <row r="119">
      <c r="A119" s="382"/>
      <c r="B119" s="382"/>
      <c r="C119" s="382"/>
      <c r="D119" s="382"/>
      <c r="E119" s="404"/>
      <c r="F119" s="382"/>
      <c r="G119" s="382"/>
      <c r="H119" s="382"/>
      <c r="I119" s="382"/>
      <c r="J119" s="382"/>
      <c r="K119" s="382"/>
      <c r="L119" s="382"/>
      <c r="M119" s="382"/>
      <c r="N119" s="382"/>
      <c r="O119" s="382"/>
      <c r="P119" s="382"/>
      <c r="Q119" s="382"/>
      <c r="R119" s="382"/>
      <c r="S119" s="382"/>
      <c r="T119" s="382"/>
      <c r="U119" s="382"/>
      <c r="V119" s="383"/>
      <c r="W119" s="383"/>
      <c r="X119" s="383"/>
      <c r="Y119" s="383"/>
    </row>
    <row r="120">
      <c r="A120" s="382"/>
      <c r="B120" s="382"/>
      <c r="C120" s="382"/>
      <c r="D120" s="382"/>
      <c r="E120" s="404"/>
      <c r="F120" s="382"/>
      <c r="G120" s="382"/>
      <c r="H120" s="382"/>
      <c r="I120" s="382"/>
      <c r="J120" s="382"/>
      <c r="K120" s="382"/>
      <c r="L120" s="382"/>
      <c r="M120" s="382"/>
      <c r="N120" s="382"/>
      <c r="O120" s="382"/>
      <c r="P120" s="382"/>
      <c r="Q120" s="382"/>
      <c r="R120" s="382"/>
      <c r="S120" s="382"/>
      <c r="T120" s="382"/>
      <c r="U120" s="382"/>
      <c r="V120" s="383"/>
      <c r="W120" s="383"/>
      <c r="X120" s="383"/>
      <c r="Y120" s="383"/>
    </row>
    <row r="121">
      <c r="A121" s="382"/>
      <c r="B121" s="382"/>
      <c r="C121" s="382"/>
      <c r="D121" s="382"/>
      <c r="E121" s="404"/>
      <c r="F121" s="382"/>
      <c r="G121" s="382"/>
      <c r="H121" s="382"/>
      <c r="I121" s="382"/>
      <c r="J121" s="382"/>
      <c r="K121" s="382"/>
      <c r="L121" s="382"/>
      <c r="M121" s="382"/>
      <c r="N121" s="382"/>
      <c r="O121" s="382"/>
      <c r="P121" s="382"/>
      <c r="Q121" s="382"/>
      <c r="R121" s="382"/>
      <c r="S121" s="382"/>
      <c r="T121" s="382"/>
      <c r="U121" s="382"/>
      <c r="V121" s="383"/>
      <c r="W121" s="383"/>
      <c r="X121" s="383"/>
      <c r="Y121" s="383"/>
    </row>
    <row r="122">
      <c r="A122" s="382"/>
      <c r="B122" s="382"/>
      <c r="C122" s="382"/>
      <c r="D122" s="382"/>
      <c r="E122" s="404"/>
      <c r="F122" s="382"/>
      <c r="G122" s="382"/>
      <c r="H122" s="382"/>
      <c r="I122" s="382"/>
      <c r="J122" s="382"/>
      <c r="K122" s="382"/>
      <c r="L122" s="382"/>
      <c r="M122" s="382"/>
      <c r="N122" s="382"/>
      <c r="O122" s="382"/>
      <c r="P122" s="382"/>
      <c r="Q122" s="382"/>
      <c r="R122" s="382"/>
      <c r="S122" s="382"/>
      <c r="T122" s="382"/>
      <c r="U122" s="382"/>
      <c r="V122" s="383"/>
      <c r="W122" s="383"/>
      <c r="X122" s="383"/>
      <c r="Y122" s="383"/>
    </row>
    <row r="123">
      <c r="A123" s="382"/>
      <c r="B123" s="382"/>
      <c r="C123" s="382"/>
      <c r="D123" s="382"/>
      <c r="E123" s="404"/>
      <c r="F123" s="382"/>
      <c r="G123" s="382"/>
      <c r="H123" s="382"/>
      <c r="I123" s="382"/>
      <c r="J123" s="382"/>
      <c r="K123" s="382"/>
      <c r="L123" s="382"/>
      <c r="M123" s="382"/>
      <c r="N123" s="382"/>
      <c r="O123" s="382"/>
      <c r="P123" s="382"/>
      <c r="Q123" s="382"/>
      <c r="R123" s="382"/>
      <c r="S123" s="382"/>
      <c r="T123" s="382"/>
      <c r="U123" s="382"/>
      <c r="V123" s="383"/>
      <c r="W123" s="383"/>
      <c r="X123" s="383"/>
      <c r="Y123" s="383"/>
    </row>
    <row r="124">
      <c r="A124" s="382"/>
      <c r="B124" s="382"/>
      <c r="C124" s="382"/>
      <c r="D124" s="382"/>
      <c r="E124" s="404"/>
      <c r="F124" s="382"/>
      <c r="G124" s="382"/>
      <c r="H124" s="382"/>
      <c r="I124" s="382"/>
      <c r="J124" s="382"/>
      <c r="K124" s="382"/>
      <c r="L124" s="382"/>
      <c r="M124" s="382"/>
      <c r="N124" s="382"/>
      <c r="O124" s="382"/>
      <c r="P124" s="382"/>
      <c r="Q124" s="382"/>
      <c r="R124" s="382"/>
      <c r="S124" s="382"/>
      <c r="T124" s="382"/>
      <c r="U124" s="382"/>
      <c r="V124" s="383"/>
      <c r="W124" s="383"/>
      <c r="X124" s="383"/>
      <c r="Y124" s="383"/>
    </row>
    <row r="125">
      <c r="A125" s="390"/>
      <c r="B125" s="390"/>
      <c r="C125" s="390"/>
      <c r="D125" s="390"/>
      <c r="E125" s="390"/>
      <c r="F125" s="390"/>
      <c r="G125" s="390"/>
      <c r="H125" s="390"/>
      <c r="I125" s="390"/>
      <c r="J125" s="390"/>
      <c r="K125" s="390"/>
      <c r="L125" s="390"/>
      <c r="M125" s="390"/>
      <c r="N125" s="390"/>
      <c r="O125" s="390"/>
      <c r="P125" s="390"/>
      <c r="Q125" s="390"/>
      <c r="R125" s="390"/>
      <c r="S125" s="390"/>
      <c r="T125" s="390"/>
      <c r="U125" s="390"/>
      <c r="V125" s="383"/>
      <c r="W125" s="383"/>
      <c r="X125" s="383"/>
      <c r="Y125" s="383"/>
    </row>
    <row r="126">
      <c r="A126" s="382"/>
      <c r="B126" s="382"/>
      <c r="C126" s="382"/>
      <c r="D126" s="382"/>
      <c r="E126" s="382"/>
      <c r="F126" s="382"/>
      <c r="G126" s="382"/>
      <c r="H126" s="382"/>
      <c r="I126" s="382"/>
      <c r="J126" s="382"/>
      <c r="K126" s="382"/>
      <c r="L126" s="382"/>
      <c r="M126" s="382"/>
      <c r="N126" s="382"/>
      <c r="O126" s="382"/>
      <c r="P126" s="382"/>
      <c r="Q126" s="382"/>
      <c r="R126" s="382"/>
      <c r="S126" s="382"/>
      <c r="T126" s="382"/>
      <c r="U126" s="382"/>
      <c r="V126" s="383"/>
      <c r="W126" s="383"/>
      <c r="X126" s="383"/>
      <c r="Y126" s="383"/>
    </row>
    <row r="127">
      <c r="A127" s="382"/>
      <c r="B127" s="382"/>
      <c r="C127" s="382"/>
      <c r="D127" s="382"/>
      <c r="E127" s="382"/>
      <c r="F127" s="382"/>
      <c r="G127" s="382"/>
      <c r="H127" s="382"/>
      <c r="I127" s="382"/>
      <c r="J127" s="382"/>
      <c r="K127" s="382"/>
      <c r="L127" s="382"/>
      <c r="M127" s="382"/>
      <c r="N127" s="382"/>
      <c r="O127" s="382"/>
      <c r="P127" s="382"/>
      <c r="Q127" s="382"/>
      <c r="R127" s="382"/>
      <c r="S127" s="382"/>
      <c r="T127" s="382"/>
      <c r="U127" s="382"/>
      <c r="V127" s="383"/>
      <c r="W127" s="383"/>
      <c r="X127" s="383"/>
      <c r="Y127" s="383"/>
    </row>
    <row r="128">
      <c r="A128" s="382"/>
      <c r="B128" s="382"/>
      <c r="C128" s="382"/>
      <c r="D128" s="382"/>
      <c r="E128" s="382"/>
      <c r="F128" s="382"/>
      <c r="G128" s="382"/>
      <c r="H128" s="382"/>
      <c r="I128" s="382"/>
      <c r="J128" s="382"/>
      <c r="K128" s="382"/>
      <c r="L128" s="382"/>
      <c r="M128" s="382"/>
      <c r="N128" s="382"/>
      <c r="O128" s="382"/>
      <c r="P128" s="382"/>
      <c r="Q128" s="382"/>
      <c r="R128" s="382"/>
      <c r="S128" s="382"/>
      <c r="T128" s="382"/>
      <c r="U128" s="382"/>
      <c r="V128" s="383"/>
      <c r="W128" s="383"/>
      <c r="X128" s="383"/>
      <c r="Y128" s="383"/>
    </row>
    <row r="129">
      <c r="A129" s="382"/>
      <c r="B129" s="382"/>
      <c r="C129" s="382"/>
      <c r="D129" s="382"/>
      <c r="E129" s="382"/>
      <c r="F129" s="382"/>
      <c r="G129" s="382"/>
      <c r="H129" s="382"/>
      <c r="I129" s="382"/>
      <c r="J129" s="382"/>
      <c r="K129" s="382"/>
      <c r="L129" s="382"/>
      <c r="M129" s="382"/>
      <c r="N129" s="382"/>
      <c r="O129" s="382"/>
      <c r="P129" s="382"/>
      <c r="Q129" s="382"/>
      <c r="R129" s="382"/>
      <c r="S129" s="382"/>
      <c r="T129" s="382"/>
      <c r="U129" s="382"/>
      <c r="V129" s="383"/>
      <c r="W129" s="383"/>
      <c r="X129" s="383"/>
      <c r="Y129" s="383"/>
    </row>
    <row r="130">
      <c r="A130" s="382"/>
      <c r="B130" s="382"/>
      <c r="C130" s="382"/>
      <c r="D130" s="382"/>
      <c r="E130" s="382"/>
      <c r="F130" s="382"/>
      <c r="G130" s="382"/>
      <c r="H130" s="382"/>
      <c r="I130" s="382"/>
      <c r="J130" s="382"/>
      <c r="K130" s="382"/>
      <c r="L130" s="382"/>
      <c r="M130" s="382"/>
      <c r="N130" s="382"/>
      <c r="O130" s="382"/>
      <c r="P130" s="382"/>
      <c r="Q130" s="382"/>
      <c r="R130" s="382"/>
      <c r="S130" s="382"/>
      <c r="T130" s="382"/>
      <c r="U130" s="382"/>
      <c r="V130" s="383"/>
      <c r="W130" s="383"/>
      <c r="X130" s="383"/>
      <c r="Y130" s="383"/>
    </row>
    <row r="131">
      <c r="A131" s="382"/>
      <c r="B131" s="382"/>
      <c r="C131" s="382"/>
      <c r="D131" s="382"/>
      <c r="E131" s="382"/>
      <c r="F131" s="382"/>
      <c r="G131" s="382"/>
      <c r="H131" s="382"/>
      <c r="I131" s="382"/>
      <c r="J131" s="382"/>
      <c r="K131" s="382"/>
      <c r="L131" s="382"/>
      <c r="M131" s="382"/>
      <c r="N131" s="382"/>
      <c r="O131" s="382"/>
      <c r="P131" s="382"/>
      <c r="Q131" s="382"/>
      <c r="R131" s="382"/>
      <c r="S131" s="382"/>
      <c r="T131" s="382"/>
      <c r="U131" s="382"/>
      <c r="V131" s="383"/>
      <c r="W131" s="383"/>
      <c r="X131" s="383"/>
      <c r="Y131" s="383"/>
    </row>
    <row r="132">
      <c r="A132" s="382"/>
      <c r="B132" s="382"/>
      <c r="C132" s="382"/>
      <c r="D132" s="382"/>
      <c r="E132" s="382"/>
      <c r="F132" s="382"/>
      <c r="G132" s="382"/>
      <c r="H132" s="382"/>
      <c r="I132" s="382"/>
      <c r="J132" s="382"/>
      <c r="K132" s="382"/>
      <c r="L132" s="382"/>
      <c r="M132" s="382"/>
      <c r="N132" s="382"/>
      <c r="O132" s="382"/>
      <c r="P132" s="382"/>
      <c r="Q132" s="382"/>
      <c r="R132" s="382"/>
      <c r="S132" s="382"/>
      <c r="T132" s="382"/>
      <c r="U132" s="382"/>
      <c r="V132" s="383"/>
      <c r="W132" s="383"/>
      <c r="X132" s="383"/>
      <c r="Y132" s="383"/>
    </row>
    <row r="133">
      <c r="A133" s="382"/>
      <c r="B133" s="382"/>
      <c r="C133" s="382"/>
      <c r="D133" s="382"/>
      <c r="E133" s="382"/>
      <c r="F133" s="382"/>
      <c r="G133" s="382"/>
      <c r="H133" s="382"/>
      <c r="I133" s="382"/>
      <c r="J133" s="382"/>
      <c r="K133" s="382"/>
      <c r="L133" s="382"/>
      <c r="M133" s="382"/>
      <c r="N133" s="382"/>
      <c r="O133" s="382"/>
      <c r="P133" s="382"/>
      <c r="Q133" s="382"/>
      <c r="R133" s="382"/>
      <c r="S133" s="382"/>
      <c r="T133" s="382"/>
      <c r="U133" s="382"/>
      <c r="V133" s="383"/>
      <c r="W133" s="383"/>
      <c r="X133" s="383"/>
      <c r="Y133" s="383"/>
    </row>
    <row r="134">
      <c r="A134" s="382"/>
      <c r="B134" s="382"/>
      <c r="C134" s="382"/>
      <c r="D134" s="382"/>
      <c r="E134" s="382"/>
      <c r="F134" s="382"/>
      <c r="G134" s="382"/>
      <c r="H134" s="382"/>
      <c r="I134" s="382"/>
      <c r="J134" s="382"/>
      <c r="K134" s="382"/>
      <c r="L134" s="382"/>
      <c r="M134" s="382"/>
      <c r="N134" s="382"/>
      <c r="O134" s="382"/>
      <c r="P134" s="382"/>
      <c r="Q134" s="382"/>
      <c r="R134" s="382"/>
      <c r="S134" s="382"/>
      <c r="T134" s="382"/>
      <c r="U134" s="382"/>
      <c r="V134" s="383"/>
      <c r="W134" s="383"/>
      <c r="X134" s="383"/>
      <c r="Y134" s="383"/>
    </row>
    <row r="135">
      <c r="A135" s="382"/>
      <c r="B135" s="382"/>
      <c r="C135" s="382"/>
      <c r="D135" s="382"/>
      <c r="E135" s="382"/>
      <c r="F135" s="382"/>
      <c r="G135" s="382"/>
      <c r="H135" s="382"/>
      <c r="I135" s="382"/>
      <c r="J135" s="382"/>
      <c r="K135" s="382"/>
      <c r="L135" s="382"/>
      <c r="M135" s="382"/>
      <c r="N135" s="382"/>
      <c r="O135" s="382"/>
      <c r="P135" s="382"/>
      <c r="Q135" s="382"/>
      <c r="R135" s="382"/>
      <c r="S135" s="382"/>
      <c r="T135" s="382"/>
      <c r="U135" s="382"/>
      <c r="V135" s="383"/>
      <c r="W135" s="383"/>
      <c r="X135" s="383"/>
      <c r="Y135" s="383"/>
    </row>
    <row r="136">
      <c r="A136" s="382"/>
      <c r="B136" s="382"/>
      <c r="C136" s="382"/>
      <c r="D136" s="382"/>
      <c r="E136" s="382"/>
      <c r="F136" s="382"/>
      <c r="G136" s="382"/>
      <c r="H136" s="382"/>
      <c r="I136" s="382"/>
      <c r="J136" s="382"/>
      <c r="K136" s="382"/>
      <c r="L136" s="382"/>
      <c r="M136" s="382"/>
      <c r="N136" s="382"/>
      <c r="O136" s="382"/>
      <c r="P136" s="382"/>
      <c r="Q136" s="382"/>
      <c r="R136" s="382"/>
      <c r="S136" s="382"/>
      <c r="T136" s="382"/>
      <c r="U136" s="382"/>
      <c r="V136" s="383"/>
      <c r="W136" s="383"/>
      <c r="X136" s="383"/>
      <c r="Y136" s="383"/>
    </row>
    <row r="137">
      <c r="A137" s="382"/>
      <c r="B137" s="382"/>
      <c r="C137" s="382"/>
      <c r="D137" s="382"/>
      <c r="E137" s="382"/>
      <c r="F137" s="382"/>
      <c r="G137" s="382"/>
      <c r="H137" s="382"/>
      <c r="I137" s="382"/>
      <c r="J137" s="382"/>
      <c r="K137" s="382"/>
      <c r="L137" s="382"/>
      <c r="M137" s="382"/>
      <c r="N137" s="382"/>
      <c r="O137" s="382"/>
      <c r="P137" s="382"/>
      <c r="Q137" s="382"/>
      <c r="R137" s="382"/>
      <c r="S137" s="382"/>
      <c r="T137" s="382"/>
      <c r="U137" s="382"/>
      <c r="V137" s="383"/>
      <c r="W137" s="383"/>
      <c r="X137" s="383"/>
      <c r="Y137" s="383"/>
    </row>
    <row r="138">
      <c r="A138" s="382"/>
      <c r="B138" s="382"/>
      <c r="C138" s="382"/>
      <c r="D138" s="382"/>
      <c r="E138" s="382"/>
      <c r="F138" s="382"/>
      <c r="G138" s="382"/>
      <c r="H138" s="382"/>
      <c r="I138" s="382"/>
      <c r="J138" s="382"/>
      <c r="K138" s="382"/>
      <c r="L138" s="382"/>
      <c r="M138" s="382"/>
      <c r="N138" s="382"/>
      <c r="O138" s="382"/>
      <c r="P138" s="382"/>
      <c r="Q138" s="382"/>
      <c r="R138" s="382"/>
      <c r="S138" s="382"/>
      <c r="T138" s="382"/>
      <c r="U138" s="382"/>
      <c r="V138" s="383"/>
      <c r="W138" s="383"/>
      <c r="X138" s="383"/>
      <c r="Y138" s="383"/>
    </row>
    <row r="139">
      <c r="A139" s="382"/>
      <c r="B139" s="382"/>
      <c r="C139" s="382"/>
      <c r="D139" s="382"/>
      <c r="E139" s="382"/>
      <c r="F139" s="382"/>
      <c r="G139" s="382"/>
      <c r="H139" s="382"/>
      <c r="I139" s="382"/>
      <c r="J139" s="382"/>
      <c r="K139" s="382"/>
      <c r="L139" s="382"/>
      <c r="M139" s="382"/>
      <c r="N139" s="382"/>
      <c r="O139" s="382"/>
      <c r="P139" s="382"/>
      <c r="Q139" s="382"/>
      <c r="R139" s="382"/>
      <c r="S139" s="382"/>
      <c r="T139" s="382"/>
      <c r="U139" s="382"/>
      <c r="V139" s="383"/>
      <c r="W139" s="383"/>
      <c r="X139" s="383"/>
      <c r="Y139" s="383"/>
    </row>
    <row r="140">
      <c r="A140" s="382"/>
      <c r="B140" s="382"/>
      <c r="C140" s="382"/>
      <c r="D140" s="382"/>
      <c r="E140" s="382"/>
      <c r="F140" s="382"/>
      <c r="G140" s="382"/>
      <c r="H140" s="382"/>
      <c r="I140" s="382"/>
      <c r="J140" s="382"/>
      <c r="K140" s="382"/>
      <c r="L140" s="382"/>
      <c r="M140" s="382"/>
      <c r="N140" s="382"/>
      <c r="O140" s="382"/>
      <c r="P140" s="382"/>
      <c r="Q140" s="382"/>
      <c r="R140" s="382"/>
      <c r="S140" s="382"/>
      <c r="T140" s="382"/>
      <c r="U140" s="382"/>
      <c r="V140" s="383"/>
      <c r="W140" s="383"/>
      <c r="X140" s="383"/>
      <c r="Y140" s="383"/>
    </row>
    <row r="141">
      <c r="A141" s="382"/>
      <c r="B141" s="382"/>
      <c r="C141" s="382"/>
      <c r="D141" s="382"/>
      <c r="E141" s="382"/>
      <c r="F141" s="382"/>
      <c r="G141" s="382"/>
      <c r="H141" s="382"/>
      <c r="I141" s="382"/>
      <c r="J141" s="382"/>
      <c r="K141" s="382"/>
      <c r="L141" s="382"/>
      <c r="M141" s="382"/>
      <c r="N141" s="382"/>
      <c r="O141" s="382"/>
      <c r="P141" s="382"/>
      <c r="Q141" s="382"/>
      <c r="R141" s="382"/>
      <c r="S141" s="382"/>
      <c r="T141" s="382"/>
      <c r="U141" s="382"/>
      <c r="V141" s="383"/>
      <c r="W141" s="383"/>
      <c r="X141" s="383"/>
      <c r="Y141" s="383"/>
    </row>
    <row r="142">
      <c r="A142" s="382"/>
      <c r="B142" s="382"/>
      <c r="C142" s="382"/>
      <c r="D142" s="382"/>
      <c r="E142" s="382"/>
      <c r="F142" s="382"/>
      <c r="G142" s="382"/>
      <c r="H142" s="382"/>
      <c r="I142" s="382"/>
      <c r="J142" s="382"/>
      <c r="K142" s="382"/>
      <c r="L142" s="382"/>
      <c r="M142" s="382"/>
      <c r="N142" s="382"/>
      <c r="O142" s="382"/>
      <c r="P142" s="382"/>
      <c r="Q142" s="382"/>
      <c r="R142" s="382"/>
      <c r="S142" s="382"/>
      <c r="T142" s="382"/>
      <c r="U142" s="382"/>
      <c r="V142" s="383"/>
      <c r="W142" s="383"/>
      <c r="X142" s="383"/>
      <c r="Y142" s="383"/>
    </row>
    <row r="143">
      <c r="A143" s="382"/>
      <c r="B143" s="382"/>
      <c r="C143" s="382"/>
      <c r="D143" s="382"/>
      <c r="E143" s="382"/>
      <c r="F143" s="382"/>
      <c r="G143" s="382"/>
      <c r="H143" s="382"/>
      <c r="I143" s="382"/>
      <c r="J143" s="382"/>
      <c r="K143" s="382"/>
      <c r="L143" s="382"/>
      <c r="M143" s="382"/>
      <c r="N143" s="382"/>
      <c r="O143" s="382"/>
      <c r="P143" s="382"/>
      <c r="Q143" s="382"/>
      <c r="R143" s="382"/>
      <c r="S143" s="382"/>
      <c r="T143" s="382"/>
      <c r="U143" s="382"/>
      <c r="V143" s="383"/>
      <c r="W143" s="383"/>
      <c r="X143" s="383"/>
      <c r="Y143" s="383"/>
    </row>
    <row r="144">
      <c r="A144" s="382"/>
      <c r="B144" s="382"/>
      <c r="C144" s="382"/>
      <c r="D144" s="382"/>
      <c r="E144" s="382"/>
      <c r="F144" s="382"/>
      <c r="G144" s="382"/>
      <c r="H144" s="382"/>
      <c r="I144" s="382"/>
      <c r="J144" s="382"/>
      <c r="K144" s="382"/>
      <c r="L144" s="382"/>
      <c r="M144" s="382"/>
      <c r="N144" s="382"/>
      <c r="O144" s="382"/>
      <c r="P144" s="382"/>
      <c r="Q144" s="382"/>
      <c r="R144" s="382"/>
      <c r="S144" s="382"/>
      <c r="T144" s="382"/>
      <c r="U144" s="382"/>
      <c r="V144" s="383"/>
      <c r="W144" s="383"/>
      <c r="X144" s="383"/>
      <c r="Y144" s="383"/>
    </row>
    <row r="145">
      <c r="A145" s="382"/>
      <c r="B145" s="382"/>
      <c r="C145" s="382"/>
      <c r="D145" s="382"/>
      <c r="E145" s="382"/>
      <c r="F145" s="382"/>
      <c r="G145" s="382"/>
      <c r="H145" s="382"/>
      <c r="I145" s="382"/>
      <c r="J145" s="382"/>
      <c r="K145" s="382"/>
      <c r="L145" s="382"/>
      <c r="M145" s="382"/>
      <c r="N145" s="382"/>
      <c r="O145" s="382"/>
      <c r="P145" s="382"/>
      <c r="Q145" s="382"/>
      <c r="R145" s="382"/>
      <c r="S145" s="382"/>
      <c r="T145" s="382"/>
      <c r="U145" s="382"/>
      <c r="V145" s="383"/>
      <c r="W145" s="383"/>
      <c r="X145" s="383"/>
      <c r="Y145" s="383"/>
    </row>
    <row r="146">
      <c r="A146" s="382"/>
      <c r="B146" s="382"/>
      <c r="C146" s="382"/>
      <c r="D146" s="382"/>
      <c r="E146" s="382"/>
      <c r="F146" s="382"/>
      <c r="G146" s="382"/>
      <c r="H146" s="382"/>
      <c r="I146" s="382"/>
      <c r="J146" s="382"/>
      <c r="K146" s="382"/>
      <c r="L146" s="382"/>
      <c r="M146" s="382"/>
      <c r="N146" s="382"/>
      <c r="O146" s="382"/>
      <c r="P146" s="382"/>
      <c r="Q146" s="382"/>
      <c r="R146" s="382"/>
      <c r="S146" s="382"/>
      <c r="T146" s="382"/>
      <c r="U146" s="382"/>
      <c r="V146" s="383"/>
      <c r="W146" s="383"/>
      <c r="X146" s="383"/>
      <c r="Y146" s="383"/>
    </row>
    <row r="147">
      <c r="A147" s="382"/>
      <c r="B147" s="382"/>
      <c r="C147" s="382"/>
      <c r="D147" s="382"/>
      <c r="E147" s="382"/>
      <c r="F147" s="382"/>
      <c r="G147" s="382"/>
      <c r="H147" s="382"/>
      <c r="I147" s="382"/>
      <c r="J147" s="382"/>
      <c r="K147" s="382"/>
      <c r="L147" s="382"/>
      <c r="M147" s="382"/>
      <c r="N147" s="382"/>
      <c r="O147" s="382"/>
      <c r="P147" s="382"/>
      <c r="Q147" s="382"/>
      <c r="R147" s="382"/>
      <c r="S147" s="382"/>
      <c r="T147" s="382"/>
      <c r="U147" s="382"/>
      <c r="V147" s="383"/>
      <c r="W147" s="383"/>
      <c r="X147" s="383"/>
      <c r="Y147" s="383"/>
    </row>
    <row r="148">
      <c r="A148" s="382"/>
      <c r="B148" s="382"/>
      <c r="C148" s="382"/>
      <c r="D148" s="382"/>
      <c r="E148" s="382"/>
      <c r="F148" s="382"/>
      <c r="G148" s="382"/>
      <c r="H148" s="382"/>
      <c r="I148" s="382"/>
      <c r="J148" s="382"/>
      <c r="K148" s="382"/>
      <c r="L148" s="382"/>
      <c r="M148" s="382"/>
      <c r="N148" s="382"/>
      <c r="O148" s="382"/>
      <c r="P148" s="382"/>
      <c r="Q148" s="382"/>
      <c r="R148" s="382"/>
      <c r="S148" s="382"/>
      <c r="T148" s="382"/>
      <c r="U148" s="382"/>
      <c r="V148" s="383"/>
      <c r="W148" s="383"/>
      <c r="X148" s="383"/>
      <c r="Y148" s="383"/>
    </row>
    <row r="149">
      <c r="A149" s="382"/>
      <c r="B149" s="382"/>
      <c r="C149" s="382"/>
      <c r="D149" s="382"/>
      <c r="E149" s="382"/>
      <c r="F149" s="382"/>
      <c r="G149" s="382"/>
      <c r="H149" s="382"/>
      <c r="I149" s="382"/>
      <c r="J149" s="382"/>
      <c r="K149" s="382"/>
      <c r="L149" s="382"/>
      <c r="M149" s="382"/>
      <c r="N149" s="382"/>
      <c r="O149" s="382"/>
      <c r="P149" s="382"/>
      <c r="Q149" s="382"/>
      <c r="R149" s="382"/>
      <c r="S149" s="382"/>
      <c r="T149" s="382"/>
      <c r="U149" s="382"/>
      <c r="V149" s="383"/>
      <c r="W149" s="383"/>
      <c r="X149" s="383"/>
      <c r="Y149" s="383"/>
    </row>
    <row r="150">
      <c r="A150" s="382"/>
      <c r="B150" s="382"/>
      <c r="C150" s="382"/>
      <c r="D150" s="382"/>
      <c r="E150" s="382"/>
      <c r="F150" s="382"/>
      <c r="G150" s="382"/>
      <c r="H150" s="382"/>
      <c r="I150" s="382"/>
      <c r="J150" s="382"/>
      <c r="K150" s="382"/>
      <c r="L150" s="382"/>
      <c r="M150" s="382"/>
      <c r="N150" s="382"/>
      <c r="O150" s="382"/>
      <c r="P150" s="382"/>
      <c r="Q150" s="382"/>
      <c r="R150" s="382"/>
      <c r="S150" s="382"/>
      <c r="T150" s="382"/>
      <c r="U150" s="382"/>
      <c r="V150" s="383"/>
      <c r="W150" s="383"/>
      <c r="X150" s="383"/>
      <c r="Y150" s="383"/>
    </row>
    <row r="151">
      <c r="A151" s="382"/>
      <c r="B151" s="382"/>
      <c r="C151" s="382"/>
      <c r="D151" s="382"/>
      <c r="E151" s="382"/>
      <c r="F151" s="382"/>
      <c r="G151" s="382"/>
      <c r="H151" s="382"/>
      <c r="I151" s="382"/>
      <c r="J151" s="382"/>
      <c r="K151" s="382"/>
      <c r="L151" s="382"/>
      <c r="M151" s="382"/>
      <c r="N151" s="382"/>
      <c r="O151" s="382"/>
      <c r="P151" s="382"/>
      <c r="Q151" s="382"/>
      <c r="R151" s="382"/>
      <c r="S151" s="382"/>
      <c r="T151" s="382"/>
      <c r="U151" s="382"/>
      <c r="V151" s="383"/>
      <c r="W151" s="383"/>
      <c r="X151" s="383"/>
      <c r="Y151" s="383"/>
    </row>
    <row r="152">
      <c r="A152" s="382"/>
      <c r="B152" s="382"/>
      <c r="C152" s="382"/>
      <c r="D152" s="382"/>
      <c r="E152" s="382"/>
      <c r="F152" s="382"/>
      <c r="G152" s="382"/>
      <c r="H152" s="382"/>
      <c r="I152" s="382"/>
      <c r="J152" s="382"/>
      <c r="K152" s="382"/>
      <c r="L152" s="382"/>
      <c r="M152" s="382"/>
      <c r="N152" s="382"/>
      <c r="O152" s="382"/>
      <c r="P152" s="382"/>
      <c r="Q152" s="382"/>
      <c r="R152" s="382"/>
      <c r="S152" s="382"/>
      <c r="T152" s="382"/>
      <c r="U152" s="382"/>
      <c r="V152" s="383"/>
      <c r="W152" s="383"/>
      <c r="X152" s="383"/>
      <c r="Y152" s="383"/>
    </row>
    <row r="153">
      <c r="A153" s="382"/>
      <c r="B153" s="382"/>
      <c r="C153" s="382"/>
      <c r="D153" s="382"/>
      <c r="E153" s="382"/>
      <c r="F153" s="382"/>
      <c r="G153" s="382"/>
      <c r="H153" s="382"/>
      <c r="I153" s="382"/>
      <c r="J153" s="382"/>
      <c r="K153" s="382"/>
      <c r="L153" s="382"/>
      <c r="M153" s="382"/>
      <c r="N153" s="382"/>
      <c r="O153" s="382"/>
      <c r="P153" s="382"/>
      <c r="Q153" s="382"/>
      <c r="R153" s="382"/>
      <c r="S153" s="382"/>
      <c r="T153" s="382"/>
      <c r="U153" s="382"/>
      <c r="V153" s="383"/>
      <c r="W153" s="383"/>
      <c r="X153" s="383"/>
      <c r="Y153" s="383"/>
    </row>
    <row r="154">
      <c r="A154" s="382"/>
      <c r="B154" s="382"/>
      <c r="C154" s="382"/>
      <c r="D154" s="382"/>
      <c r="E154" s="382"/>
      <c r="F154" s="382"/>
      <c r="G154" s="382"/>
      <c r="H154" s="382"/>
      <c r="I154" s="382"/>
      <c r="J154" s="382"/>
      <c r="K154" s="382"/>
      <c r="L154" s="382"/>
      <c r="M154" s="382"/>
      <c r="N154" s="382"/>
      <c r="O154" s="382"/>
      <c r="P154" s="382"/>
      <c r="Q154" s="382"/>
      <c r="R154" s="382"/>
      <c r="S154" s="382"/>
      <c r="T154" s="382"/>
      <c r="U154" s="382"/>
      <c r="V154" s="383"/>
      <c r="W154" s="383"/>
      <c r="X154" s="383"/>
      <c r="Y154" s="383"/>
    </row>
    <row r="155">
      <c r="A155" s="382"/>
      <c r="B155" s="382"/>
      <c r="C155" s="382"/>
      <c r="D155" s="382"/>
      <c r="E155" s="382"/>
      <c r="F155" s="382"/>
      <c r="G155" s="382"/>
      <c r="H155" s="382"/>
      <c r="I155" s="382"/>
      <c r="J155" s="382"/>
      <c r="K155" s="382"/>
      <c r="L155" s="382"/>
      <c r="M155" s="382"/>
      <c r="N155" s="382"/>
      <c r="O155" s="382"/>
      <c r="P155" s="382"/>
      <c r="Q155" s="382"/>
      <c r="R155" s="382"/>
      <c r="S155" s="382"/>
      <c r="T155" s="382"/>
      <c r="U155" s="382"/>
      <c r="V155" s="383"/>
      <c r="W155" s="383"/>
      <c r="X155" s="383"/>
      <c r="Y155" s="383"/>
    </row>
    <row r="156">
      <c r="A156" s="382"/>
      <c r="B156" s="382"/>
      <c r="C156" s="382"/>
      <c r="D156" s="382"/>
      <c r="E156" s="382"/>
      <c r="F156" s="382"/>
      <c r="G156" s="382"/>
      <c r="H156" s="382"/>
      <c r="I156" s="382"/>
      <c r="J156" s="382"/>
      <c r="K156" s="382"/>
      <c r="L156" s="382"/>
      <c r="M156" s="382"/>
      <c r="N156" s="382"/>
      <c r="O156" s="382"/>
      <c r="P156" s="382"/>
      <c r="Q156" s="382"/>
      <c r="R156" s="382"/>
      <c r="S156" s="382"/>
      <c r="T156" s="382"/>
      <c r="U156" s="382"/>
      <c r="V156" s="383"/>
      <c r="W156" s="383"/>
      <c r="X156" s="383"/>
      <c r="Y156" s="383"/>
    </row>
    <row r="157">
      <c r="A157" s="382"/>
      <c r="B157" s="382"/>
      <c r="C157" s="382"/>
      <c r="D157" s="382"/>
      <c r="E157" s="382"/>
      <c r="F157" s="382"/>
      <c r="G157" s="382"/>
      <c r="H157" s="382"/>
      <c r="I157" s="382"/>
      <c r="J157" s="382"/>
      <c r="K157" s="382"/>
      <c r="L157" s="382"/>
      <c r="M157" s="382"/>
      <c r="N157" s="382"/>
      <c r="O157" s="382"/>
      <c r="P157" s="382"/>
      <c r="Q157" s="382"/>
      <c r="R157" s="382"/>
      <c r="S157" s="382"/>
      <c r="T157" s="382"/>
      <c r="U157" s="382"/>
      <c r="V157" s="383"/>
      <c r="W157" s="383"/>
      <c r="X157" s="383"/>
      <c r="Y157" s="383"/>
    </row>
    <row r="158">
      <c r="A158" s="382"/>
      <c r="B158" s="382"/>
      <c r="C158" s="382"/>
      <c r="D158" s="382"/>
      <c r="E158" s="382"/>
      <c r="F158" s="382"/>
      <c r="G158" s="382"/>
      <c r="H158" s="382"/>
      <c r="I158" s="382"/>
      <c r="J158" s="382"/>
      <c r="K158" s="382"/>
      <c r="L158" s="382"/>
      <c r="M158" s="382"/>
      <c r="N158" s="382"/>
      <c r="O158" s="382"/>
      <c r="P158" s="382"/>
      <c r="Q158" s="382"/>
      <c r="R158" s="382"/>
      <c r="S158" s="382"/>
      <c r="T158" s="382"/>
      <c r="U158" s="382"/>
      <c r="V158" s="383"/>
      <c r="W158" s="383"/>
      <c r="X158" s="383"/>
      <c r="Y158" s="383"/>
    </row>
    <row r="159">
      <c r="A159" s="382"/>
      <c r="B159" s="382"/>
      <c r="C159" s="382"/>
      <c r="D159" s="382"/>
      <c r="E159" s="382"/>
      <c r="F159" s="382"/>
      <c r="G159" s="382"/>
      <c r="H159" s="382"/>
      <c r="I159" s="382"/>
      <c r="J159" s="382"/>
      <c r="K159" s="382"/>
      <c r="L159" s="382"/>
      <c r="M159" s="382"/>
      <c r="N159" s="382"/>
      <c r="O159" s="382"/>
      <c r="P159" s="382"/>
      <c r="Q159" s="382"/>
      <c r="R159" s="382"/>
      <c r="S159" s="382"/>
      <c r="T159" s="382"/>
      <c r="U159" s="382"/>
      <c r="V159" s="383"/>
      <c r="W159" s="383"/>
      <c r="X159" s="383"/>
      <c r="Y159" s="383"/>
    </row>
    <row r="160">
      <c r="A160" s="382"/>
      <c r="B160" s="382"/>
      <c r="C160" s="382"/>
      <c r="D160" s="382"/>
      <c r="E160" s="382"/>
      <c r="F160" s="382"/>
      <c r="G160" s="382"/>
      <c r="H160" s="382"/>
      <c r="I160" s="382"/>
      <c r="J160" s="382"/>
      <c r="K160" s="382"/>
      <c r="L160" s="382"/>
      <c r="M160" s="382"/>
      <c r="N160" s="382"/>
      <c r="O160" s="382"/>
      <c r="P160" s="382"/>
      <c r="Q160" s="382"/>
      <c r="R160" s="382"/>
      <c r="S160" s="382"/>
      <c r="T160" s="382"/>
      <c r="U160" s="382"/>
      <c r="V160" s="383"/>
      <c r="W160" s="383"/>
      <c r="X160" s="383"/>
      <c r="Y160" s="383"/>
    </row>
    <row r="161">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3"/>
      <c r="W161" s="383"/>
      <c r="X161" s="383"/>
      <c r="Y161" s="383"/>
    </row>
    <row r="162">
      <c r="A162" s="382"/>
      <c r="B162" s="382"/>
      <c r="C162" s="382"/>
      <c r="D162" s="382"/>
      <c r="E162" s="382"/>
      <c r="F162" s="382"/>
      <c r="G162" s="382"/>
      <c r="H162" s="382"/>
      <c r="I162" s="382"/>
      <c r="J162" s="382"/>
      <c r="K162" s="382"/>
      <c r="L162" s="382"/>
      <c r="M162" s="382"/>
      <c r="N162" s="382"/>
      <c r="O162" s="382"/>
      <c r="P162" s="382"/>
      <c r="Q162" s="382"/>
      <c r="R162" s="382"/>
      <c r="S162" s="382"/>
      <c r="T162" s="382"/>
      <c r="U162" s="382"/>
      <c r="V162" s="383"/>
      <c r="W162" s="383"/>
      <c r="X162" s="383"/>
      <c r="Y162" s="383"/>
    </row>
    <row r="163">
      <c r="A163" s="382"/>
      <c r="B163" s="382"/>
      <c r="C163" s="382"/>
      <c r="D163" s="382"/>
      <c r="E163" s="382"/>
      <c r="F163" s="382"/>
      <c r="G163" s="382"/>
      <c r="H163" s="382"/>
      <c r="I163" s="382"/>
      <c r="J163" s="382"/>
      <c r="K163" s="382"/>
      <c r="L163" s="382"/>
      <c r="M163" s="382"/>
      <c r="N163" s="382"/>
      <c r="O163" s="382"/>
      <c r="P163" s="382"/>
      <c r="Q163" s="382"/>
      <c r="R163" s="382"/>
      <c r="S163" s="382"/>
      <c r="T163" s="382"/>
      <c r="U163" s="382"/>
      <c r="V163" s="383"/>
      <c r="W163" s="383"/>
      <c r="X163" s="383"/>
      <c r="Y163" s="383"/>
    </row>
    <row r="164">
      <c r="A164" s="382"/>
      <c r="B164" s="382"/>
      <c r="C164" s="382"/>
      <c r="D164" s="382"/>
      <c r="E164" s="382"/>
      <c r="F164" s="382"/>
      <c r="G164" s="382"/>
      <c r="H164" s="382"/>
      <c r="I164" s="382"/>
      <c r="J164" s="382"/>
      <c r="K164" s="382"/>
      <c r="L164" s="382"/>
      <c r="M164" s="382"/>
      <c r="N164" s="382"/>
      <c r="O164" s="382"/>
      <c r="P164" s="382"/>
      <c r="Q164" s="382"/>
      <c r="R164" s="382"/>
      <c r="S164" s="382"/>
      <c r="T164" s="382"/>
      <c r="U164" s="382"/>
      <c r="V164" s="383"/>
      <c r="W164" s="383"/>
      <c r="X164" s="383"/>
      <c r="Y164" s="383"/>
    </row>
    <row r="165">
      <c r="A165" s="382"/>
      <c r="B165" s="382"/>
      <c r="C165" s="382"/>
      <c r="D165" s="382"/>
      <c r="E165" s="382"/>
      <c r="F165" s="382"/>
      <c r="G165" s="382"/>
      <c r="H165" s="382"/>
      <c r="I165" s="382"/>
      <c r="J165" s="382"/>
      <c r="K165" s="382"/>
      <c r="L165" s="382"/>
      <c r="M165" s="382"/>
      <c r="N165" s="382"/>
      <c r="O165" s="382"/>
      <c r="P165" s="382"/>
      <c r="Q165" s="382"/>
      <c r="R165" s="382"/>
      <c r="S165" s="382"/>
      <c r="T165" s="382"/>
      <c r="U165" s="382"/>
      <c r="V165" s="383"/>
      <c r="W165" s="383"/>
      <c r="X165" s="383"/>
      <c r="Y165" s="383"/>
    </row>
    <row r="166">
      <c r="A166" s="382"/>
      <c r="B166" s="382"/>
      <c r="C166" s="382"/>
      <c r="D166" s="382"/>
      <c r="E166" s="382"/>
      <c r="F166" s="382"/>
      <c r="G166" s="382"/>
      <c r="H166" s="382"/>
      <c r="I166" s="382"/>
      <c r="J166" s="382"/>
      <c r="K166" s="382"/>
      <c r="L166" s="382"/>
      <c r="M166" s="382"/>
      <c r="N166" s="382"/>
      <c r="O166" s="382"/>
      <c r="P166" s="382"/>
      <c r="Q166" s="382"/>
      <c r="R166" s="382"/>
      <c r="S166" s="382"/>
      <c r="T166" s="382"/>
      <c r="U166" s="382"/>
      <c r="V166" s="383"/>
      <c r="W166" s="383"/>
      <c r="X166" s="383"/>
      <c r="Y166" s="383"/>
    </row>
    <row r="167">
      <c r="A167" s="382"/>
      <c r="B167" s="382"/>
      <c r="C167" s="382"/>
      <c r="D167" s="382"/>
      <c r="E167" s="382"/>
      <c r="F167" s="382"/>
      <c r="G167" s="382"/>
      <c r="H167" s="382"/>
      <c r="I167" s="382"/>
      <c r="J167" s="382"/>
      <c r="K167" s="382"/>
      <c r="L167" s="382"/>
      <c r="M167" s="382"/>
      <c r="N167" s="382"/>
      <c r="O167" s="382"/>
      <c r="P167" s="382"/>
      <c r="Q167" s="382"/>
      <c r="R167" s="382"/>
      <c r="S167" s="382"/>
      <c r="T167" s="382"/>
      <c r="U167" s="382"/>
      <c r="V167" s="383"/>
      <c r="W167" s="383"/>
      <c r="X167" s="383"/>
      <c r="Y167" s="383"/>
    </row>
    <row r="168">
      <c r="A168" s="382"/>
      <c r="B168" s="382"/>
      <c r="C168" s="382"/>
      <c r="D168" s="382"/>
      <c r="E168" s="382"/>
      <c r="F168" s="382"/>
      <c r="G168" s="382"/>
      <c r="H168" s="382"/>
      <c r="I168" s="382"/>
      <c r="J168" s="382"/>
      <c r="K168" s="382"/>
      <c r="L168" s="382"/>
      <c r="M168" s="382"/>
      <c r="N168" s="382"/>
      <c r="O168" s="382"/>
      <c r="P168" s="382"/>
      <c r="Q168" s="382"/>
      <c r="R168" s="382"/>
      <c r="S168" s="382"/>
      <c r="T168" s="382"/>
      <c r="U168" s="382"/>
      <c r="V168" s="383"/>
      <c r="W168" s="383"/>
      <c r="X168" s="383"/>
      <c r="Y168" s="383"/>
    </row>
    <row r="169">
      <c r="A169" s="382"/>
      <c r="B169" s="382"/>
      <c r="C169" s="382"/>
      <c r="D169" s="382"/>
      <c r="E169" s="382"/>
      <c r="F169" s="382"/>
      <c r="G169" s="382"/>
      <c r="H169" s="382"/>
      <c r="I169" s="382"/>
      <c r="J169" s="382"/>
      <c r="K169" s="382"/>
      <c r="L169" s="382"/>
      <c r="M169" s="382"/>
      <c r="N169" s="382"/>
      <c r="O169" s="382"/>
      <c r="P169" s="382"/>
      <c r="Q169" s="382"/>
      <c r="R169" s="382"/>
      <c r="S169" s="382"/>
      <c r="T169" s="382"/>
      <c r="U169" s="382"/>
      <c r="V169" s="383"/>
      <c r="W169" s="383"/>
      <c r="X169" s="383"/>
      <c r="Y169" s="383"/>
    </row>
    <row r="170">
      <c r="A170" s="382"/>
      <c r="B170" s="382"/>
      <c r="C170" s="382"/>
      <c r="D170" s="382"/>
      <c r="E170" s="382"/>
      <c r="F170" s="382"/>
      <c r="G170" s="382"/>
      <c r="H170" s="382"/>
      <c r="I170" s="382"/>
      <c r="J170" s="382"/>
      <c r="K170" s="382"/>
      <c r="L170" s="382"/>
      <c r="M170" s="382"/>
      <c r="N170" s="382"/>
      <c r="O170" s="382"/>
      <c r="P170" s="382"/>
      <c r="Q170" s="382"/>
      <c r="R170" s="382"/>
      <c r="S170" s="382"/>
      <c r="T170" s="382"/>
      <c r="U170" s="382"/>
      <c r="V170" s="383"/>
      <c r="W170" s="383"/>
      <c r="X170" s="383"/>
      <c r="Y170" s="383"/>
    </row>
    <row r="171">
      <c r="A171" s="382"/>
      <c r="B171" s="382"/>
      <c r="C171" s="382"/>
      <c r="D171" s="382"/>
      <c r="E171" s="382"/>
      <c r="F171" s="382"/>
      <c r="G171" s="382"/>
      <c r="H171" s="382"/>
      <c r="I171" s="382"/>
      <c r="J171" s="382"/>
      <c r="K171" s="382"/>
      <c r="L171" s="382"/>
      <c r="M171" s="382"/>
      <c r="N171" s="382"/>
      <c r="O171" s="382"/>
      <c r="P171" s="382"/>
      <c r="Q171" s="382"/>
      <c r="R171" s="382"/>
      <c r="S171" s="382"/>
      <c r="T171" s="382"/>
      <c r="U171" s="382"/>
      <c r="V171" s="383"/>
      <c r="W171" s="383"/>
      <c r="X171" s="383"/>
      <c r="Y171" s="383"/>
    </row>
    <row r="172">
      <c r="A172" s="382"/>
      <c r="B172" s="382"/>
      <c r="C172" s="382"/>
      <c r="D172" s="382"/>
      <c r="E172" s="382"/>
      <c r="F172" s="382"/>
      <c r="G172" s="382"/>
      <c r="H172" s="382"/>
      <c r="I172" s="382"/>
      <c r="J172" s="382"/>
      <c r="K172" s="382"/>
      <c r="L172" s="382"/>
      <c r="M172" s="382"/>
      <c r="N172" s="382"/>
      <c r="O172" s="382"/>
      <c r="P172" s="382"/>
      <c r="Q172" s="382"/>
      <c r="R172" s="382"/>
      <c r="S172" s="382"/>
      <c r="T172" s="382"/>
      <c r="U172" s="382"/>
      <c r="V172" s="383"/>
      <c r="W172" s="383"/>
      <c r="X172" s="383"/>
      <c r="Y172" s="383"/>
    </row>
    <row r="173">
      <c r="A173" s="382"/>
      <c r="B173" s="382"/>
      <c r="C173" s="382"/>
      <c r="D173" s="382"/>
      <c r="E173" s="382"/>
      <c r="F173" s="382"/>
      <c r="G173" s="382"/>
      <c r="H173" s="382"/>
      <c r="I173" s="382"/>
      <c r="J173" s="382"/>
      <c r="K173" s="382"/>
      <c r="L173" s="382"/>
      <c r="M173" s="382"/>
      <c r="N173" s="382"/>
      <c r="O173" s="382"/>
      <c r="P173" s="382"/>
      <c r="Q173" s="382"/>
      <c r="R173" s="382"/>
      <c r="S173" s="382"/>
      <c r="T173" s="382"/>
      <c r="U173" s="382"/>
      <c r="V173" s="383"/>
      <c r="W173" s="383"/>
      <c r="X173" s="383"/>
      <c r="Y173" s="383"/>
    </row>
    <row r="174">
      <c r="A174" s="382"/>
      <c r="B174" s="382"/>
      <c r="C174" s="382"/>
      <c r="D174" s="382"/>
      <c r="E174" s="382"/>
      <c r="F174" s="382"/>
      <c r="G174" s="382"/>
      <c r="H174" s="382"/>
      <c r="I174" s="382"/>
      <c r="J174" s="382"/>
      <c r="K174" s="382"/>
      <c r="L174" s="382"/>
      <c r="M174" s="382"/>
      <c r="N174" s="382"/>
      <c r="O174" s="382"/>
      <c r="P174" s="382"/>
      <c r="Q174" s="382"/>
      <c r="R174" s="382"/>
      <c r="S174" s="382"/>
      <c r="T174" s="382"/>
      <c r="U174" s="382"/>
      <c r="V174" s="383"/>
      <c r="W174" s="383"/>
      <c r="X174" s="383"/>
      <c r="Y174" s="383"/>
    </row>
    <row r="175">
      <c r="A175" s="382"/>
      <c r="B175" s="382"/>
      <c r="C175" s="382"/>
      <c r="D175" s="382"/>
      <c r="E175" s="382"/>
      <c r="F175" s="382"/>
      <c r="G175" s="382"/>
      <c r="H175" s="382"/>
      <c r="I175" s="382"/>
      <c r="J175" s="382"/>
      <c r="K175" s="382"/>
      <c r="L175" s="382"/>
      <c r="M175" s="382"/>
      <c r="N175" s="382"/>
      <c r="O175" s="382"/>
      <c r="P175" s="382"/>
      <c r="Q175" s="382"/>
      <c r="R175" s="382"/>
      <c r="S175" s="382"/>
      <c r="T175" s="382"/>
      <c r="U175" s="382"/>
      <c r="V175" s="383"/>
      <c r="W175" s="383"/>
      <c r="X175" s="383"/>
      <c r="Y175" s="383"/>
    </row>
    <row r="176">
      <c r="A176" s="382"/>
      <c r="B176" s="382"/>
      <c r="C176" s="382"/>
      <c r="D176" s="382"/>
      <c r="E176" s="382"/>
      <c r="F176" s="382"/>
      <c r="G176" s="382"/>
      <c r="H176" s="382"/>
      <c r="I176" s="382"/>
      <c r="J176" s="382"/>
      <c r="K176" s="382"/>
      <c r="L176" s="382"/>
      <c r="M176" s="382"/>
      <c r="N176" s="382"/>
      <c r="O176" s="382"/>
      <c r="P176" s="382"/>
      <c r="Q176" s="382"/>
      <c r="R176" s="382"/>
      <c r="S176" s="382"/>
      <c r="T176" s="382"/>
      <c r="U176" s="382"/>
      <c r="V176" s="383"/>
      <c r="W176" s="383"/>
      <c r="X176" s="383"/>
      <c r="Y176" s="383"/>
    </row>
    <row r="177">
      <c r="A177" s="382"/>
      <c r="B177" s="382"/>
      <c r="C177" s="382"/>
      <c r="D177" s="382"/>
      <c r="E177" s="382"/>
      <c r="F177" s="382"/>
      <c r="G177" s="382"/>
      <c r="H177" s="382"/>
      <c r="I177" s="382"/>
      <c r="J177" s="382"/>
      <c r="K177" s="382"/>
      <c r="L177" s="382"/>
      <c r="M177" s="382"/>
      <c r="N177" s="382"/>
      <c r="O177" s="382"/>
      <c r="P177" s="382"/>
      <c r="Q177" s="382"/>
      <c r="R177" s="382"/>
      <c r="S177" s="382"/>
      <c r="T177" s="382"/>
      <c r="U177" s="382"/>
      <c r="V177" s="383"/>
      <c r="W177" s="383"/>
      <c r="X177" s="383"/>
      <c r="Y177" s="383"/>
    </row>
    <row r="178">
      <c r="A178" s="382"/>
      <c r="B178" s="382"/>
      <c r="C178" s="382"/>
      <c r="D178" s="382"/>
      <c r="E178" s="382"/>
      <c r="F178" s="382"/>
      <c r="G178" s="382"/>
      <c r="H178" s="382"/>
      <c r="I178" s="382"/>
      <c r="J178" s="382"/>
      <c r="K178" s="382"/>
      <c r="L178" s="382"/>
      <c r="M178" s="382"/>
      <c r="N178" s="382"/>
      <c r="O178" s="382"/>
      <c r="P178" s="382"/>
      <c r="Q178" s="382"/>
      <c r="R178" s="382"/>
      <c r="S178" s="382"/>
      <c r="T178" s="382"/>
      <c r="U178" s="382"/>
      <c r="V178" s="383"/>
      <c r="W178" s="383"/>
      <c r="X178" s="383"/>
      <c r="Y178" s="383"/>
    </row>
    <row r="179">
      <c r="A179" s="382"/>
      <c r="B179" s="382"/>
      <c r="C179" s="382"/>
      <c r="D179" s="382"/>
      <c r="E179" s="382"/>
      <c r="F179" s="382"/>
      <c r="G179" s="382"/>
      <c r="H179" s="382"/>
      <c r="I179" s="382"/>
      <c r="J179" s="382"/>
      <c r="K179" s="382"/>
      <c r="L179" s="382"/>
      <c r="M179" s="382"/>
      <c r="N179" s="382"/>
      <c r="O179" s="382"/>
      <c r="P179" s="382"/>
      <c r="Q179" s="382"/>
      <c r="R179" s="382"/>
      <c r="S179" s="382"/>
      <c r="T179" s="382"/>
      <c r="U179" s="382"/>
      <c r="V179" s="383"/>
      <c r="W179" s="383"/>
      <c r="X179" s="383"/>
      <c r="Y179" s="383"/>
    </row>
    <row r="180">
      <c r="A180" s="382"/>
      <c r="B180" s="382"/>
      <c r="C180" s="382"/>
      <c r="D180" s="382"/>
      <c r="E180" s="382"/>
      <c r="F180" s="382"/>
      <c r="G180" s="382"/>
      <c r="H180" s="382"/>
      <c r="I180" s="382"/>
      <c r="J180" s="382"/>
      <c r="K180" s="382"/>
      <c r="L180" s="382"/>
      <c r="M180" s="382"/>
      <c r="N180" s="382"/>
      <c r="O180" s="382"/>
      <c r="P180" s="382"/>
      <c r="Q180" s="382"/>
      <c r="R180" s="382"/>
      <c r="S180" s="382"/>
      <c r="T180" s="382"/>
      <c r="U180" s="382"/>
      <c r="V180" s="383"/>
      <c r="W180" s="383"/>
      <c r="X180" s="383"/>
      <c r="Y180" s="383"/>
    </row>
    <row r="181">
      <c r="A181" s="382"/>
      <c r="B181" s="382"/>
      <c r="C181" s="382"/>
      <c r="D181" s="382"/>
      <c r="E181" s="382"/>
      <c r="F181" s="382"/>
      <c r="G181" s="382"/>
      <c r="H181" s="382"/>
      <c r="I181" s="382"/>
      <c r="J181" s="382"/>
      <c r="K181" s="382"/>
      <c r="L181" s="382"/>
      <c r="M181" s="382"/>
      <c r="N181" s="382"/>
      <c r="O181" s="382"/>
      <c r="P181" s="382"/>
      <c r="Q181" s="382"/>
      <c r="R181" s="382"/>
      <c r="S181" s="382"/>
      <c r="T181" s="382"/>
      <c r="U181" s="382"/>
      <c r="V181" s="383"/>
      <c r="W181" s="383"/>
      <c r="X181" s="383"/>
      <c r="Y181" s="383"/>
    </row>
    <row r="182">
      <c r="A182" s="382"/>
      <c r="B182" s="382"/>
      <c r="C182" s="382"/>
      <c r="D182" s="382"/>
      <c r="E182" s="382"/>
      <c r="F182" s="382"/>
      <c r="G182" s="382"/>
      <c r="H182" s="382"/>
      <c r="I182" s="382"/>
      <c r="J182" s="382"/>
      <c r="K182" s="382"/>
      <c r="L182" s="382"/>
      <c r="M182" s="382"/>
      <c r="N182" s="382"/>
      <c r="O182" s="382"/>
      <c r="P182" s="382"/>
      <c r="Q182" s="382"/>
      <c r="R182" s="382"/>
      <c r="S182" s="382"/>
      <c r="T182" s="382"/>
      <c r="U182" s="382"/>
      <c r="V182" s="383"/>
      <c r="W182" s="383"/>
      <c r="X182" s="383"/>
      <c r="Y182" s="383"/>
    </row>
    <row r="183">
      <c r="A183" s="382"/>
      <c r="B183" s="382"/>
      <c r="C183" s="382"/>
      <c r="D183" s="382"/>
      <c r="E183" s="382"/>
      <c r="F183" s="382"/>
      <c r="G183" s="382"/>
      <c r="H183" s="382"/>
      <c r="I183" s="382"/>
      <c r="J183" s="382"/>
      <c r="K183" s="382"/>
      <c r="L183" s="382"/>
      <c r="M183" s="382"/>
      <c r="N183" s="382"/>
      <c r="O183" s="382"/>
      <c r="P183" s="382"/>
      <c r="Q183" s="382"/>
      <c r="R183" s="382"/>
      <c r="S183" s="382"/>
      <c r="T183" s="382"/>
      <c r="U183" s="382"/>
      <c r="V183" s="383"/>
      <c r="W183" s="383"/>
      <c r="X183" s="383"/>
      <c r="Y183" s="383"/>
    </row>
    <row r="184">
      <c r="A184" s="382"/>
      <c r="B184" s="382"/>
      <c r="C184" s="382"/>
      <c r="D184" s="382"/>
      <c r="E184" s="382"/>
      <c r="F184" s="382"/>
      <c r="G184" s="382"/>
      <c r="H184" s="382"/>
      <c r="I184" s="382"/>
      <c r="J184" s="382"/>
      <c r="K184" s="382"/>
      <c r="L184" s="382"/>
      <c r="M184" s="382"/>
      <c r="N184" s="382"/>
      <c r="O184" s="382"/>
      <c r="P184" s="382"/>
      <c r="Q184" s="382"/>
      <c r="R184" s="382"/>
      <c r="S184" s="382"/>
      <c r="T184" s="382"/>
      <c r="U184" s="382"/>
      <c r="V184" s="383"/>
      <c r="W184" s="383"/>
      <c r="X184" s="383"/>
      <c r="Y184" s="383"/>
    </row>
    <row r="185">
      <c r="A185" s="382"/>
      <c r="B185" s="382"/>
      <c r="C185" s="382"/>
      <c r="D185" s="382"/>
      <c r="E185" s="382"/>
      <c r="F185" s="382"/>
      <c r="G185" s="382"/>
      <c r="H185" s="382"/>
      <c r="I185" s="382"/>
      <c r="J185" s="382"/>
      <c r="K185" s="382"/>
      <c r="L185" s="382"/>
      <c r="M185" s="382"/>
      <c r="N185" s="382"/>
      <c r="O185" s="382"/>
      <c r="P185" s="382"/>
      <c r="Q185" s="382"/>
      <c r="R185" s="382"/>
      <c r="S185" s="382"/>
      <c r="T185" s="382"/>
      <c r="U185" s="382"/>
      <c r="V185" s="383"/>
      <c r="W185" s="383"/>
      <c r="X185" s="383"/>
      <c r="Y185" s="383"/>
    </row>
    <row r="186">
      <c r="A186" s="382"/>
      <c r="B186" s="382"/>
      <c r="C186" s="382"/>
      <c r="D186" s="382"/>
      <c r="E186" s="382"/>
      <c r="F186" s="382"/>
      <c r="G186" s="382"/>
      <c r="H186" s="382"/>
      <c r="I186" s="382"/>
      <c r="J186" s="382"/>
      <c r="K186" s="382"/>
      <c r="L186" s="382"/>
      <c r="M186" s="382"/>
      <c r="N186" s="382"/>
      <c r="O186" s="382"/>
      <c r="P186" s="382"/>
      <c r="Q186" s="382"/>
      <c r="R186" s="382"/>
      <c r="S186" s="382"/>
      <c r="T186" s="382"/>
      <c r="U186" s="382"/>
      <c r="V186" s="383"/>
      <c r="W186" s="383"/>
      <c r="X186" s="383"/>
      <c r="Y186" s="383"/>
    </row>
    <row r="187">
      <c r="A187" s="382"/>
      <c r="B187" s="382"/>
      <c r="C187" s="382"/>
      <c r="D187" s="382"/>
      <c r="E187" s="382"/>
      <c r="F187" s="382"/>
      <c r="G187" s="382"/>
      <c r="H187" s="382"/>
      <c r="I187" s="382"/>
      <c r="J187" s="382"/>
      <c r="K187" s="382"/>
      <c r="L187" s="382"/>
      <c r="M187" s="382"/>
      <c r="N187" s="382"/>
      <c r="O187" s="382"/>
      <c r="P187" s="382"/>
      <c r="Q187" s="382"/>
      <c r="R187" s="382"/>
      <c r="S187" s="382"/>
      <c r="T187" s="382"/>
      <c r="U187" s="382"/>
      <c r="V187" s="383"/>
      <c r="W187" s="383"/>
      <c r="X187" s="383"/>
      <c r="Y187" s="383"/>
    </row>
    <row r="188">
      <c r="A188" s="382"/>
      <c r="B188" s="382"/>
      <c r="C188" s="382"/>
      <c r="D188" s="382"/>
      <c r="E188" s="382"/>
      <c r="F188" s="382"/>
      <c r="G188" s="382"/>
      <c r="H188" s="382"/>
      <c r="I188" s="382"/>
      <c r="J188" s="382"/>
      <c r="K188" s="382"/>
      <c r="L188" s="382"/>
      <c r="M188" s="382"/>
      <c r="N188" s="382"/>
      <c r="O188" s="382"/>
      <c r="P188" s="382"/>
      <c r="Q188" s="382"/>
      <c r="R188" s="382"/>
      <c r="S188" s="382"/>
      <c r="T188" s="382"/>
      <c r="U188" s="382"/>
      <c r="V188" s="383"/>
      <c r="W188" s="383"/>
      <c r="X188" s="383"/>
      <c r="Y188" s="383"/>
    </row>
    <row r="189">
      <c r="A189" s="382"/>
      <c r="B189" s="382"/>
      <c r="C189" s="382"/>
      <c r="D189" s="382"/>
      <c r="E189" s="382"/>
      <c r="F189" s="382"/>
      <c r="G189" s="382"/>
      <c r="H189" s="382"/>
      <c r="I189" s="382"/>
      <c r="J189" s="382"/>
      <c r="K189" s="382"/>
      <c r="L189" s="382"/>
      <c r="M189" s="382"/>
      <c r="N189" s="382"/>
      <c r="O189" s="382"/>
      <c r="P189" s="382"/>
      <c r="Q189" s="382"/>
      <c r="R189" s="382"/>
      <c r="S189" s="382"/>
      <c r="T189" s="382"/>
      <c r="U189" s="382"/>
      <c r="V189" s="383"/>
      <c r="W189" s="383"/>
      <c r="X189" s="383"/>
      <c r="Y189" s="383"/>
    </row>
    <row r="190">
      <c r="A190" s="382"/>
      <c r="B190" s="382"/>
      <c r="C190" s="382"/>
      <c r="D190" s="382"/>
      <c r="E190" s="382"/>
      <c r="F190" s="382"/>
      <c r="G190" s="382"/>
      <c r="H190" s="382"/>
      <c r="I190" s="382"/>
      <c r="J190" s="382"/>
      <c r="K190" s="382"/>
      <c r="L190" s="382"/>
      <c r="M190" s="382"/>
      <c r="N190" s="382"/>
      <c r="O190" s="382"/>
      <c r="P190" s="382"/>
      <c r="Q190" s="382"/>
      <c r="R190" s="382"/>
      <c r="S190" s="382"/>
      <c r="T190" s="382"/>
      <c r="U190" s="382"/>
      <c r="V190" s="383"/>
      <c r="W190" s="383"/>
      <c r="X190" s="383"/>
      <c r="Y190" s="383"/>
    </row>
    <row r="191">
      <c r="A191" s="382"/>
      <c r="B191" s="382"/>
      <c r="C191" s="382"/>
      <c r="D191" s="382"/>
      <c r="E191" s="382"/>
      <c r="F191" s="382"/>
      <c r="G191" s="382"/>
      <c r="H191" s="382"/>
      <c r="I191" s="382"/>
      <c r="J191" s="382"/>
      <c r="K191" s="382"/>
      <c r="L191" s="382"/>
      <c r="M191" s="382"/>
      <c r="N191" s="382"/>
      <c r="O191" s="382"/>
      <c r="P191" s="382"/>
      <c r="Q191" s="382"/>
      <c r="R191" s="382"/>
      <c r="S191" s="382"/>
      <c r="T191" s="382"/>
      <c r="U191" s="382"/>
      <c r="V191" s="383"/>
      <c r="W191" s="383"/>
      <c r="X191" s="383"/>
      <c r="Y191" s="383"/>
    </row>
    <row r="192">
      <c r="A192" s="382"/>
      <c r="B192" s="382"/>
      <c r="C192" s="382"/>
      <c r="D192" s="382"/>
      <c r="E192" s="382"/>
      <c r="F192" s="382"/>
      <c r="G192" s="382"/>
      <c r="H192" s="382"/>
      <c r="I192" s="382"/>
      <c r="J192" s="382"/>
      <c r="K192" s="382"/>
      <c r="L192" s="382"/>
      <c r="M192" s="382"/>
      <c r="N192" s="382"/>
      <c r="O192" s="382"/>
      <c r="P192" s="382"/>
      <c r="Q192" s="382"/>
      <c r="R192" s="382"/>
      <c r="S192" s="382"/>
      <c r="T192" s="382"/>
      <c r="U192" s="382"/>
      <c r="V192" s="383"/>
      <c r="W192" s="383"/>
      <c r="X192" s="383"/>
      <c r="Y192" s="383"/>
    </row>
    <row r="193">
      <c r="A193" s="382"/>
      <c r="B193" s="382"/>
      <c r="C193" s="382"/>
      <c r="D193" s="382"/>
      <c r="E193" s="382"/>
      <c r="F193" s="382"/>
      <c r="G193" s="382"/>
      <c r="H193" s="382"/>
      <c r="I193" s="382"/>
      <c r="J193" s="382"/>
      <c r="K193" s="382"/>
      <c r="L193" s="382"/>
      <c r="M193" s="382"/>
      <c r="N193" s="382"/>
      <c r="O193" s="382"/>
      <c r="P193" s="382"/>
      <c r="Q193" s="382"/>
      <c r="R193" s="382"/>
      <c r="S193" s="382"/>
      <c r="T193" s="382"/>
      <c r="U193" s="382"/>
      <c r="V193" s="383"/>
      <c r="W193" s="383"/>
      <c r="X193" s="383"/>
      <c r="Y193" s="383"/>
    </row>
    <row r="194">
      <c r="A194" s="382"/>
      <c r="B194" s="382"/>
      <c r="C194" s="382"/>
      <c r="D194" s="382"/>
      <c r="E194" s="382"/>
      <c r="F194" s="382"/>
      <c r="G194" s="382"/>
      <c r="H194" s="382"/>
      <c r="I194" s="382"/>
      <c r="J194" s="382"/>
      <c r="K194" s="382"/>
      <c r="L194" s="382"/>
      <c r="M194" s="382"/>
      <c r="N194" s="382"/>
      <c r="O194" s="382"/>
      <c r="P194" s="382"/>
      <c r="Q194" s="382"/>
      <c r="R194" s="382"/>
      <c r="S194" s="382"/>
      <c r="T194" s="382"/>
      <c r="U194" s="382"/>
      <c r="V194" s="383"/>
      <c r="W194" s="383"/>
      <c r="X194" s="383"/>
      <c r="Y194" s="383"/>
    </row>
    <row r="195">
      <c r="A195" s="382"/>
      <c r="B195" s="382"/>
      <c r="C195" s="382"/>
      <c r="D195" s="382"/>
      <c r="E195" s="382"/>
      <c r="F195" s="382"/>
      <c r="G195" s="382"/>
      <c r="H195" s="382"/>
      <c r="I195" s="382"/>
      <c r="J195" s="382"/>
      <c r="K195" s="382"/>
      <c r="L195" s="382"/>
      <c r="M195" s="382"/>
      <c r="N195" s="382"/>
      <c r="O195" s="382"/>
      <c r="P195" s="382"/>
      <c r="Q195" s="382"/>
      <c r="R195" s="382"/>
      <c r="S195" s="382"/>
      <c r="T195" s="382"/>
      <c r="U195" s="382"/>
      <c r="V195" s="383"/>
      <c r="W195" s="383"/>
      <c r="X195" s="383"/>
      <c r="Y195" s="383"/>
    </row>
    <row r="196">
      <c r="A196" s="382"/>
      <c r="B196" s="382"/>
      <c r="C196" s="382"/>
      <c r="D196" s="382"/>
      <c r="E196" s="382"/>
      <c r="F196" s="382"/>
      <c r="G196" s="382"/>
      <c r="H196" s="382"/>
      <c r="I196" s="382"/>
      <c r="J196" s="382"/>
      <c r="K196" s="382"/>
      <c r="L196" s="382"/>
      <c r="M196" s="382"/>
      <c r="N196" s="382"/>
      <c r="O196" s="382"/>
      <c r="P196" s="382"/>
      <c r="Q196" s="382"/>
      <c r="R196" s="382"/>
      <c r="S196" s="382"/>
      <c r="T196" s="382"/>
      <c r="U196" s="382"/>
      <c r="V196" s="383"/>
      <c r="W196" s="383"/>
      <c r="X196" s="383"/>
      <c r="Y196" s="383"/>
    </row>
    <row r="197">
      <c r="A197" s="382"/>
      <c r="B197" s="382"/>
      <c r="C197" s="382"/>
      <c r="D197" s="382"/>
      <c r="E197" s="382"/>
      <c r="F197" s="382"/>
      <c r="G197" s="382"/>
      <c r="H197" s="382"/>
      <c r="I197" s="382"/>
      <c r="J197" s="382"/>
      <c r="K197" s="382"/>
      <c r="L197" s="382"/>
      <c r="M197" s="382"/>
      <c r="N197" s="382"/>
      <c r="O197" s="382"/>
      <c r="P197" s="382"/>
      <c r="Q197" s="382"/>
      <c r="R197" s="382"/>
      <c r="S197" s="382"/>
      <c r="T197" s="382"/>
      <c r="U197" s="382"/>
      <c r="V197" s="383"/>
      <c r="W197" s="383"/>
      <c r="X197" s="383"/>
      <c r="Y197" s="383"/>
    </row>
    <row r="198">
      <c r="A198" s="382"/>
      <c r="B198" s="382"/>
      <c r="C198" s="382"/>
      <c r="D198" s="382"/>
      <c r="E198" s="382"/>
      <c r="F198" s="382"/>
      <c r="G198" s="382"/>
      <c r="H198" s="382"/>
      <c r="I198" s="382"/>
      <c r="J198" s="382"/>
      <c r="K198" s="382"/>
      <c r="L198" s="382"/>
      <c r="M198" s="382"/>
      <c r="N198" s="382"/>
      <c r="O198" s="382"/>
      <c r="P198" s="382"/>
      <c r="Q198" s="382"/>
      <c r="R198" s="382"/>
      <c r="S198" s="382"/>
      <c r="T198" s="382"/>
      <c r="U198" s="382"/>
      <c r="V198" s="383"/>
      <c r="W198" s="383"/>
      <c r="X198" s="383"/>
      <c r="Y198" s="383"/>
    </row>
    <row r="199">
      <c r="A199" s="382"/>
      <c r="B199" s="382"/>
      <c r="C199" s="382"/>
      <c r="D199" s="382"/>
      <c r="E199" s="382"/>
      <c r="F199" s="382"/>
      <c r="G199" s="382"/>
      <c r="H199" s="382"/>
      <c r="I199" s="382"/>
      <c r="J199" s="382"/>
      <c r="K199" s="382"/>
      <c r="L199" s="382"/>
      <c r="M199" s="382"/>
      <c r="N199" s="382"/>
      <c r="O199" s="382"/>
      <c r="P199" s="382"/>
      <c r="Q199" s="382"/>
      <c r="R199" s="382"/>
      <c r="S199" s="382"/>
      <c r="T199" s="382"/>
      <c r="U199" s="382"/>
      <c r="V199" s="383"/>
      <c r="W199" s="383"/>
      <c r="X199" s="383"/>
      <c r="Y199" s="383"/>
    </row>
    <row r="200">
      <c r="A200" s="382"/>
      <c r="B200" s="382"/>
      <c r="C200" s="382"/>
      <c r="D200" s="382"/>
      <c r="E200" s="382"/>
      <c r="F200" s="382"/>
      <c r="G200" s="382"/>
      <c r="H200" s="382"/>
      <c r="I200" s="382"/>
      <c r="J200" s="382"/>
      <c r="K200" s="382"/>
      <c r="L200" s="382"/>
      <c r="M200" s="382"/>
      <c r="N200" s="382"/>
      <c r="O200" s="382"/>
      <c r="P200" s="382"/>
      <c r="Q200" s="382"/>
      <c r="R200" s="382"/>
      <c r="S200" s="382"/>
      <c r="T200" s="382"/>
      <c r="U200" s="382"/>
      <c r="V200" s="383"/>
      <c r="W200" s="383"/>
      <c r="X200" s="383"/>
      <c r="Y200" s="383"/>
    </row>
    <row r="201">
      <c r="A201" s="382"/>
      <c r="B201" s="382"/>
      <c r="C201" s="382"/>
      <c r="D201" s="382"/>
      <c r="E201" s="382"/>
      <c r="F201" s="382"/>
      <c r="G201" s="382"/>
      <c r="H201" s="382"/>
      <c r="I201" s="382"/>
      <c r="J201" s="382"/>
      <c r="K201" s="382"/>
      <c r="L201" s="382"/>
      <c r="M201" s="382"/>
      <c r="N201" s="382"/>
      <c r="O201" s="382"/>
      <c r="P201" s="382"/>
      <c r="Q201" s="382"/>
      <c r="R201" s="382"/>
      <c r="S201" s="382"/>
      <c r="T201" s="382"/>
      <c r="U201" s="382"/>
      <c r="V201" s="383"/>
      <c r="W201" s="383"/>
      <c r="X201" s="383"/>
      <c r="Y201" s="383"/>
    </row>
    <row r="202">
      <c r="A202" s="382"/>
      <c r="B202" s="382"/>
      <c r="C202" s="382"/>
      <c r="D202" s="382"/>
      <c r="E202" s="382"/>
      <c r="F202" s="382"/>
      <c r="G202" s="382"/>
      <c r="H202" s="382"/>
      <c r="I202" s="382"/>
      <c r="J202" s="382"/>
      <c r="K202" s="382"/>
      <c r="L202" s="382"/>
      <c r="M202" s="382"/>
      <c r="N202" s="382"/>
      <c r="O202" s="382"/>
      <c r="P202" s="382"/>
      <c r="Q202" s="382"/>
      <c r="R202" s="382"/>
      <c r="S202" s="382"/>
      <c r="T202" s="382"/>
      <c r="U202" s="382"/>
      <c r="V202" s="383"/>
      <c r="W202" s="383"/>
      <c r="X202" s="383"/>
      <c r="Y202" s="383"/>
    </row>
    <row r="203">
      <c r="A203" s="382"/>
      <c r="B203" s="382"/>
      <c r="C203" s="382"/>
      <c r="D203" s="382"/>
      <c r="E203" s="382"/>
      <c r="F203" s="382"/>
      <c r="G203" s="382"/>
      <c r="H203" s="382"/>
      <c r="I203" s="382"/>
      <c r="J203" s="382"/>
      <c r="K203" s="382"/>
      <c r="L203" s="382"/>
      <c r="M203" s="382"/>
      <c r="N203" s="382"/>
      <c r="O203" s="382"/>
      <c r="P203" s="382"/>
      <c r="Q203" s="382"/>
      <c r="R203" s="382"/>
      <c r="S203" s="382"/>
      <c r="T203" s="382"/>
      <c r="U203" s="382"/>
      <c r="V203" s="383"/>
      <c r="W203" s="383"/>
      <c r="X203" s="383"/>
      <c r="Y203" s="383"/>
    </row>
    <row r="204">
      <c r="A204" s="382"/>
      <c r="B204" s="382"/>
      <c r="C204" s="382"/>
      <c r="D204" s="382"/>
      <c r="E204" s="382"/>
      <c r="F204" s="382"/>
      <c r="G204" s="382"/>
      <c r="H204" s="382"/>
      <c r="I204" s="382"/>
      <c r="J204" s="382"/>
      <c r="K204" s="382"/>
      <c r="L204" s="382"/>
      <c r="M204" s="382"/>
      <c r="N204" s="382"/>
      <c r="O204" s="382"/>
      <c r="P204" s="382"/>
      <c r="Q204" s="382"/>
      <c r="R204" s="382"/>
      <c r="S204" s="382"/>
      <c r="T204" s="382"/>
      <c r="U204" s="382"/>
      <c r="V204" s="383"/>
      <c r="W204" s="383"/>
      <c r="X204" s="383"/>
      <c r="Y204" s="383"/>
    </row>
    <row r="205">
      <c r="A205" s="382"/>
      <c r="B205" s="382"/>
      <c r="C205" s="382"/>
      <c r="D205" s="382"/>
      <c r="E205" s="382"/>
      <c r="F205" s="382"/>
      <c r="G205" s="382"/>
      <c r="H205" s="382"/>
      <c r="I205" s="382"/>
      <c r="J205" s="382"/>
      <c r="K205" s="382"/>
      <c r="L205" s="382"/>
      <c r="M205" s="382"/>
      <c r="N205" s="382"/>
      <c r="O205" s="382"/>
      <c r="P205" s="382"/>
      <c r="Q205" s="382"/>
      <c r="R205" s="382"/>
      <c r="S205" s="382"/>
      <c r="T205" s="382"/>
      <c r="U205" s="382"/>
      <c r="V205" s="383"/>
      <c r="W205" s="383"/>
      <c r="X205" s="383"/>
      <c r="Y205" s="383"/>
    </row>
    <row r="206">
      <c r="A206" s="382"/>
      <c r="B206" s="382"/>
      <c r="C206" s="382"/>
      <c r="D206" s="382"/>
      <c r="E206" s="382"/>
      <c r="F206" s="382"/>
      <c r="G206" s="382"/>
      <c r="H206" s="382"/>
      <c r="I206" s="382"/>
      <c r="J206" s="382"/>
      <c r="K206" s="382"/>
      <c r="L206" s="382"/>
      <c r="M206" s="382"/>
      <c r="N206" s="382"/>
      <c r="O206" s="382"/>
      <c r="P206" s="382"/>
      <c r="Q206" s="382"/>
      <c r="R206" s="382"/>
      <c r="S206" s="382"/>
      <c r="T206" s="382"/>
      <c r="U206" s="382"/>
      <c r="V206" s="383"/>
      <c r="W206" s="383"/>
      <c r="X206" s="383"/>
      <c r="Y206" s="383"/>
    </row>
    <row r="207">
      <c r="A207" s="382"/>
      <c r="B207" s="382"/>
      <c r="C207" s="382"/>
      <c r="D207" s="382"/>
      <c r="E207" s="382"/>
      <c r="F207" s="382"/>
      <c r="G207" s="382"/>
      <c r="H207" s="382"/>
      <c r="I207" s="382"/>
      <c r="J207" s="382"/>
      <c r="K207" s="382"/>
      <c r="L207" s="382"/>
      <c r="M207" s="382"/>
      <c r="N207" s="382"/>
      <c r="O207" s="382"/>
      <c r="P207" s="382"/>
      <c r="Q207" s="382"/>
      <c r="R207" s="382"/>
      <c r="S207" s="382"/>
      <c r="T207" s="382"/>
      <c r="U207" s="382"/>
      <c r="V207" s="383"/>
      <c r="W207" s="383"/>
      <c r="X207" s="383"/>
      <c r="Y207" s="383"/>
    </row>
    <row r="208">
      <c r="A208" s="382"/>
      <c r="B208" s="382"/>
      <c r="C208" s="382"/>
      <c r="D208" s="382"/>
      <c r="E208" s="382"/>
      <c r="F208" s="382"/>
      <c r="G208" s="382"/>
      <c r="H208" s="382"/>
      <c r="I208" s="382"/>
      <c r="J208" s="382"/>
      <c r="K208" s="382"/>
      <c r="L208" s="382"/>
      <c r="M208" s="382"/>
      <c r="N208" s="382"/>
      <c r="O208" s="382"/>
      <c r="P208" s="382"/>
      <c r="Q208" s="382"/>
      <c r="R208" s="382"/>
      <c r="S208" s="382"/>
      <c r="T208" s="382"/>
      <c r="U208" s="382"/>
      <c r="V208" s="383"/>
      <c r="W208" s="383"/>
      <c r="X208" s="383"/>
      <c r="Y208" s="383"/>
    </row>
    <row r="209">
      <c r="A209" s="382"/>
      <c r="B209" s="382"/>
      <c r="C209" s="382"/>
      <c r="D209" s="382"/>
      <c r="E209" s="382"/>
      <c r="F209" s="382"/>
      <c r="G209" s="382"/>
      <c r="H209" s="382"/>
      <c r="I209" s="382"/>
      <c r="J209" s="382"/>
      <c r="K209" s="382"/>
      <c r="L209" s="382"/>
      <c r="M209" s="382"/>
      <c r="N209" s="382"/>
      <c r="O209" s="382"/>
      <c r="P209" s="382"/>
      <c r="Q209" s="382"/>
      <c r="R209" s="382"/>
      <c r="S209" s="382"/>
      <c r="T209" s="382"/>
      <c r="U209" s="382"/>
      <c r="V209" s="383"/>
      <c r="W209" s="383"/>
      <c r="X209" s="383"/>
      <c r="Y209" s="383"/>
    </row>
    <row r="210">
      <c r="A210" s="382"/>
      <c r="B210" s="382"/>
      <c r="C210" s="382"/>
      <c r="D210" s="382"/>
      <c r="E210" s="382"/>
      <c r="F210" s="382"/>
      <c r="G210" s="382"/>
      <c r="H210" s="382"/>
      <c r="I210" s="382"/>
      <c r="J210" s="382"/>
      <c r="K210" s="382"/>
      <c r="L210" s="382"/>
      <c r="M210" s="382"/>
      <c r="N210" s="382"/>
      <c r="O210" s="382"/>
      <c r="P210" s="382"/>
      <c r="Q210" s="382"/>
      <c r="R210" s="382"/>
      <c r="S210" s="382"/>
      <c r="T210" s="382"/>
      <c r="U210" s="382"/>
      <c r="V210" s="383"/>
      <c r="W210" s="383"/>
      <c r="X210" s="383"/>
      <c r="Y210" s="383"/>
    </row>
    <row r="211">
      <c r="A211" s="382"/>
      <c r="B211" s="382"/>
      <c r="C211" s="382"/>
      <c r="D211" s="382"/>
      <c r="E211" s="382"/>
      <c r="F211" s="382"/>
      <c r="G211" s="382"/>
      <c r="H211" s="382"/>
      <c r="I211" s="382"/>
      <c r="J211" s="382"/>
      <c r="K211" s="382"/>
      <c r="L211" s="382"/>
      <c r="M211" s="382"/>
      <c r="N211" s="382"/>
      <c r="O211" s="382"/>
      <c r="P211" s="382"/>
      <c r="Q211" s="382"/>
      <c r="R211" s="382"/>
      <c r="S211" s="382"/>
      <c r="T211" s="382"/>
      <c r="U211" s="382"/>
      <c r="V211" s="383"/>
      <c r="W211" s="383"/>
      <c r="X211" s="383"/>
      <c r="Y211" s="383"/>
    </row>
    <row r="212">
      <c r="A212" s="382"/>
      <c r="B212" s="382"/>
      <c r="C212" s="382"/>
      <c r="D212" s="382"/>
      <c r="E212" s="382"/>
      <c r="F212" s="382"/>
      <c r="G212" s="382"/>
      <c r="H212" s="382"/>
      <c r="I212" s="382"/>
      <c r="J212" s="382"/>
      <c r="K212" s="382"/>
      <c r="L212" s="382"/>
      <c r="M212" s="382"/>
      <c r="N212" s="382"/>
      <c r="O212" s="382"/>
      <c r="P212" s="382"/>
      <c r="Q212" s="382"/>
      <c r="R212" s="382"/>
      <c r="S212" s="382"/>
      <c r="T212" s="382"/>
      <c r="U212" s="382"/>
      <c r="V212" s="383"/>
      <c r="W212" s="383"/>
      <c r="X212" s="383"/>
      <c r="Y212" s="383"/>
    </row>
    <row r="213">
      <c r="A213" s="382"/>
      <c r="B213" s="382"/>
      <c r="C213" s="382"/>
      <c r="D213" s="382"/>
      <c r="E213" s="382"/>
      <c r="F213" s="382"/>
      <c r="G213" s="382"/>
      <c r="H213" s="382"/>
      <c r="I213" s="382"/>
      <c r="J213" s="382"/>
      <c r="K213" s="382"/>
      <c r="L213" s="382"/>
      <c r="M213" s="382"/>
      <c r="N213" s="382"/>
      <c r="O213" s="382"/>
      <c r="P213" s="382"/>
      <c r="Q213" s="382"/>
      <c r="R213" s="382"/>
      <c r="S213" s="382"/>
      <c r="T213" s="382"/>
      <c r="U213" s="382"/>
      <c r="V213" s="383"/>
      <c r="W213" s="383"/>
      <c r="X213" s="383"/>
      <c r="Y213" s="383"/>
    </row>
    <row r="214">
      <c r="A214" s="382"/>
      <c r="B214" s="382"/>
      <c r="C214" s="382"/>
      <c r="D214" s="382"/>
      <c r="E214" s="382"/>
      <c r="F214" s="382"/>
      <c r="G214" s="382"/>
      <c r="H214" s="382"/>
      <c r="I214" s="382"/>
      <c r="J214" s="382"/>
      <c r="K214" s="382"/>
      <c r="L214" s="382"/>
      <c r="M214" s="382"/>
      <c r="N214" s="382"/>
      <c r="O214" s="382"/>
      <c r="P214" s="382"/>
      <c r="Q214" s="382"/>
      <c r="R214" s="382"/>
      <c r="S214" s="382"/>
      <c r="T214" s="382"/>
      <c r="U214" s="382"/>
      <c r="V214" s="383"/>
      <c r="W214" s="383"/>
      <c r="X214" s="383"/>
      <c r="Y214" s="383"/>
    </row>
    <row r="215">
      <c r="A215" s="382"/>
      <c r="B215" s="382"/>
      <c r="C215" s="382"/>
      <c r="D215" s="382"/>
      <c r="E215" s="382"/>
      <c r="F215" s="382"/>
      <c r="G215" s="382"/>
      <c r="H215" s="382"/>
      <c r="I215" s="382"/>
      <c r="J215" s="382"/>
      <c r="K215" s="382"/>
      <c r="L215" s="382"/>
      <c r="M215" s="382"/>
      <c r="N215" s="382"/>
      <c r="O215" s="382"/>
      <c r="P215" s="382"/>
      <c r="Q215" s="382"/>
      <c r="R215" s="382"/>
      <c r="S215" s="382"/>
      <c r="T215" s="382"/>
      <c r="U215" s="382"/>
      <c r="V215" s="383"/>
      <c r="W215" s="383"/>
      <c r="X215" s="383"/>
      <c r="Y215" s="383"/>
    </row>
    <row r="216">
      <c r="A216" s="382"/>
      <c r="B216" s="382"/>
      <c r="C216" s="382"/>
      <c r="D216" s="382"/>
      <c r="E216" s="382"/>
      <c r="F216" s="382"/>
      <c r="G216" s="382"/>
      <c r="H216" s="382"/>
      <c r="I216" s="382"/>
      <c r="J216" s="382"/>
      <c r="K216" s="382"/>
      <c r="L216" s="382"/>
      <c r="M216" s="382"/>
      <c r="N216" s="382"/>
      <c r="O216" s="382"/>
      <c r="P216" s="382"/>
      <c r="Q216" s="382"/>
      <c r="R216" s="382"/>
      <c r="S216" s="382"/>
      <c r="T216" s="382"/>
      <c r="U216" s="382"/>
      <c r="V216" s="383"/>
      <c r="W216" s="383"/>
      <c r="X216" s="383"/>
      <c r="Y216" s="383"/>
    </row>
    <row r="217">
      <c r="A217" s="382"/>
      <c r="B217" s="382"/>
      <c r="C217" s="382"/>
      <c r="D217" s="382"/>
      <c r="E217" s="382"/>
      <c r="F217" s="382"/>
      <c r="G217" s="382"/>
      <c r="H217" s="382"/>
      <c r="I217" s="382"/>
      <c r="J217" s="382"/>
      <c r="K217" s="382"/>
      <c r="L217" s="382"/>
      <c r="M217" s="382"/>
      <c r="N217" s="382"/>
      <c r="O217" s="382"/>
      <c r="P217" s="382"/>
      <c r="Q217" s="382"/>
      <c r="R217" s="382"/>
      <c r="S217" s="382"/>
      <c r="T217" s="382"/>
      <c r="U217" s="382"/>
      <c r="V217" s="383"/>
      <c r="W217" s="383"/>
      <c r="X217" s="383"/>
      <c r="Y217" s="383"/>
    </row>
    <row r="218">
      <c r="A218" s="382"/>
      <c r="B218" s="382"/>
      <c r="C218" s="382"/>
      <c r="D218" s="382"/>
      <c r="E218" s="382"/>
      <c r="F218" s="382"/>
      <c r="G218" s="382"/>
      <c r="H218" s="382"/>
      <c r="I218" s="382"/>
      <c r="J218" s="382"/>
      <c r="K218" s="382"/>
      <c r="L218" s="382"/>
      <c r="M218" s="382"/>
      <c r="N218" s="382"/>
      <c r="O218" s="382"/>
      <c r="P218" s="382"/>
      <c r="Q218" s="382"/>
      <c r="R218" s="382"/>
      <c r="S218" s="382"/>
      <c r="T218" s="382"/>
      <c r="U218" s="382"/>
      <c r="V218" s="383"/>
      <c r="W218" s="383"/>
      <c r="X218" s="383"/>
      <c r="Y218" s="383"/>
    </row>
    <row r="219">
      <c r="A219" s="382"/>
      <c r="B219" s="382"/>
      <c r="C219" s="382"/>
      <c r="D219" s="382"/>
      <c r="E219" s="382"/>
      <c r="F219" s="382"/>
      <c r="G219" s="382"/>
      <c r="H219" s="382"/>
      <c r="I219" s="382"/>
      <c r="J219" s="382"/>
      <c r="K219" s="382"/>
      <c r="L219" s="382"/>
      <c r="M219" s="382"/>
      <c r="N219" s="382"/>
      <c r="O219" s="382"/>
      <c r="P219" s="382"/>
      <c r="Q219" s="382"/>
      <c r="R219" s="382"/>
      <c r="S219" s="382"/>
      <c r="T219" s="382"/>
      <c r="U219" s="382"/>
      <c r="V219" s="383"/>
      <c r="W219" s="383"/>
      <c r="X219" s="383"/>
      <c r="Y219" s="383"/>
    </row>
    <row r="220">
      <c r="A220" s="382"/>
      <c r="B220" s="382"/>
      <c r="C220" s="382"/>
      <c r="D220" s="382"/>
      <c r="E220" s="382"/>
      <c r="F220" s="382"/>
      <c r="G220" s="382"/>
      <c r="H220" s="382"/>
      <c r="I220" s="382"/>
      <c r="J220" s="382"/>
      <c r="K220" s="382"/>
      <c r="L220" s="382"/>
      <c r="M220" s="382"/>
      <c r="N220" s="382"/>
      <c r="O220" s="382"/>
      <c r="P220" s="382"/>
      <c r="Q220" s="382"/>
      <c r="R220" s="382"/>
      <c r="S220" s="382"/>
      <c r="T220" s="382"/>
      <c r="U220" s="382"/>
      <c r="V220" s="383"/>
      <c r="W220" s="383"/>
      <c r="X220" s="383"/>
      <c r="Y220" s="383"/>
    </row>
    <row r="221">
      <c r="A221" s="382"/>
      <c r="B221" s="382"/>
      <c r="C221" s="382"/>
      <c r="D221" s="382"/>
      <c r="E221" s="382"/>
      <c r="F221" s="382"/>
      <c r="G221" s="382"/>
      <c r="H221" s="382"/>
      <c r="I221" s="382"/>
      <c r="J221" s="382"/>
      <c r="K221" s="382"/>
      <c r="L221" s="382"/>
      <c r="M221" s="382"/>
      <c r="N221" s="382"/>
      <c r="O221" s="382"/>
      <c r="P221" s="382"/>
      <c r="Q221" s="382"/>
      <c r="R221" s="382"/>
      <c r="S221" s="382"/>
      <c r="T221" s="382"/>
      <c r="U221" s="382"/>
      <c r="V221" s="383"/>
      <c r="W221" s="383"/>
      <c r="X221" s="383"/>
      <c r="Y221" s="383"/>
    </row>
    <row r="222">
      <c r="A222" s="382"/>
      <c r="B222" s="382"/>
      <c r="C222" s="382"/>
      <c r="D222" s="382"/>
      <c r="E222" s="382"/>
      <c r="F222" s="382"/>
      <c r="G222" s="382"/>
      <c r="H222" s="382"/>
      <c r="I222" s="382"/>
      <c r="J222" s="382"/>
      <c r="K222" s="382"/>
      <c r="L222" s="382"/>
      <c r="M222" s="382"/>
      <c r="N222" s="382"/>
      <c r="O222" s="382"/>
      <c r="P222" s="382"/>
      <c r="Q222" s="382"/>
      <c r="R222" s="382"/>
      <c r="S222" s="382"/>
      <c r="T222" s="382"/>
      <c r="U222" s="382"/>
      <c r="V222" s="383"/>
      <c r="W222" s="383"/>
      <c r="X222" s="383"/>
      <c r="Y222" s="383"/>
    </row>
    <row r="223">
      <c r="A223" s="382"/>
      <c r="B223" s="382"/>
      <c r="C223" s="382"/>
      <c r="D223" s="382"/>
      <c r="E223" s="382"/>
      <c r="F223" s="382"/>
      <c r="G223" s="382"/>
      <c r="H223" s="382"/>
      <c r="I223" s="382"/>
      <c r="J223" s="382"/>
      <c r="K223" s="382"/>
      <c r="L223" s="382"/>
      <c r="M223" s="382"/>
      <c r="N223" s="382"/>
      <c r="O223" s="382"/>
      <c r="P223" s="382"/>
      <c r="Q223" s="382"/>
      <c r="R223" s="382"/>
      <c r="S223" s="382"/>
      <c r="T223" s="382"/>
      <c r="U223" s="382"/>
      <c r="V223" s="383"/>
      <c r="W223" s="383"/>
      <c r="X223" s="383"/>
      <c r="Y223" s="383"/>
    </row>
    <row r="224">
      <c r="A224" s="382"/>
      <c r="B224" s="382"/>
      <c r="C224" s="382"/>
      <c r="D224" s="382"/>
      <c r="E224" s="382"/>
      <c r="F224" s="382"/>
      <c r="G224" s="382"/>
      <c r="H224" s="382"/>
      <c r="I224" s="382"/>
      <c r="J224" s="382"/>
      <c r="K224" s="382"/>
      <c r="L224" s="382"/>
      <c r="M224" s="382"/>
      <c r="N224" s="382"/>
      <c r="O224" s="382"/>
      <c r="P224" s="382"/>
      <c r="Q224" s="382"/>
      <c r="R224" s="382"/>
      <c r="S224" s="382"/>
      <c r="T224" s="382"/>
      <c r="U224" s="382"/>
      <c r="V224" s="383"/>
      <c r="W224" s="383"/>
      <c r="X224" s="383"/>
      <c r="Y224" s="383"/>
    </row>
    <row r="225">
      <c r="A225" s="382"/>
      <c r="B225" s="382"/>
      <c r="C225" s="382"/>
      <c r="D225" s="382"/>
      <c r="E225" s="382"/>
      <c r="F225" s="382"/>
      <c r="G225" s="382"/>
      <c r="H225" s="382"/>
      <c r="I225" s="382"/>
      <c r="J225" s="382"/>
      <c r="K225" s="382"/>
      <c r="L225" s="382"/>
      <c r="M225" s="382"/>
      <c r="N225" s="382"/>
      <c r="O225" s="382"/>
      <c r="P225" s="382"/>
      <c r="Q225" s="382"/>
      <c r="R225" s="382"/>
      <c r="S225" s="382"/>
      <c r="T225" s="382"/>
      <c r="U225" s="382"/>
      <c r="V225" s="383"/>
      <c r="W225" s="383"/>
      <c r="X225" s="383"/>
      <c r="Y225" s="383"/>
    </row>
    <row r="226">
      <c r="A226" s="382"/>
      <c r="B226" s="382"/>
      <c r="C226" s="382"/>
      <c r="D226" s="382"/>
      <c r="E226" s="382"/>
      <c r="F226" s="382"/>
      <c r="G226" s="382"/>
      <c r="H226" s="382"/>
      <c r="I226" s="382"/>
      <c r="J226" s="382"/>
      <c r="K226" s="382"/>
      <c r="L226" s="382"/>
      <c r="M226" s="382"/>
      <c r="N226" s="382"/>
      <c r="O226" s="382"/>
      <c r="P226" s="382"/>
      <c r="Q226" s="382"/>
      <c r="R226" s="382"/>
      <c r="S226" s="382"/>
      <c r="T226" s="382"/>
      <c r="U226" s="382"/>
      <c r="V226" s="383"/>
      <c r="W226" s="383"/>
      <c r="X226" s="383"/>
      <c r="Y226" s="383"/>
    </row>
    <row r="227">
      <c r="A227" s="382"/>
      <c r="B227" s="382"/>
      <c r="C227" s="382"/>
      <c r="D227" s="382"/>
      <c r="E227" s="382"/>
      <c r="F227" s="382"/>
      <c r="G227" s="382"/>
      <c r="H227" s="382"/>
      <c r="I227" s="382"/>
      <c r="J227" s="382"/>
      <c r="K227" s="382"/>
      <c r="L227" s="382"/>
      <c r="M227" s="382"/>
      <c r="N227" s="382"/>
      <c r="O227" s="382"/>
      <c r="P227" s="382"/>
      <c r="Q227" s="382"/>
      <c r="R227" s="382"/>
      <c r="S227" s="382"/>
      <c r="T227" s="382"/>
      <c r="U227" s="382"/>
      <c r="V227" s="383"/>
      <c r="W227" s="383"/>
      <c r="X227" s="383"/>
      <c r="Y227" s="383"/>
    </row>
    <row r="228">
      <c r="A228" s="382"/>
      <c r="B228" s="382"/>
      <c r="C228" s="382"/>
      <c r="D228" s="382"/>
      <c r="E228" s="382"/>
      <c r="F228" s="382"/>
      <c r="G228" s="382"/>
      <c r="H228" s="382"/>
      <c r="I228" s="382"/>
      <c r="J228" s="382"/>
      <c r="K228" s="382"/>
      <c r="L228" s="382"/>
      <c r="M228" s="382"/>
      <c r="N228" s="382"/>
      <c r="O228" s="382"/>
      <c r="P228" s="382"/>
      <c r="Q228" s="382"/>
      <c r="R228" s="382"/>
      <c r="S228" s="382"/>
      <c r="T228" s="382"/>
      <c r="U228" s="382"/>
      <c r="V228" s="383"/>
      <c r="W228" s="383"/>
      <c r="X228" s="383"/>
      <c r="Y228" s="383"/>
    </row>
    <row r="229">
      <c r="A229" s="382"/>
      <c r="B229" s="382"/>
      <c r="C229" s="382"/>
      <c r="D229" s="382"/>
      <c r="E229" s="382"/>
      <c r="F229" s="382"/>
      <c r="G229" s="382"/>
      <c r="H229" s="382"/>
      <c r="I229" s="382"/>
      <c r="J229" s="382"/>
      <c r="K229" s="382"/>
      <c r="L229" s="382"/>
      <c r="M229" s="382"/>
      <c r="N229" s="382"/>
      <c r="O229" s="382"/>
      <c r="P229" s="382"/>
      <c r="Q229" s="382"/>
      <c r="R229" s="382"/>
      <c r="S229" s="382"/>
      <c r="T229" s="382"/>
      <c r="U229" s="382"/>
      <c r="V229" s="383"/>
      <c r="W229" s="383"/>
      <c r="X229" s="383"/>
      <c r="Y229" s="383"/>
    </row>
    <row r="230">
      <c r="A230" s="382"/>
      <c r="B230" s="382"/>
      <c r="C230" s="382"/>
      <c r="D230" s="382"/>
      <c r="E230" s="382"/>
      <c r="F230" s="382"/>
      <c r="G230" s="382"/>
      <c r="H230" s="382"/>
      <c r="I230" s="382"/>
      <c r="J230" s="382"/>
      <c r="K230" s="382"/>
      <c r="L230" s="382"/>
      <c r="M230" s="382"/>
      <c r="N230" s="382"/>
      <c r="O230" s="382"/>
      <c r="P230" s="382"/>
      <c r="Q230" s="382"/>
      <c r="R230" s="382"/>
      <c r="S230" s="382"/>
      <c r="T230" s="382"/>
      <c r="U230" s="382"/>
      <c r="V230" s="383"/>
      <c r="W230" s="383"/>
      <c r="X230" s="383"/>
      <c r="Y230" s="383"/>
    </row>
    <row r="231">
      <c r="A231" s="382"/>
      <c r="B231" s="382"/>
      <c r="C231" s="382"/>
      <c r="D231" s="382"/>
      <c r="E231" s="382"/>
      <c r="F231" s="382"/>
      <c r="G231" s="382"/>
      <c r="H231" s="382"/>
      <c r="I231" s="382"/>
      <c r="J231" s="382"/>
      <c r="K231" s="382"/>
      <c r="L231" s="382"/>
      <c r="M231" s="382"/>
      <c r="N231" s="382"/>
      <c r="O231" s="382"/>
      <c r="P231" s="382"/>
      <c r="Q231" s="382"/>
      <c r="R231" s="382"/>
      <c r="S231" s="382"/>
      <c r="T231" s="382"/>
      <c r="U231" s="382"/>
      <c r="V231" s="383"/>
      <c r="W231" s="383"/>
      <c r="X231" s="383"/>
      <c r="Y231" s="383"/>
    </row>
    <row r="232">
      <c r="A232" s="382"/>
      <c r="B232" s="382"/>
      <c r="C232" s="382"/>
      <c r="D232" s="382"/>
      <c r="E232" s="382"/>
      <c r="F232" s="382"/>
      <c r="G232" s="382"/>
      <c r="H232" s="382"/>
      <c r="I232" s="382"/>
      <c r="J232" s="382"/>
      <c r="K232" s="382"/>
      <c r="L232" s="382"/>
      <c r="M232" s="382"/>
      <c r="N232" s="382"/>
      <c r="O232" s="382"/>
      <c r="P232" s="382"/>
      <c r="Q232" s="382"/>
      <c r="R232" s="382"/>
      <c r="S232" s="382"/>
      <c r="T232" s="382"/>
      <c r="U232" s="382"/>
      <c r="V232" s="383"/>
      <c r="W232" s="383"/>
      <c r="X232" s="383"/>
      <c r="Y232" s="383"/>
    </row>
    <row r="233">
      <c r="A233" s="382"/>
      <c r="B233" s="382"/>
      <c r="C233" s="382"/>
      <c r="D233" s="382"/>
      <c r="E233" s="382"/>
      <c r="F233" s="382"/>
      <c r="G233" s="382"/>
      <c r="H233" s="382"/>
      <c r="I233" s="382"/>
      <c r="J233" s="382"/>
      <c r="K233" s="382"/>
      <c r="L233" s="382"/>
      <c r="M233" s="382"/>
      <c r="N233" s="382"/>
      <c r="O233" s="382"/>
      <c r="P233" s="382"/>
      <c r="Q233" s="382"/>
      <c r="R233" s="382"/>
      <c r="S233" s="382"/>
      <c r="T233" s="382"/>
      <c r="U233" s="382"/>
      <c r="V233" s="383"/>
      <c r="W233" s="383"/>
      <c r="X233" s="383"/>
      <c r="Y233" s="383"/>
    </row>
    <row r="234">
      <c r="A234" s="382"/>
      <c r="B234" s="382"/>
      <c r="C234" s="382"/>
      <c r="D234" s="382"/>
      <c r="E234" s="382"/>
      <c r="F234" s="382"/>
      <c r="G234" s="382"/>
      <c r="H234" s="382"/>
      <c r="I234" s="382"/>
      <c r="J234" s="382"/>
      <c r="K234" s="382"/>
      <c r="L234" s="382"/>
      <c r="M234" s="382"/>
      <c r="N234" s="382"/>
      <c r="O234" s="382"/>
      <c r="P234" s="382"/>
      <c r="Q234" s="382"/>
      <c r="R234" s="382"/>
      <c r="S234" s="382"/>
      <c r="T234" s="382"/>
      <c r="U234" s="382"/>
      <c r="V234" s="383"/>
      <c r="W234" s="383"/>
      <c r="X234" s="383"/>
      <c r="Y234" s="383"/>
    </row>
    <row r="235">
      <c r="A235" s="382"/>
      <c r="B235" s="382"/>
      <c r="C235" s="382"/>
      <c r="D235" s="382"/>
      <c r="E235" s="382"/>
      <c r="F235" s="382"/>
      <c r="G235" s="382"/>
      <c r="H235" s="382"/>
      <c r="I235" s="382"/>
      <c r="J235" s="382"/>
      <c r="K235" s="382"/>
      <c r="L235" s="382"/>
      <c r="M235" s="382"/>
      <c r="N235" s="382"/>
      <c r="O235" s="382"/>
      <c r="P235" s="382"/>
      <c r="Q235" s="382"/>
      <c r="R235" s="382"/>
      <c r="S235" s="382"/>
      <c r="T235" s="382"/>
      <c r="U235" s="382"/>
      <c r="V235" s="383"/>
      <c r="W235" s="383"/>
      <c r="X235" s="383"/>
      <c r="Y235" s="383"/>
    </row>
    <row r="236">
      <c r="A236" s="382"/>
      <c r="B236" s="382"/>
      <c r="C236" s="382"/>
      <c r="D236" s="382"/>
      <c r="E236" s="382"/>
      <c r="F236" s="382"/>
      <c r="G236" s="382"/>
      <c r="H236" s="382"/>
      <c r="I236" s="382"/>
      <c r="J236" s="382"/>
      <c r="K236" s="382"/>
      <c r="L236" s="382"/>
      <c r="M236" s="382"/>
      <c r="N236" s="382"/>
      <c r="O236" s="382"/>
      <c r="P236" s="382"/>
      <c r="Q236" s="382"/>
      <c r="R236" s="382"/>
      <c r="S236" s="382"/>
      <c r="T236" s="382"/>
      <c r="U236" s="382"/>
      <c r="V236" s="383"/>
      <c r="W236" s="383"/>
      <c r="X236" s="383"/>
      <c r="Y236" s="383"/>
    </row>
    <row r="237">
      <c r="A237" s="382"/>
      <c r="B237" s="382"/>
      <c r="C237" s="382"/>
      <c r="D237" s="382"/>
      <c r="E237" s="382"/>
      <c r="F237" s="382"/>
      <c r="G237" s="382"/>
      <c r="H237" s="382"/>
      <c r="I237" s="382"/>
      <c r="J237" s="382"/>
      <c r="K237" s="382"/>
      <c r="L237" s="382"/>
      <c r="M237" s="382"/>
      <c r="N237" s="382"/>
      <c r="O237" s="382"/>
      <c r="P237" s="382"/>
      <c r="Q237" s="382"/>
      <c r="R237" s="382"/>
      <c r="S237" s="382"/>
      <c r="T237" s="382"/>
      <c r="U237" s="382"/>
      <c r="V237" s="383"/>
      <c r="W237" s="383"/>
      <c r="X237" s="383"/>
      <c r="Y237" s="383"/>
    </row>
    <row r="238">
      <c r="A238" s="382"/>
      <c r="B238" s="382"/>
      <c r="C238" s="382"/>
      <c r="D238" s="382"/>
      <c r="E238" s="382"/>
      <c r="F238" s="382"/>
      <c r="G238" s="382"/>
      <c r="H238" s="382"/>
      <c r="I238" s="382"/>
      <c r="J238" s="382"/>
      <c r="K238" s="382"/>
      <c r="L238" s="382"/>
      <c r="M238" s="382"/>
      <c r="N238" s="382"/>
      <c r="O238" s="382"/>
      <c r="P238" s="382"/>
      <c r="Q238" s="382"/>
      <c r="R238" s="382"/>
      <c r="S238" s="382"/>
      <c r="T238" s="382"/>
      <c r="U238" s="382"/>
      <c r="V238" s="383"/>
      <c r="W238" s="383"/>
      <c r="X238" s="383"/>
      <c r="Y238" s="383"/>
    </row>
    <row r="239">
      <c r="A239" s="382"/>
      <c r="B239" s="382"/>
      <c r="C239" s="382"/>
      <c r="D239" s="382"/>
      <c r="E239" s="382"/>
      <c r="F239" s="382"/>
      <c r="G239" s="382"/>
      <c r="H239" s="382"/>
      <c r="I239" s="382"/>
      <c r="J239" s="382"/>
      <c r="K239" s="382"/>
      <c r="L239" s="382"/>
      <c r="M239" s="382"/>
      <c r="N239" s="382"/>
      <c r="O239" s="382"/>
      <c r="P239" s="382"/>
      <c r="Q239" s="382"/>
      <c r="R239" s="382"/>
      <c r="S239" s="382"/>
      <c r="T239" s="382"/>
      <c r="U239" s="382"/>
      <c r="V239" s="383"/>
      <c r="W239" s="383"/>
      <c r="X239" s="383"/>
      <c r="Y239" s="383"/>
    </row>
    <row r="240">
      <c r="A240" s="382"/>
      <c r="B240" s="382"/>
      <c r="C240" s="382"/>
      <c r="D240" s="382"/>
      <c r="E240" s="382"/>
      <c r="F240" s="382"/>
      <c r="G240" s="382"/>
      <c r="H240" s="382"/>
      <c r="I240" s="382"/>
      <c r="J240" s="382"/>
      <c r="K240" s="382"/>
      <c r="L240" s="382"/>
      <c r="M240" s="382"/>
      <c r="N240" s="382"/>
      <c r="O240" s="382"/>
      <c r="P240" s="382"/>
      <c r="Q240" s="382"/>
      <c r="R240" s="382"/>
      <c r="S240" s="382"/>
      <c r="T240" s="382"/>
      <c r="U240" s="382"/>
      <c r="V240" s="383"/>
      <c r="W240" s="383"/>
      <c r="X240" s="383"/>
      <c r="Y240" s="383"/>
    </row>
    <row r="241">
      <c r="A241" s="382"/>
      <c r="B241" s="382"/>
      <c r="C241" s="382"/>
      <c r="D241" s="382"/>
      <c r="E241" s="382"/>
      <c r="F241" s="382"/>
      <c r="G241" s="382"/>
      <c r="H241" s="382"/>
      <c r="I241" s="382"/>
      <c r="J241" s="382"/>
      <c r="K241" s="382"/>
      <c r="L241" s="382"/>
      <c r="M241" s="382"/>
      <c r="N241" s="382"/>
      <c r="O241" s="382"/>
      <c r="P241" s="382"/>
      <c r="Q241" s="382"/>
      <c r="R241" s="382"/>
      <c r="S241" s="382"/>
      <c r="T241" s="382"/>
      <c r="U241" s="382"/>
      <c r="V241" s="383"/>
      <c r="W241" s="383"/>
      <c r="X241" s="383"/>
      <c r="Y241" s="383"/>
    </row>
    <row r="242">
      <c r="A242" s="382"/>
      <c r="B242" s="382"/>
      <c r="C242" s="382"/>
      <c r="D242" s="382"/>
      <c r="E242" s="382"/>
      <c r="F242" s="382"/>
      <c r="G242" s="382"/>
      <c r="H242" s="382"/>
      <c r="I242" s="382"/>
      <c r="J242" s="382"/>
      <c r="K242" s="382"/>
      <c r="L242" s="382"/>
      <c r="M242" s="382"/>
      <c r="N242" s="382"/>
      <c r="O242" s="382"/>
      <c r="P242" s="382"/>
      <c r="Q242" s="382"/>
      <c r="R242" s="382"/>
      <c r="S242" s="382"/>
      <c r="T242" s="382"/>
      <c r="U242" s="382"/>
      <c r="V242" s="383"/>
      <c r="W242" s="383"/>
      <c r="X242" s="383"/>
      <c r="Y242" s="383"/>
    </row>
    <row r="243">
      <c r="A243" s="382"/>
      <c r="B243" s="382"/>
      <c r="C243" s="382"/>
      <c r="D243" s="382"/>
      <c r="E243" s="382"/>
      <c r="F243" s="382"/>
      <c r="G243" s="382"/>
      <c r="H243" s="382"/>
      <c r="I243" s="382"/>
      <c r="J243" s="382"/>
      <c r="K243" s="382"/>
      <c r="L243" s="382"/>
      <c r="M243" s="382"/>
      <c r="N243" s="382"/>
      <c r="O243" s="382"/>
      <c r="P243" s="382"/>
      <c r="Q243" s="382"/>
      <c r="R243" s="382"/>
      <c r="S243" s="382"/>
      <c r="T243" s="382"/>
      <c r="U243" s="382"/>
      <c r="V243" s="383"/>
      <c r="W243" s="383"/>
      <c r="X243" s="383"/>
      <c r="Y243" s="383"/>
    </row>
    <row r="244">
      <c r="A244" s="382"/>
      <c r="B244" s="382"/>
      <c r="C244" s="382"/>
      <c r="D244" s="382"/>
      <c r="E244" s="382"/>
      <c r="F244" s="382"/>
      <c r="G244" s="382"/>
      <c r="H244" s="382"/>
      <c r="I244" s="382"/>
      <c r="J244" s="382"/>
      <c r="K244" s="382"/>
      <c r="L244" s="382"/>
      <c r="M244" s="382"/>
      <c r="N244" s="382"/>
      <c r="O244" s="382"/>
      <c r="P244" s="382"/>
      <c r="Q244" s="382"/>
      <c r="R244" s="382"/>
      <c r="S244" s="382"/>
      <c r="T244" s="382"/>
      <c r="U244" s="382"/>
      <c r="V244" s="383"/>
      <c r="W244" s="383"/>
      <c r="X244" s="383"/>
      <c r="Y244" s="383"/>
    </row>
    <row r="245">
      <c r="A245" s="382"/>
      <c r="B245" s="382"/>
      <c r="C245" s="382"/>
      <c r="D245" s="382"/>
      <c r="E245" s="382"/>
      <c r="F245" s="382"/>
      <c r="G245" s="382"/>
      <c r="H245" s="382"/>
      <c r="I245" s="382"/>
      <c r="J245" s="382"/>
      <c r="K245" s="382"/>
      <c r="L245" s="382"/>
      <c r="M245" s="382"/>
      <c r="N245" s="382"/>
      <c r="O245" s="382"/>
      <c r="P245" s="382"/>
      <c r="Q245" s="382"/>
      <c r="R245" s="382"/>
      <c r="S245" s="382"/>
      <c r="T245" s="382"/>
      <c r="U245" s="382"/>
      <c r="V245" s="383"/>
      <c r="W245" s="383"/>
      <c r="X245" s="383"/>
      <c r="Y245" s="383"/>
    </row>
    <row r="246">
      <c r="A246" s="382"/>
      <c r="B246" s="382"/>
      <c r="C246" s="382"/>
      <c r="D246" s="382"/>
      <c r="E246" s="382"/>
      <c r="F246" s="382"/>
      <c r="G246" s="382"/>
      <c r="H246" s="382"/>
      <c r="I246" s="382"/>
      <c r="J246" s="382"/>
      <c r="K246" s="382"/>
      <c r="L246" s="382"/>
      <c r="M246" s="382"/>
      <c r="N246" s="382"/>
      <c r="O246" s="382"/>
      <c r="P246" s="382"/>
      <c r="Q246" s="382"/>
      <c r="R246" s="382"/>
      <c r="S246" s="382"/>
      <c r="T246" s="382"/>
      <c r="U246" s="382"/>
      <c r="V246" s="383"/>
      <c r="W246" s="383"/>
      <c r="X246" s="383"/>
      <c r="Y246" s="383"/>
    </row>
    <row r="247">
      <c r="A247" s="382"/>
      <c r="B247" s="382"/>
      <c r="C247" s="382"/>
      <c r="D247" s="382"/>
      <c r="E247" s="382"/>
      <c r="F247" s="382"/>
      <c r="G247" s="382"/>
      <c r="H247" s="382"/>
      <c r="I247" s="382"/>
      <c r="J247" s="382"/>
      <c r="K247" s="382"/>
      <c r="L247" s="382"/>
      <c r="M247" s="382"/>
      <c r="N247" s="382"/>
      <c r="O247" s="382"/>
      <c r="P247" s="382"/>
      <c r="Q247" s="382"/>
      <c r="R247" s="382"/>
      <c r="S247" s="382"/>
      <c r="T247" s="382"/>
      <c r="U247" s="382"/>
      <c r="V247" s="383"/>
      <c r="W247" s="383"/>
      <c r="X247" s="383"/>
      <c r="Y247" s="383"/>
    </row>
    <row r="248">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3"/>
      <c r="W248" s="383"/>
      <c r="X248" s="383"/>
      <c r="Y248" s="383"/>
    </row>
    <row r="249">
      <c r="A249" s="382"/>
      <c r="B249" s="382"/>
      <c r="C249" s="382"/>
      <c r="D249" s="382"/>
      <c r="E249" s="382"/>
      <c r="F249" s="382"/>
      <c r="G249" s="382"/>
      <c r="H249" s="382"/>
      <c r="I249" s="382"/>
      <c r="J249" s="382"/>
      <c r="K249" s="382"/>
      <c r="L249" s="382"/>
      <c r="M249" s="382"/>
      <c r="N249" s="382"/>
      <c r="O249" s="382"/>
      <c r="P249" s="382"/>
      <c r="Q249" s="382"/>
      <c r="R249" s="382"/>
      <c r="S249" s="382"/>
      <c r="T249" s="382"/>
      <c r="U249" s="382"/>
      <c r="V249" s="383"/>
      <c r="W249" s="383"/>
      <c r="X249" s="383"/>
      <c r="Y249" s="383"/>
    </row>
    <row r="250">
      <c r="A250" s="382"/>
      <c r="B250" s="382"/>
      <c r="C250" s="382"/>
      <c r="D250" s="382"/>
      <c r="E250" s="382"/>
      <c r="F250" s="382"/>
      <c r="G250" s="382"/>
      <c r="H250" s="382"/>
      <c r="I250" s="382"/>
      <c r="J250" s="382"/>
      <c r="K250" s="382"/>
      <c r="L250" s="382"/>
      <c r="M250" s="382"/>
      <c r="N250" s="382"/>
      <c r="O250" s="382"/>
      <c r="P250" s="382"/>
      <c r="Q250" s="382"/>
      <c r="R250" s="382"/>
      <c r="S250" s="382"/>
      <c r="T250" s="382"/>
      <c r="U250" s="382"/>
      <c r="V250" s="383"/>
      <c r="W250" s="383"/>
      <c r="X250" s="383"/>
      <c r="Y250" s="383"/>
    </row>
    <row r="251">
      <c r="A251" s="382"/>
      <c r="B251" s="382"/>
      <c r="C251" s="382"/>
      <c r="D251" s="382"/>
      <c r="E251" s="382"/>
      <c r="F251" s="382"/>
      <c r="G251" s="382"/>
      <c r="H251" s="382"/>
      <c r="I251" s="382"/>
      <c r="J251" s="382"/>
      <c r="K251" s="382"/>
      <c r="L251" s="382"/>
      <c r="M251" s="382"/>
      <c r="N251" s="382"/>
      <c r="O251" s="382"/>
      <c r="P251" s="382"/>
      <c r="Q251" s="382"/>
      <c r="R251" s="382"/>
      <c r="S251" s="382"/>
      <c r="T251" s="382"/>
      <c r="U251" s="382"/>
      <c r="V251" s="383"/>
      <c r="W251" s="383"/>
      <c r="X251" s="383"/>
      <c r="Y251" s="383"/>
    </row>
    <row r="252">
      <c r="A252" s="382"/>
      <c r="B252" s="382"/>
      <c r="C252" s="382"/>
      <c r="D252" s="382"/>
      <c r="E252" s="382"/>
      <c r="F252" s="382"/>
      <c r="G252" s="382"/>
      <c r="H252" s="382"/>
      <c r="I252" s="382"/>
      <c r="J252" s="382"/>
      <c r="K252" s="382"/>
      <c r="L252" s="382"/>
      <c r="M252" s="382"/>
      <c r="N252" s="382"/>
      <c r="O252" s="382"/>
      <c r="P252" s="382"/>
      <c r="Q252" s="382"/>
      <c r="R252" s="382"/>
      <c r="S252" s="382"/>
      <c r="T252" s="382"/>
      <c r="U252" s="382"/>
      <c r="V252" s="383"/>
      <c r="W252" s="383"/>
      <c r="X252" s="383"/>
      <c r="Y252" s="383"/>
    </row>
    <row r="253">
      <c r="A253" s="382"/>
      <c r="B253" s="382"/>
      <c r="C253" s="382"/>
      <c r="D253" s="382"/>
      <c r="E253" s="382"/>
      <c r="F253" s="382"/>
      <c r="G253" s="382"/>
      <c r="H253" s="382"/>
      <c r="I253" s="382"/>
      <c r="J253" s="382"/>
      <c r="K253" s="382"/>
      <c r="L253" s="382"/>
      <c r="M253" s="382"/>
      <c r="N253" s="382"/>
      <c r="O253" s="382"/>
      <c r="P253" s="382"/>
      <c r="Q253" s="382"/>
      <c r="R253" s="382"/>
      <c r="S253" s="382"/>
      <c r="T253" s="382"/>
      <c r="U253" s="382"/>
      <c r="V253" s="383"/>
      <c r="W253" s="383"/>
      <c r="X253" s="383"/>
      <c r="Y253" s="383"/>
    </row>
    <row r="254">
      <c r="A254" s="382"/>
      <c r="B254" s="382"/>
      <c r="C254" s="382"/>
      <c r="D254" s="382"/>
      <c r="E254" s="382"/>
      <c r="F254" s="382"/>
      <c r="G254" s="382"/>
      <c r="H254" s="382"/>
      <c r="I254" s="382"/>
      <c r="J254" s="382"/>
      <c r="K254" s="382"/>
      <c r="L254" s="382"/>
      <c r="M254" s="382"/>
      <c r="N254" s="382"/>
      <c r="O254" s="382"/>
      <c r="P254" s="382"/>
      <c r="Q254" s="382"/>
      <c r="R254" s="382"/>
      <c r="S254" s="382"/>
      <c r="T254" s="382"/>
      <c r="U254" s="382"/>
      <c r="V254" s="383"/>
      <c r="W254" s="383"/>
      <c r="X254" s="383"/>
      <c r="Y254" s="383"/>
    </row>
    <row r="255">
      <c r="A255" s="382"/>
      <c r="B255" s="382"/>
      <c r="C255" s="382"/>
      <c r="D255" s="382"/>
      <c r="E255" s="382"/>
      <c r="F255" s="382"/>
      <c r="G255" s="382"/>
      <c r="H255" s="382"/>
      <c r="I255" s="382"/>
      <c r="J255" s="382"/>
      <c r="K255" s="382"/>
      <c r="L255" s="382"/>
      <c r="M255" s="382"/>
      <c r="N255" s="382"/>
      <c r="O255" s="382"/>
      <c r="P255" s="382"/>
      <c r="Q255" s="382"/>
      <c r="R255" s="382"/>
      <c r="S255" s="382"/>
      <c r="T255" s="382"/>
      <c r="U255" s="382"/>
      <c r="V255" s="383"/>
      <c r="W255" s="383"/>
      <c r="X255" s="383"/>
      <c r="Y255" s="383"/>
    </row>
    <row r="256">
      <c r="A256" s="382"/>
      <c r="B256" s="382"/>
      <c r="C256" s="382"/>
      <c r="D256" s="382"/>
      <c r="E256" s="382"/>
      <c r="F256" s="382"/>
      <c r="G256" s="382"/>
      <c r="H256" s="382"/>
      <c r="I256" s="382"/>
      <c r="J256" s="382"/>
      <c r="K256" s="382"/>
      <c r="L256" s="382"/>
      <c r="M256" s="382"/>
      <c r="N256" s="382"/>
      <c r="O256" s="382"/>
      <c r="P256" s="382"/>
      <c r="Q256" s="382"/>
      <c r="R256" s="382"/>
      <c r="S256" s="382"/>
      <c r="T256" s="382"/>
      <c r="U256" s="382"/>
      <c r="V256" s="383"/>
      <c r="W256" s="383"/>
      <c r="X256" s="383"/>
      <c r="Y256" s="383"/>
    </row>
    <row r="257">
      <c r="A257" s="382"/>
      <c r="B257" s="382"/>
      <c r="C257" s="382"/>
      <c r="D257" s="382"/>
      <c r="E257" s="382"/>
      <c r="F257" s="382"/>
      <c r="G257" s="382"/>
      <c r="H257" s="382"/>
      <c r="I257" s="382"/>
      <c r="J257" s="382"/>
      <c r="K257" s="382"/>
      <c r="L257" s="382"/>
      <c r="M257" s="382"/>
      <c r="N257" s="382"/>
      <c r="O257" s="382"/>
      <c r="P257" s="382"/>
      <c r="Q257" s="382"/>
      <c r="R257" s="382"/>
      <c r="S257" s="382"/>
      <c r="T257" s="382"/>
      <c r="U257" s="382"/>
      <c r="V257" s="383"/>
      <c r="W257" s="383"/>
      <c r="X257" s="383"/>
      <c r="Y257" s="383"/>
    </row>
    <row r="258">
      <c r="A258" s="382"/>
      <c r="B258" s="382"/>
      <c r="C258" s="382"/>
      <c r="D258" s="382"/>
      <c r="E258" s="382"/>
      <c r="F258" s="382"/>
      <c r="G258" s="382"/>
      <c r="H258" s="382"/>
      <c r="I258" s="382"/>
      <c r="J258" s="382"/>
      <c r="K258" s="382"/>
      <c r="L258" s="382"/>
      <c r="M258" s="382"/>
      <c r="N258" s="382"/>
      <c r="O258" s="382"/>
      <c r="P258" s="382"/>
      <c r="Q258" s="382"/>
      <c r="R258" s="382"/>
      <c r="S258" s="382"/>
      <c r="T258" s="382"/>
      <c r="U258" s="382"/>
      <c r="V258" s="383"/>
      <c r="W258" s="383"/>
      <c r="X258" s="383"/>
      <c r="Y258" s="383"/>
    </row>
    <row r="259">
      <c r="A259" s="382"/>
      <c r="B259" s="382"/>
      <c r="C259" s="382"/>
      <c r="D259" s="382"/>
      <c r="E259" s="382"/>
      <c r="F259" s="382"/>
      <c r="G259" s="382"/>
      <c r="H259" s="382"/>
      <c r="I259" s="382"/>
      <c r="J259" s="382"/>
      <c r="K259" s="382"/>
      <c r="L259" s="382"/>
      <c r="M259" s="382"/>
      <c r="N259" s="382"/>
      <c r="O259" s="382"/>
      <c r="P259" s="382"/>
      <c r="Q259" s="382"/>
      <c r="R259" s="382"/>
      <c r="S259" s="382"/>
      <c r="T259" s="382"/>
      <c r="U259" s="382"/>
      <c r="V259" s="383"/>
      <c r="W259" s="383"/>
      <c r="X259" s="383"/>
      <c r="Y259" s="383"/>
    </row>
    <row r="260">
      <c r="A260" s="382"/>
      <c r="B260" s="382"/>
      <c r="C260" s="382"/>
      <c r="D260" s="382"/>
      <c r="E260" s="382"/>
      <c r="F260" s="382"/>
      <c r="G260" s="382"/>
      <c r="H260" s="382"/>
      <c r="I260" s="382"/>
      <c r="J260" s="382"/>
      <c r="K260" s="382"/>
      <c r="L260" s="382"/>
      <c r="M260" s="382"/>
      <c r="N260" s="382"/>
      <c r="O260" s="382"/>
      <c r="P260" s="382"/>
      <c r="Q260" s="382"/>
      <c r="R260" s="382"/>
      <c r="S260" s="382"/>
      <c r="T260" s="382"/>
      <c r="U260" s="382"/>
      <c r="V260" s="383"/>
      <c r="W260" s="383"/>
      <c r="X260" s="383"/>
      <c r="Y260" s="383"/>
    </row>
    <row r="261">
      <c r="A261" s="382"/>
      <c r="B261" s="382"/>
      <c r="C261" s="382"/>
      <c r="D261" s="382"/>
      <c r="E261" s="382"/>
      <c r="F261" s="382"/>
      <c r="G261" s="382"/>
      <c r="H261" s="382"/>
      <c r="I261" s="382"/>
      <c r="J261" s="382"/>
      <c r="K261" s="382"/>
      <c r="L261" s="382"/>
      <c r="M261" s="382"/>
      <c r="N261" s="382"/>
      <c r="O261" s="382"/>
      <c r="P261" s="382"/>
      <c r="Q261" s="382"/>
      <c r="R261" s="382"/>
      <c r="S261" s="382"/>
      <c r="T261" s="382"/>
      <c r="U261" s="382"/>
      <c r="V261" s="383"/>
      <c r="W261" s="383"/>
      <c r="X261" s="383"/>
      <c r="Y261" s="383"/>
    </row>
    <row r="262">
      <c r="A262" s="382"/>
      <c r="B262" s="382"/>
      <c r="C262" s="382"/>
      <c r="D262" s="382"/>
      <c r="E262" s="382"/>
      <c r="F262" s="382"/>
      <c r="G262" s="382"/>
      <c r="H262" s="382"/>
      <c r="I262" s="382"/>
      <c r="J262" s="382"/>
      <c r="K262" s="382"/>
      <c r="L262" s="382"/>
      <c r="M262" s="382"/>
      <c r="N262" s="382"/>
      <c r="O262" s="382"/>
      <c r="P262" s="382"/>
      <c r="Q262" s="382"/>
      <c r="R262" s="382"/>
      <c r="S262" s="382"/>
      <c r="T262" s="382"/>
      <c r="U262" s="382"/>
      <c r="V262" s="383"/>
      <c r="W262" s="383"/>
      <c r="X262" s="383"/>
      <c r="Y262" s="383"/>
    </row>
    <row r="263">
      <c r="A263" s="382"/>
      <c r="B263" s="382"/>
      <c r="C263" s="382"/>
      <c r="D263" s="382"/>
      <c r="E263" s="382"/>
      <c r="F263" s="382"/>
      <c r="G263" s="382"/>
      <c r="H263" s="382"/>
      <c r="I263" s="382"/>
      <c r="J263" s="382"/>
      <c r="K263" s="382"/>
      <c r="L263" s="382"/>
      <c r="M263" s="382"/>
      <c r="N263" s="382"/>
      <c r="O263" s="382"/>
      <c r="P263" s="382"/>
      <c r="Q263" s="382"/>
      <c r="R263" s="382"/>
      <c r="S263" s="382"/>
      <c r="T263" s="382"/>
      <c r="U263" s="382"/>
      <c r="V263" s="383"/>
      <c r="W263" s="383"/>
      <c r="X263" s="383"/>
      <c r="Y263" s="383"/>
    </row>
    <row r="264">
      <c r="A264" s="382"/>
      <c r="B264" s="382"/>
      <c r="C264" s="382"/>
      <c r="D264" s="382"/>
      <c r="E264" s="382"/>
      <c r="F264" s="382"/>
      <c r="G264" s="382"/>
      <c r="H264" s="382"/>
      <c r="I264" s="382"/>
      <c r="J264" s="382"/>
      <c r="K264" s="382"/>
      <c r="L264" s="382"/>
      <c r="M264" s="382"/>
      <c r="N264" s="382"/>
      <c r="O264" s="382"/>
      <c r="P264" s="382"/>
      <c r="Q264" s="382"/>
      <c r="R264" s="382"/>
      <c r="S264" s="382"/>
      <c r="T264" s="382"/>
      <c r="U264" s="382"/>
      <c r="V264" s="383"/>
      <c r="W264" s="383"/>
      <c r="X264" s="383"/>
      <c r="Y264" s="383"/>
    </row>
    <row r="265">
      <c r="A265" s="382"/>
      <c r="B265" s="382"/>
      <c r="C265" s="382"/>
      <c r="D265" s="382"/>
      <c r="E265" s="382"/>
      <c r="F265" s="382"/>
      <c r="G265" s="382"/>
      <c r="H265" s="382"/>
      <c r="I265" s="382"/>
      <c r="J265" s="382"/>
      <c r="K265" s="382"/>
      <c r="L265" s="382"/>
      <c r="M265" s="382"/>
      <c r="N265" s="382"/>
      <c r="O265" s="382"/>
      <c r="P265" s="382"/>
      <c r="Q265" s="382"/>
      <c r="R265" s="382"/>
      <c r="S265" s="382"/>
      <c r="T265" s="382"/>
      <c r="U265" s="382"/>
      <c r="V265" s="383"/>
      <c r="W265" s="383"/>
      <c r="X265" s="383"/>
      <c r="Y265" s="383"/>
    </row>
    <row r="266">
      <c r="A266" s="382"/>
      <c r="B266" s="382"/>
      <c r="C266" s="382"/>
      <c r="D266" s="382"/>
      <c r="E266" s="382"/>
      <c r="F266" s="382"/>
      <c r="G266" s="382"/>
      <c r="H266" s="382"/>
      <c r="I266" s="382"/>
      <c r="J266" s="382"/>
      <c r="K266" s="382"/>
      <c r="L266" s="382"/>
      <c r="M266" s="382"/>
      <c r="N266" s="382"/>
      <c r="O266" s="382"/>
      <c r="P266" s="382"/>
      <c r="Q266" s="382"/>
      <c r="R266" s="382"/>
      <c r="S266" s="382"/>
      <c r="T266" s="382"/>
      <c r="U266" s="382"/>
      <c r="V266" s="383"/>
      <c r="W266" s="383"/>
      <c r="X266" s="383"/>
      <c r="Y266" s="383"/>
    </row>
    <row r="267">
      <c r="A267" s="382"/>
      <c r="B267" s="382"/>
      <c r="C267" s="382"/>
      <c r="D267" s="382"/>
      <c r="E267" s="382"/>
      <c r="F267" s="382"/>
      <c r="G267" s="382"/>
      <c r="H267" s="382"/>
      <c r="I267" s="382"/>
      <c r="J267" s="382"/>
      <c r="K267" s="382"/>
      <c r="L267" s="382"/>
      <c r="M267" s="382"/>
      <c r="N267" s="382"/>
      <c r="O267" s="382"/>
      <c r="P267" s="382"/>
      <c r="Q267" s="382"/>
      <c r="R267" s="382"/>
      <c r="S267" s="382"/>
      <c r="T267" s="382"/>
      <c r="U267" s="382"/>
      <c r="V267" s="383"/>
      <c r="W267" s="383"/>
      <c r="X267" s="383"/>
      <c r="Y267" s="383"/>
    </row>
    <row r="268">
      <c r="A268" s="382"/>
      <c r="B268" s="382"/>
      <c r="C268" s="382"/>
      <c r="D268" s="382"/>
      <c r="E268" s="382"/>
      <c r="F268" s="382"/>
      <c r="G268" s="382"/>
      <c r="H268" s="382"/>
      <c r="I268" s="382"/>
      <c r="J268" s="382"/>
      <c r="K268" s="382"/>
      <c r="L268" s="382"/>
      <c r="M268" s="382"/>
      <c r="N268" s="382"/>
      <c r="O268" s="382"/>
      <c r="P268" s="382"/>
      <c r="Q268" s="382"/>
      <c r="R268" s="382"/>
      <c r="S268" s="382"/>
      <c r="T268" s="382"/>
      <c r="U268" s="382"/>
      <c r="V268" s="383"/>
      <c r="W268" s="383"/>
      <c r="X268" s="383"/>
      <c r="Y268" s="383"/>
    </row>
    <row r="269">
      <c r="A269" s="382"/>
      <c r="B269" s="382"/>
      <c r="C269" s="382"/>
      <c r="D269" s="382"/>
      <c r="E269" s="382"/>
      <c r="F269" s="382"/>
      <c r="G269" s="382"/>
      <c r="H269" s="382"/>
      <c r="I269" s="382"/>
      <c r="J269" s="382"/>
      <c r="K269" s="382"/>
      <c r="L269" s="382"/>
      <c r="M269" s="382"/>
      <c r="N269" s="382"/>
      <c r="O269" s="382"/>
      <c r="P269" s="382"/>
      <c r="Q269" s="382"/>
      <c r="R269" s="382"/>
      <c r="S269" s="382"/>
      <c r="T269" s="382"/>
      <c r="U269" s="382"/>
      <c r="V269" s="383"/>
      <c r="W269" s="383"/>
      <c r="X269" s="383"/>
      <c r="Y269" s="383"/>
    </row>
    <row r="270">
      <c r="A270" s="382"/>
      <c r="B270" s="382"/>
      <c r="C270" s="382"/>
      <c r="D270" s="382"/>
      <c r="E270" s="382"/>
      <c r="F270" s="382"/>
      <c r="G270" s="382"/>
      <c r="H270" s="382"/>
      <c r="I270" s="382"/>
      <c r="J270" s="382"/>
      <c r="K270" s="382"/>
      <c r="L270" s="382"/>
      <c r="M270" s="382"/>
      <c r="N270" s="382"/>
      <c r="O270" s="382"/>
      <c r="P270" s="382"/>
      <c r="Q270" s="382"/>
      <c r="R270" s="382"/>
      <c r="S270" s="382"/>
      <c r="T270" s="382"/>
      <c r="U270" s="382"/>
      <c r="V270" s="383"/>
      <c r="W270" s="383"/>
      <c r="X270" s="383"/>
      <c r="Y270" s="383"/>
    </row>
    <row r="271">
      <c r="A271" s="382"/>
      <c r="B271" s="382"/>
      <c r="C271" s="382"/>
      <c r="D271" s="382"/>
      <c r="E271" s="382"/>
      <c r="F271" s="382"/>
      <c r="G271" s="382"/>
      <c r="H271" s="382"/>
      <c r="I271" s="382"/>
      <c r="J271" s="382"/>
      <c r="K271" s="382"/>
      <c r="L271" s="382"/>
      <c r="M271" s="382"/>
      <c r="N271" s="382"/>
      <c r="O271" s="382"/>
      <c r="P271" s="382"/>
      <c r="Q271" s="382"/>
      <c r="R271" s="382"/>
      <c r="S271" s="382"/>
      <c r="T271" s="382"/>
      <c r="U271" s="382"/>
      <c r="V271" s="383"/>
      <c r="W271" s="383"/>
      <c r="X271" s="383"/>
      <c r="Y271" s="383"/>
    </row>
    <row r="272">
      <c r="A272" s="382"/>
      <c r="B272" s="382"/>
      <c r="C272" s="382"/>
      <c r="D272" s="382"/>
      <c r="E272" s="382"/>
      <c r="F272" s="382"/>
      <c r="G272" s="382"/>
      <c r="H272" s="382"/>
      <c r="I272" s="382"/>
      <c r="J272" s="382"/>
      <c r="K272" s="382"/>
      <c r="L272" s="382"/>
      <c r="M272" s="382"/>
      <c r="N272" s="382"/>
      <c r="O272" s="382"/>
      <c r="P272" s="382"/>
      <c r="Q272" s="382"/>
      <c r="R272" s="382"/>
      <c r="S272" s="382"/>
      <c r="T272" s="382"/>
      <c r="U272" s="382"/>
      <c r="V272" s="383"/>
      <c r="W272" s="383"/>
      <c r="X272" s="383"/>
      <c r="Y272" s="383"/>
    </row>
    <row r="273">
      <c r="A273" s="382"/>
      <c r="B273" s="382"/>
      <c r="C273" s="382"/>
      <c r="D273" s="382"/>
      <c r="E273" s="382"/>
      <c r="F273" s="382"/>
      <c r="G273" s="382"/>
      <c r="H273" s="382"/>
      <c r="I273" s="382"/>
      <c r="J273" s="382"/>
      <c r="K273" s="382"/>
      <c r="L273" s="382"/>
      <c r="M273" s="382"/>
      <c r="N273" s="382"/>
      <c r="O273" s="382"/>
      <c r="P273" s="382"/>
      <c r="Q273" s="382"/>
      <c r="R273" s="382"/>
      <c r="S273" s="382"/>
      <c r="T273" s="382"/>
      <c r="U273" s="382"/>
      <c r="V273" s="383"/>
      <c r="W273" s="383"/>
      <c r="X273" s="383"/>
      <c r="Y273" s="383"/>
    </row>
    <row r="274">
      <c r="A274" s="382"/>
      <c r="B274" s="382"/>
      <c r="C274" s="382"/>
      <c r="D274" s="382"/>
      <c r="E274" s="382"/>
      <c r="F274" s="382"/>
      <c r="G274" s="382"/>
      <c r="H274" s="382"/>
      <c r="I274" s="382"/>
      <c r="J274" s="382"/>
      <c r="K274" s="382"/>
      <c r="L274" s="382"/>
      <c r="M274" s="382"/>
      <c r="N274" s="382"/>
      <c r="O274" s="382"/>
      <c r="P274" s="382"/>
      <c r="Q274" s="382"/>
      <c r="R274" s="382"/>
      <c r="S274" s="382"/>
      <c r="T274" s="382"/>
      <c r="U274" s="382"/>
      <c r="V274" s="383"/>
      <c r="W274" s="383"/>
      <c r="X274" s="383"/>
      <c r="Y274" s="383"/>
    </row>
    <row r="275">
      <c r="A275" s="382"/>
      <c r="B275" s="382"/>
      <c r="C275" s="382"/>
      <c r="D275" s="382"/>
      <c r="E275" s="382"/>
      <c r="F275" s="382"/>
      <c r="G275" s="382"/>
      <c r="H275" s="382"/>
      <c r="I275" s="382"/>
      <c r="J275" s="382"/>
      <c r="K275" s="382"/>
      <c r="L275" s="382"/>
      <c r="M275" s="382"/>
      <c r="N275" s="382"/>
      <c r="O275" s="382"/>
      <c r="P275" s="382"/>
      <c r="Q275" s="382"/>
      <c r="R275" s="382"/>
      <c r="S275" s="382"/>
      <c r="T275" s="382"/>
      <c r="U275" s="382"/>
      <c r="V275" s="383"/>
      <c r="W275" s="383"/>
      <c r="X275" s="383"/>
      <c r="Y275" s="383"/>
    </row>
    <row r="276">
      <c r="A276" s="382"/>
      <c r="B276" s="382"/>
      <c r="C276" s="382"/>
      <c r="D276" s="382"/>
      <c r="E276" s="382"/>
      <c r="F276" s="382"/>
      <c r="G276" s="382"/>
      <c r="H276" s="382"/>
      <c r="I276" s="382"/>
      <c r="J276" s="382"/>
      <c r="K276" s="382"/>
      <c r="L276" s="382"/>
      <c r="M276" s="382"/>
      <c r="N276" s="382"/>
      <c r="O276" s="382"/>
      <c r="P276" s="382"/>
      <c r="Q276" s="382"/>
      <c r="R276" s="382"/>
      <c r="S276" s="382"/>
      <c r="T276" s="382"/>
      <c r="U276" s="382"/>
      <c r="V276" s="383"/>
      <c r="W276" s="383"/>
      <c r="X276" s="383"/>
      <c r="Y276" s="383"/>
    </row>
    <row r="277">
      <c r="A277" s="382"/>
      <c r="B277" s="382"/>
      <c r="C277" s="382"/>
      <c r="D277" s="382"/>
      <c r="E277" s="382"/>
      <c r="F277" s="382"/>
      <c r="G277" s="382"/>
      <c r="H277" s="382"/>
      <c r="I277" s="382"/>
      <c r="J277" s="382"/>
      <c r="K277" s="382"/>
      <c r="L277" s="382"/>
      <c r="M277" s="382"/>
      <c r="N277" s="382"/>
      <c r="O277" s="382"/>
      <c r="P277" s="382"/>
      <c r="Q277" s="382"/>
      <c r="R277" s="382"/>
      <c r="S277" s="382"/>
      <c r="T277" s="382"/>
      <c r="U277" s="382"/>
      <c r="V277" s="383"/>
      <c r="W277" s="383"/>
      <c r="X277" s="383"/>
      <c r="Y277" s="383"/>
    </row>
    <row r="278">
      <c r="A278" s="382"/>
      <c r="B278" s="382"/>
      <c r="C278" s="382"/>
      <c r="D278" s="382"/>
      <c r="E278" s="382"/>
      <c r="F278" s="382"/>
      <c r="G278" s="382"/>
      <c r="H278" s="382"/>
      <c r="I278" s="382"/>
      <c r="J278" s="382"/>
      <c r="K278" s="382"/>
      <c r="L278" s="382"/>
      <c r="M278" s="382"/>
      <c r="N278" s="382"/>
      <c r="O278" s="382"/>
      <c r="P278" s="382"/>
      <c r="Q278" s="382"/>
      <c r="R278" s="382"/>
      <c r="S278" s="382"/>
      <c r="T278" s="382"/>
      <c r="U278" s="382"/>
      <c r="V278" s="383"/>
      <c r="W278" s="383"/>
      <c r="X278" s="383"/>
      <c r="Y278" s="383"/>
    </row>
    <row r="279">
      <c r="A279" s="382"/>
      <c r="B279" s="382"/>
      <c r="C279" s="382"/>
      <c r="D279" s="382"/>
      <c r="E279" s="382"/>
      <c r="F279" s="382"/>
      <c r="G279" s="382"/>
      <c r="H279" s="382"/>
      <c r="I279" s="382"/>
      <c r="J279" s="382"/>
      <c r="K279" s="382"/>
      <c r="L279" s="382"/>
      <c r="M279" s="382"/>
      <c r="N279" s="382"/>
      <c r="O279" s="382"/>
      <c r="P279" s="382"/>
      <c r="Q279" s="382"/>
      <c r="R279" s="382"/>
      <c r="S279" s="382"/>
      <c r="T279" s="382"/>
      <c r="U279" s="382"/>
      <c r="V279" s="383"/>
      <c r="W279" s="383"/>
      <c r="X279" s="383"/>
      <c r="Y279" s="383"/>
    </row>
    <row r="280">
      <c r="A280" s="382"/>
      <c r="B280" s="382"/>
      <c r="C280" s="382"/>
      <c r="D280" s="382"/>
      <c r="E280" s="382"/>
      <c r="F280" s="382"/>
      <c r="G280" s="382"/>
      <c r="H280" s="382"/>
      <c r="I280" s="382"/>
      <c r="J280" s="382"/>
      <c r="K280" s="382"/>
      <c r="L280" s="382"/>
      <c r="M280" s="382"/>
      <c r="N280" s="382"/>
      <c r="O280" s="382"/>
      <c r="P280" s="382"/>
      <c r="Q280" s="382"/>
      <c r="R280" s="382"/>
      <c r="S280" s="382"/>
      <c r="T280" s="382"/>
      <c r="U280" s="382"/>
      <c r="V280" s="383"/>
      <c r="W280" s="383"/>
      <c r="X280" s="383"/>
      <c r="Y280" s="383"/>
    </row>
    <row r="281">
      <c r="A281" s="382"/>
      <c r="B281" s="382"/>
      <c r="C281" s="382"/>
      <c r="D281" s="382"/>
      <c r="E281" s="382"/>
      <c r="F281" s="382"/>
      <c r="G281" s="382"/>
      <c r="H281" s="382"/>
      <c r="I281" s="382"/>
      <c r="J281" s="382"/>
      <c r="K281" s="382"/>
      <c r="L281" s="382"/>
      <c r="M281" s="382"/>
      <c r="N281" s="382"/>
      <c r="O281" s="382"/>
      <c r="P281" s="382"/>
      <c r="Q281" s="382"/>
      <c r="R281" s="382"/>
      <c r="S281" s="382"/>
      <c r="T281" s="382"/>
      <c r="U281" s="382"/>
      <c r="V281" s="383"/>
      <c r="W281" s="383"/>
      <c r="X281" s="383"/>
      <c r="Y281" s="383"/>
    </row>
    <row r="282">
      <c r="A282" s="382"/>
      <c r="B282" s="382"/>
      <c r="C282" s="382"/>
      <c r="D282" s="382"/>
      <c r="E282" s="382"/>
      <c r="F282" s="382"/>
      <c r="G282" s="382"/>
      <c r="H282" s="382"/>
      <c r="I282" s="382"/>
      <c r="J282" s="382"/>
      <c r="K282" s="382"/>
      <c r="L282" s="382"/>
      <c r="M282" s="382"/>
      <c r="N282" s="382"/>
      <c r="O282" s="382"/>
      <c r="P282" s="382"/>
      <c r="Q282" s="382"/>
      <c r="R282" s="382"/>
      <c r="S282" s="382"/>
      <c r="T282" s="382"/>
      <c r="U282" s="382"/>
      <c r="V282" s="383"/>
      <c r="W282" s="383"/>
      <c r="X282" s="383"/>
      <c r="Y282" s="383"/>
    </row>
    <row r="283">
      <c r="A283" s="382"/>
      <c r="B283" s="382"/>
      <c r="C283" s="382"/>
      <c r="D283" s="382"/>
      <c r="E283" s="382"/>
      <c r="F283" s="382"/>
      <c r="G283" s="382"/>
      <c r="H283" s="382"/>
      <c r="I283" s="382"/>
      <c r="J283" s="382"/>
      <c r="K283" s="382"/>
      <c r="L283" s="382"/>
      <c r="M283" s="382"/>
      <c r="N283" s="382"/>
      <c r="O283" s="382"/>
      <c r="P283" s="382"/>
      <c r="Q283" s="382"/>
      <c r="R283" s="382"/>
      <c r="S283" s="382"/>
      <c r="T283" s="382"/>
      <c r="U283" s="382"/>
      <c r="V283" s="383"/>
      <c r="W283" s="383"/>
      <c r="X283" s="383"/>
      <c r="Y283" s="383"/>
    </row>
    <row r="284">
      <c r="A284" s="382"/>
      <c r="B284" s="382"/>
      <c r="C284" s="382"/>
      <c r="D284" s="382"/>
      <c r="E284" s="382"/>
      <c r="F284" s="382"/>
      <c r="G284" s="382"/>
      <c r="H284" s="382"/>
      <c r="I284" s="382"/>
      <c r="J284" s="382"/>
      <c r="K284" s="382"/>
      <c r="L284" s="382"/>
      <c r="M284" s="382"/>
      <c r="N284" s="382"/>
      <c r="O284" s="382"/>
      <c r="P284" s="382"/>
      <c r="Q284" s="382"/>
      <c r="R284" s="382"/>
      <c r="S284" s="382"/>
      <c r="T284" s="382"/>
      <c r="U284" s="382"/>
      <c r="V284" s="383"/>
      <c r="W284" s="383"/>
      <c r="X284" s="383"/>
      <c r="Y284" s="383"/>
    </row>
    <row r="285">
      <c r="A285" s="382"/>
      <c r="B285" s="382"/>
      <c r="C285" s="382"/>
      <c r="D285" s="382"/>
      <c r="E285" s="382"/>
      <c r="F285" s="382"/>
      <c r="G285" s="382"/>
      <c r="H285" s="382"/>
      <c r="I285" s="382"/>
      <c r="J285" s="382"/>
      <c r="K285" s="382"/>
      <c r="L285" s="382"/>
      <c r="M285" s="382"/>
      <c r="N285" s="382"/>
      <c r="O285" s="382"/>
      <c r="P285" s="382"/>
      <c r="Q285" s="382"/>
      <c r="R285" s="382"/>
      <c r="S285" s="382"/>
      <c r="T285" s="382"/>
      <c r="U285" s="382"/>
      <c r="V285" s="383"/>
      <c r="W285" s="383"/>
      <c r="X285" s="383"/>
      <c r="Y285" s="383"/>
    </row>
    <row r="286">
      <c r="A286" s="382"/>
      <c r="B286" s="382"/>
      <c r="C286" s="382"/>
      <c r="D286" s="382"/>
      <c r="E286" s="382"/>
      <c r="F286" s="382"/>
      <c r="G286" s="382"/>
      <c r="H286" s="382"/>
      <c r="I286" s="382"/>
      <c r="J286" s="382"/>
      <c r="K286" s="382"/>
      <c r="L286" s="382"/>
      <c r="M286" s="382"/>
      <c r="N286" s="382"/>
      <c r="O286" s="382"/>
      <c r="P286" s="382"/>
      <c r="Q286" s="382"/>
      <c r="R286" s="382"/>
      <c r="S286" s="382"/>
      <c r="T286" s="382"/>
      <c r="U286" s="382"/>
      <c r="V286" s="383"/>
      <c r="W286" s="383"/>
      <c r="X286" s="383"/>
      <c r="Y286" s="383"/>
    </row>
    <row r="287">
      <c r="A287" s="382"/>
      <c r="B287" s="382"/>
      <c r="C287" s="382"/>
      <c r="D287" s="382"/>
      <c r="E287" s="382"/>
      <c r="F287" s="382"/>
      <c r="G287" s="382"/>
      <c r="H287" s="382"/>
      <c r="I287" s="382"/>
      <c r="J287" s="382"/>
      <c r="K287" s="382"/>
      <c r="L287" s="382"/>
      <c r="M287" s="382"/>
      <c r="N287" s="382"/>
      <c r="O287" s="382"/>
      <c r="P287" s="382"/>
      <c r="Q287" s="382"/>
      <c r="R287" s="382"/>
      <c r="S287" s="382"/>
      <c r="T287" s="382"/>
      <c r="U287" s="382"/>
      <c r="V287" s="383"/>
      <c r="W287" s="383"/>
      <c r="X287" s="383"/>
      <c r="Y287" s="383"/>
    </row>
    <row r="288">
      <c r="A288" s="382"/>
      <c r="B288" s="382"/>
      <c r="C288" s="382"/>
      <c r="D288" s="382"/>
      <c r="E288" s="382"/>
      <c r="F288" s="382"/>
      <c r="G288" s="382"/>
      <c r="H288" s="382"/>
      <c r="I288" s="382"/>
      <c r="J288" s="382"/>
      <c r="K288" s="382"/>
      <c r="L288" s="382"/>
      <c r="M288" s="382"/>
      <c r="N288" s="382"/>
      <c r="O288" s="382"/>
      <c r="P288" s="382"/>
      <c r="Q288" s="382"/>
      <c r="R288" s="382"/>
      <c r="S288" s="382"/>
      <c r="T288" s="382"/>
      <c r="U288" s="382"/>
      <c r="V288" s="383"/>
      <c r="W288" s="383"/>
      <c r="X288" s="383"/>
      <c r="Y288" s="383"/>
    </row>
    <row r="289">
      <c r="A289" s="382"/>
      <c r="B289" s="382"/>
      <c r="C289" s="382"/>
      <c r="D289" s="382"/>
      <c r="E289" s="382"/>
      <c r="F289" s="382"/>
      <c r="G289" s="382"/>
      <c r="H289" s="382"/>
      <c r="I289" s="382"/>
      <c r="J289" s="382"/>
      <c r="K289" s="382"/>
      <c r="L289" s="382"/>
      <c r="M289" s="382"/>
      <c r="N289" s="382"/>
      <c r="O289" s="382"/>
      <c r="P289" s="382"/>
      <c r="Q289" s="382"/>
      <c r="R289" s="382"/>
      <c r="S289" s="382"/>
      <c r="T289" s="382"/>
      <c r="U289" s="382"/>
      <c r="V289" s="383"/>
      <c r="W289" s="383"/>
      <c r="X289" s="383"/>
      <c r="Y289" s="383"/>
    </row>
    <row r="290">
      <c r="A290" s="382"/>
      <c r="B290" s="382"/>
      <c r="C290" s="382"/>
      <c r="D290" s="382"/>
      <c r="E290" s="382"/>
      <c r="F290" s="382"/>
      <c r="G290" s="382"/>
      <c r="H290" s="382"/>
      <c r="I290" s="382"/>
      <c r="J290" s="382"/>
      <c r="K290" s="382"/>
      <c r="L290" s="382"/>
      <c r="M290" s="382"/>
      <c r="N290" s="382"/>
      <c r="O290" s="382"/>
      <c r="P290" s="382"/>
      <c r="Q290" s="382"/>
      <c r="R290" s="382"/>
      <c r="S290" s="382"/>
      <c r="T290" s="382"/>
      <c r="U290" s="382"/>
      <c r="V290" s="383"/>
      <c r="W290" s="383"/>
      <c r="X290" s="383"/>
      <c r="Y290" s="383"/>
    </row>
    <row r="291">
      <c r="A291" s="382"/>
      <c r="B291" s="382"/>
      <c r="C291" s="382"/>
      <c r="D291" s="382"/>
      <c r="E291" s="382"/>
      <c r="F291" s="382"/>
      <c r="G291" s="382"/>
      <c r="H291" s="382"/>
      <c r="I291" s="382"/>
      <c r="J291" s="382"/>
      <c r="K291" s="382"/>
      <c r="L291" s="382"/>
      <c r="M291" s="382"/>
      <c r="N291" s="382"/>
      <c r="O291" s="382"/>
      <c r="P291" s="382"/>
      <c r="Q291" s="382"/>
      <c r="R291" s="382"/>
      <c r="S291" s="382"/>
      <c r="T291" s="382"/>
      <c r="U291" s="382"/>
      <c r="V291" s="383"/>
      <c r="W291" s="383"/>
      <c r="X291" s="383"/>
      <c r="Y291" s="383"/>
    </row>
    <row r="292">
      <c r="A292" s="382"/>
      <c r="B292" s="382"/>
      <c r="C292" s="382"/>
      <c r="D292" s="382"/>
      <c r="E292" s="382"/>
      <c r="F292" s="382"/>
      <c r="G292" s="382"/>
      <c r="H292" s="382"/>
      <c r="I292" s="382"/>
      <c r="J292" s="382"/>
      <c r="K292" s="382"/>
      <c r="L292" s="382"/>
      <c r="M292" s="382"/>
      <c r="N292" s="382"/>
      <c r="O292" s="382"/>
      <c r="P292" s="382"/>
      <c r="Q292" s="382"/>
      <c r="R292" s="382"/>
      <c r="S292" s="382"/>
      <c r="T292" s="382"/>
      <c r="U292" s="382"/>
      <c r="V292" s="383"/>
      <c r="W292" s="383"/>
      <c r="X292" s="383"/>
      <c r="Y292" s="383"/>
    </row>
    <row r="293">
      <c r="A293" s="382"/>
      <c r="B293" s="382"/>
      <c r="C293" s="382"/>
      <c r="D293" s="382"/>
      <c r="E293" s="382"/>
      <c r="F293" s="382"/>
      <c r="G293" s="382"/>
      <c r="H293" s="382"/>
      <c r="I293" s="382"/>
      <c r="J293" s="382"/>
      <c r="K293" s="382"/>
      <c r="L293" s="382"/>
      <c r="M293" s="382"/>
      <c r="N293" s="382"/>
      <c r="O293" s="382"/>
      <c r="P293" s="382"/>
      <c r="Q293" s="382"/>
      <c r="R293" s="382"/>
      <c r="S293" s="382"/>
      <c r="T293" s="382"/>
      <c r="U293" s="382"/>
      <c r="V293" s="383"/>
      <c r="W293" s="383"/>
      <c r="X293" s="383"/>
      <c r="Y293" s="383"/>
    </row>
    <row r="294">
      <c r="A294" s="382"/>
      <c r="B294" s="382"/>
      <c r="C294" s="382"/>
      <c r="D294" s="382"/>
      <c r="E294" s="382"/>
      <c r="F294" s="382"/>
      <c r="G294" s="382"/>
      <c r="H294" s="382"/>
      <c r="I294" s="382"/>
      <c r="J294" s="382"/>
      <c r="K294" s="382"/>
      <c r="L294" s="382"/>
      <c r="M294" s="382"/>
      <c r="N294" s="382"/>
      <c r="O294" s="382"/>
      <c r="P294" s="382"/>
      <c r="Q294" s="382"/>
      <c r="R294" s="382"/>
      <c r="S294" s="382"/>
      <c r="T294" s="382"/>
      <c r="U294" s="382"/>
      <c r="V294" s="383"/>
      <c r="W294" s="383"/>
      <c r="X294" s="383"/>
      <c r="Y294" s="383"/>
    </row>
    <row r="295">
      <c r="A295" s="382"/>
      <c r="B295" s="382"/>
      <c r="C295" s="382"/>
      <c r="D295" s="382"/>
      <c r="E295" s="382"/>
      <c r="F295" s="382"/>
      <c r="G295" s="382"/>
      <c r="H295" s="382"/>
      <c r="I295" s="382"/>
      <c r="J295" s="382"/>
      <c r="K295" s="382"/>
      <c r="L295" s="382"/>
      <c r="M295" s="382"/>
      <c r="N295" s="382"/>
      <c r="O295" s="382"/>
      <c r="P295" s="382"/>
      <c r="Q295" s="382"/>
      <c r="R295" s="382"/>
      <c r="S295" s="382"/>
      <c r="T295" s="382"/>
      <c r="U295" s="382"/>
      <c r="V295" s="383"/>
      <c r="W295" s="383"/>
      <c r="X295" s="383"/>
      <c r="Y295" s="383"/>
    </row>
    <row r="296">
      <c r="A296" s="382"/>
      <c r="B296" s="382"/>
      <c r="C296" s="382"/>
      <c r="D296" s="382"/>
      <c r="E296" s="382"/>
      <c r="F296" s="382"/>
      <c r="G296" s="382"/>
      <c r="H296" s="382"/>
      <c r="I296" s="382"/>
      <c r="J296" s="382"/>
      <c r="K296" s="382"/>
      <c r="L296" s="382"/>
      <c r="M296" s="382"/>
      <c r="N296" s="382"/>
      <c r="O296" s="382"/>
      <c r="P296" s="382"/>
      <c r="Q296" s="382"/>
      <c r="R296" s="382"/>
      <c r="S296" s="382"/>
      <c r="T296" s="382"/>
      <c r="U296" s="382"/>
      <c r="V296" s="383"/>
      <c r="W296" s="383"/>
      <c r="X296" s="383"/>
      <c r="Y296" s="383"/>
    </row>
    <row r="297">
      <c r="A297" s="382"/>
      <c r="B297" s="382"/>
      <c r="C297" s="382"/>
      <c r="D297" s="382"/>
      <c r="E297" s="382"/>
      <c r="F297" s="382"/>
      <c r="G297" s="382"/>
      <c r="H297" s="382"/>
      <c r="I297" s="382"/>
      <c r="J297" s="382"/>
      <c r="K297" s="382"/>
      <c r="L297" s="382"/>
      <c r="M297" s="382"/>
      <c r="N297" s="382"/>
      <c r="O297" s="382"/>
      <c r="P297" s="382"/>
      <c r="Q297" s="382"/>
      <c r="R297" s="382"/>
      <c r="S297" s="382"/>
      <c r="T297" s="382"/>
      <c r="U297" s="382"/>
      <c r="V297" s="383"/>
      <c r="W297" s="383"/>
      <c r="X297" s="383"/>
      <c r="Y297" s="383"/>
    </row>
    <row r="298">
      <c r="A298" s="382"/>
      <c r="B298" s="382"/>
      <c r="C298" s="382"/>
      <c r="D298" s="382"/>
      <c r="E298" s="382"/>
      <c r="F298" s="382"/>
      <c r="G298" s="382"/>
      <c r="H298" s="382"/>
      <c r="I298" s="382"/>
      <c r="J298" s="382"/>
      <c r="K298" s="382"/>
      <c r="L298" s="382"/>
      <c r="M298" s="382"/>
      <c r="N298" s="382"/>
      <c r="O298" s="382"/>
      <c r="P298" s="382"/>
      <c r="Q298" s="382"/>
      <c r="R298" s="382"/>
      <c r="S298" s="382"/>
      <c r="T298" s="382"/>
      <c r="U298" s="382"/>
      <c r="V298" s="383"/>
      <c r="W298" s="383"/>
      <c r="X298" s="383"/>
      <c r="Y298" s="383"/>
    </row>
    <row r="299">
      <c r="A299" s="382"/>
      <c r="B299" s="382"/>
      <c r="C299" s="382"/>
      <c r="D299" s="382"/>
      <c r="E299" s="382"/>
      <c r="F299" s="382"/>
      <c r="G299" s="382"/>
      <c r="H299" s="382"/>
      <c r="I299" s="382"/>
      <c r="J299" s="382"/>
      <c r="K299" s="382"/>
      <c r="L299" s="382"/>
      <c r="M299" s="382"/>
      <c r="N299" s="382"/>
      <c r="O299" s="382"/>
      <c r="P299" s="382"/>
      <c r="Q299" s="382"/>
      <c r="R299" s="382"/>
      <c r="S299" s="382"/>
      <c r="T299" s="382"/>
      <c r="U299" s="382"/>
      <c r="V299" s="383"/>
      <c r="W299" s="383"/>
      <c r="X299" s="383"/>
      <c r="Y299" s="383"/>
    </row>
    <row r="300">
      <c r="A300" s="382"/>
      <c r="B300" s="382"/>
      <c r="C300" s="382"/>
      <c r="D300" s="382"/>
      <c r="E300" s="382"/>
      <c r="F300" s="382"/>
      <c r="G300" s="382"/>
      <c r="H300" s="382"/>
      <c r="I300" s="382"/>
      <c r="J300" s="382"/>
      <c r="K300" s="382"/>
      <c r="L300" s="382"/>
      <c r="M300" s="382"/>
      <c r="N300" s="382"/>
      <c r="O300" s="382"/>
      <c r="P300" s="382"/>
      <c r="Q300" s="382"/>
      <c r="R300" s="382"/>
      <c r="S300" s="382"/>
      <c r="T300" s="382"/>
      <c r="U300" s="382"/>
      <c r="V300" s="383"/>
      <c r="W300" s="383"/>
      <c r="X300" s="383"/>
      <c r="Y300" s="383"/>
    </row>
    <row r="301">
      <c r="A301" s="382"/>
      <c r="B301" s="382"/>
      <c r="C301" s="382"/>
      <c r="D301" s="382"/>
      <c r="E301" s="382"/>
      <c r="F301" s="382"/>
      <c r="G301" s="382"/>
      <c r="H301" s="382"/>
      <c r="I301" s="382"/>
      <c r="J301" s="382"/>
      <c r="K301" s="382"/>
      <c r="L301" s="382"/>
      <c r="M301" s="382"/>
      <c r="N301" s="382"/>
      <c r="O301" s="382"/>
      <c r="P301" s="382"/>
      <c r="Q301" s="382"/>
      <c r="R301" s="382"/>
      <c r="S301" s="382"/>
      <c r="T301" s="382"/>
      <c r="U301" s="382"/>
      <c r="V301" s="383"/>
      <c r="W301" s="383"/>
      <c r="X301" s="383"/>
      <c r="Y301" s="383"/>
    </row>
    <row r="302">
      <c r="A302" s="382"/>
      <c r="B302" s="382"/>
      <c r="C302" s="382"/>
      <c r="D302" s="382"/>
      <c r="E302" s="382"/>
      <c r="F302" s="382"/>
      <c r="G302" s="382"/>
      <c r="H302" s="382"/>
      <c r="I302" s="382"/>
      <c r="J302" s="382"/>
      <c r="K302" s="382"/>
      <c r="L302" s="382"/>
      <c r="M302" s="382"/>
      <c r="N302" s="382"/>
      <c r="O302" s="382"/>
      <c r="P302" s="382"/>
      <c r="Q302" s="382"/>
      <c r="R302" s="382"/>
      <c r="S302" s="382"/>
      <c r="T302" s="382"/>
      <c r="U302" s="382"/>
      <c r="V302" s="383"/>
      <c r="W302" s="383"/>
      <c r="X302" s="383"/>
      <c r="Y302" s="383"/>
    </row>
    <row r="303">
      <c r="A303" s="382"/>
      <c r="B303" s="382"/>
      <c r="C303" s="382"/>
      <c r="D303" s="382"/>
      <c r="E303" s="382"/>
      <c r="F303" s="382"/>
      <c r="G303" s="382"/>
      <c r="H303" s="382"/>
      <c r="I303" s="382"/>
      <c r="J303" s="382"/>
      <c r="K303" s="382"/>
      <c r="L303" s="382"/>
      <c r="M303" s="382"/>
      <c r="N303" s="382"/>
      <c r="O303" s="382"/>
      <c r="P303" s="382"/>
      <c r="Q303" s="382"/>
      <c r="R303" s="382"/>
      <c r="S303" s="382"/>
      <c r="T303" s="382"/>
      <c r="U303" s="382"/>
      <c r="V303" s="383"/>
      <c r="W303" s="383"/>
      <c r="X303" s="383"/>
      <c r="Y303" s="383"/>
    </row>
    <row r="304">
      <c r="A304" s="382"/>
      <c r="B304" s="382"/>
      <c r="C304" s="382"/>
      <c r="D304" s="382"/>
      <c r="E304" s="382"/>
      <c r="F304" s="382"/>
      <c r="G304" s="382"/>
      <c r="H304" s="382"/>
      <c r="I304" s="382"/>
      <c r="J304" s="382"/>
      <c r="K304" s="382"/>
      <c r="L304" s="382"/>
      <c r="M304" s="382"/>
      <c r="N304" s="382"/>
      <c r="O304" s="382"/>
      <c r="P304" s="382"/>
      <c r="Q304" s="382"/>
      <c r="R304" s="382"/>
      <c r="S304" s="382"/>
      <c r="T304" s="382"/>
      <c r="U304" s="382"/>
      <c r="V304" s="383"/>
      <c r="W304" s="383"/>
      <c r="X304" s="383"/>
      <c r="Y304" s="383"/>
    </row>
    <row r="305">
      <c r="A305" s="382"/>
      <c r="B305" s="382"/>
      <c r="C305" s="382"/>
      <c r="D305" s="382"/>
      <c r="E305" s="382"/>
      <c r="F305" s="382"/>
      <c r="G305" s="382"/>
      <c r="H305" s="382"/>
      <c r="I305" s="382"/>
      <c r="J305" s="382"/>
      <c r="K305" s="382"/>
      <c r="L305" s="382"/>
      <c r="M305" s="382"/>
      <c r="N305" s="382"/>
      <c r="O305" s="382"/>
      <c r="P305" s="382"/>
      <c r="Q305" s="382"/>
      <c r="R305" s="382"/>
      <c r="S305" s="382"/>
      <c r="T305" s="382"/>
      <c r="U305" s="382"/>
      <c r="V305" s="383"/>
      <c r="W305" s="383"/>
      <c r="X305" s="383"/>
      <c r="Y305" s="383"/>
    </row>
    <row r="306">
      <c r="A306" s="382"/>
      <c r="B306" s="382"/>
      <c r="C306" s="382"/>
      <c r="D306" s="382"/>
      <c r="E306" s="382"/>
      <c r="F306" s="382"/>
      <c r="G306" s="382"/>
      <c r="H306" s="382"/>
      <c r="I306" s="382"/>
      <c r="J306" s="382"/>
      <c r="K306" s="382"/>
      <c r="L306" s="382"/>
      <c r="M306" s="382"/>
      <c r="N306" s="382"/>
      <c r="O306" s="382"/>
      <c r="P306" s="382"/>
      <c r="Q306" s="382"/>
      <c r="R306" s="382"/>
      <c r="S306" s="382"/>
      <c r="T306" s="382"/>
      <c r="U306" s="382"/>
      <c r="V306" s="383"/>
      <c r="W306" s="383"/>
      <c r="X306" s="383"/>
      <c r="Y306" s="383"/>
    </row>
    <row r="307">
      <c r="A307" s="382"/>
      <c r="B307" s="382"/>
      <c r="C307" s="382"/>
      <c r="D307" s="382"/>
      <c r="E307" s="382"/>
      <c r="F307" s="382"/>
      <c r="G307" s="382"/>
      <c r="H307" s="382"/>
      <c r="I307" s="382"/>
      <c r="J307" s="382"/>
      <c r="K307" s="382"/>
      <c r="L307" s="382"/>
      <c r="M307" s="382"/>
      <c r="N307" s="382"/>
      <c r="O307" s="382"/>
      <c r="P307" s="382"/>
      <c r="Q307" s="382"/>
      <c r="R307" s="382"/>
      <c r="S307" s="382"/>
      <c r="T307" s="382"/>
      <c r="U307" s="382"/>
      <c r="V307" s="383"/>
      <c r="W307" s="383"/>
      <c r="X307" s="383"/>
      <c r="Y307" s="383"/>
    </row>
    <row r="308">
      <c r="A308" s="382"/>
      <c r="B308" s="382"/>
      <c r="C308" s="382"/>
      <c r="D308" s="382"/>
      <c r="E308" s="382"/>
      <c r="F308" s="382"/>
      <c r="G308" s="382"/>
      <c r="H308" s="382"/>
      <c r="I308" s="382"/>
      <c r="J308" s="382"/>
      <c r="K308" s="382"/>
      <c r="L308" s="382"/>
      <c r="M308" s="382"/>
      <c r="N308" s="382"/>
      <c r="O308" s="382"/>
      <c r="P308" s="382"/>
      <c r="Q308" s="382"/>
      <c r="R308" s="382"/>
      <c r="S308" s="382"/>
      <c r="T308" s="382"/>
      <c r="U308" s="382"/>
      <c r="V308" s="383"/>
      <c r="W308" s="383"/>
      <c r="X308" s="383"/>
      <c r="Y308" s="383"/>
    </row>
    <row r="309">
      <c r="A309" s="382"/>
      <c r="B309" s="382"/>
      <c r="C309" s="382"/>
      <c r="D309" s="382"/>
      <c r="E309" s="382"/>
      <c r="F309" s="382"/>
      <c r="G309" s="382"/>
      <c r="H309" s="382"/>
      <c r="I309" s="382"/>
      <c r="J309" s="382"/>
      <c r="K309" s="382"/>
      <c r="L309" s="382"/>
      <c r="M309" s="382"/>
      <c r="N309" s="382"/>
      <c r="O309" s="382"/>
      <c r="P309" s="382"/>
      <c r="Q309" s="382"/>
      <c r="R309" s="382"/>
      <c r="S309" s="382"/>
      <c r="T309" s="382"/>
      <c r="U309" s="382"/>
      <c r="V309" s="383"/>
      <c r="W309" s="383"/>
      <c r="X309" s="383"/>
      <c r="Y309" s="383"/>
    </row>
    <row r="310">
      <c r="A310" s="382"/>
      <c r="B310" s="382"/>
      <c r="C310" s="382"/>
      <c r="D310" s="382"/>
      <c r="E310" s="382"/>
      <c r="F310" s="382"/>
      <c r="G310" s="382"/>
      <c r="H310" s="382"/>
      <c r="I310" s="382"/>
      <c r="J310" s="382"/>
      <c r="K310" s="382"/>
      <c r="L310" s="382"/>
      <c r="M310" s="382"/>
      <c r="N310" s="382"/>
      <c r="O310" s="382"/>
      <c r="P310" s="382"/>
      <c r="Q310" s="382"/>
      <c r="R310" s="382"/>
      <c r="S310" s="382"/>
      <c r="T310" s="382"/>
      <c r="U310" s="382"/>
      <c r="V310" s="383"/>
      <c r="W310" s="383"/>
      <c r="X310" s="383"/>
      <c r="Y310" s="383"/>
    </row>
    <row r="311">
      <c r="A311" s="382"/>
      <c r="B311" s="382"/>
      <c r="C311" s="382"/>
      <c r="D311" s="382"/>
      <c r="E311" s="382"/>
      <c r="F311" s="382"/>
      <c r="G311" s="382"/>
      <c r="H311" s="382"/>
      <c r="I311" s="382"/>
      <c r="J311" s="382"/>
      <c r="K311" s="382"/>
      <c r="L311" s="382"/>
      <c r="M311" s="382"/>
      <c r="N311" s="382"/>
      <c r="O311" s="382"/>
      <c r="P311" s="382"/>
      <c r="Q311" s="382"/>
      <c r="R311" s="382"/>
      <c r="S311" s="382"/>
      <c r="T311" s="382"/>
      <c r="U311" s="382"/>
      <c r="V311" s="383"/>
      <c r="W311" s="383"/>
      <c r="X311" s="383"/>
      <c r="Y311" s="383"/>
    </row>
    <row r="312">
      <c r="A312" s="382"/>
      <c r="B312" s="382"/>
      <c r="C312" s="382"/>
      <c r="D312" s="382"/>
      <c r="E312" s="382"/>
      <c r="F312" s="382"/>
      <c r="G312" s="382"/>
      <c r="H312" s="382"/>
      <c r="I312" s="382"/>
      <c r="J312" s="382"/>
      <c r="K312" s="382"/>
      <c r="L312" s="382"/>
      <c r="M312" s="382"/>
      <c r="N312" s="382"/>
      <c r="O312" s="382"/>
      <c r="P312" s="382"/>
      <c r="Q312" s="382"/>
      <c r="R312" s="382"/>
      <c r="S312" s="382"/>
      <c r="T312" s="382"/>
      <c r="U312" s="382"/>
      <c r="V312" s="383"/>
      <c r="W312" s="383"/>
      <c r="X312" s="383"/>
      <c r="Y312" s="383"/>
    </row>
    <row r="313">
      <c r="A313" s="382"/>
      <c r="B313" s="382"/>
      <c r="C313" s="382"/>
      <c r="D313" s="382"/>
      <c r="E313" s="382"/>
      <c r="F313" s="382"/>
      <c r="G313" s="382"/>
      <c r="H313" s="382"/>
      <c r="I313" s="382"/>
      <c r="J313" s="382"/>
      <c r="K313" s="382"/>
      <c r="L313" s="382"/>
      <c r="M313" s="382"/>
      <c r="N313" s="382"/>
      <c r="O313" s="382"/>
      <c r="P313" s="382"/>
      <c r="Q313" s="382"/>
      <c r="R313" s="382"/>
      <c r="S313" s="382"/>
      <c r="T313" s="382"/>
      <c r="U313" s="382"/>
      <c r="V313" s="383"/>
      <c r="W313" s="383"/>
      <c r="X313" s="383"/>
      <c r="Y313" s="383"/>
    </row>
    <row r="314">
      <c r="A314" s="382"/>
      <c r="B314" s="382"/>
      <c r="C314" s="382"/>
      <c r="D314" s="382"/>
      <c r="E314" s="382"/>
      <c r="F314" s="382"/>
      <c r="G314" s="382"/>
      <c r="H314" s="382"/>
      <c r="I314" s="382"/>
      <c r="J314" s="382"/>
      <c r="K314" s="382"/>
      <c r="L314" s="382"/>
      <c r="M314" s="382"/>
      <c r="N314" s="382"/>
      <c r="O314" s="382"/>
      <c r="P314" s="382"/>
      <c r="Q314" s="382"/>
      <c r="R314" s="382"/>
      <c r="S314" s="382"/>
      <c r="T314" s="382"/>
      <c r="U314" s="382"/>
      <c r="V314" s="383"/>
      <c r="W314" s="383"/>
      <c r="X314" s="383"/>
      <c r="Y314" s="383"/>
    </row>
    <row r="315">
      <c r="A315" s="382"/>
      <c r="B315" s="382"/>
      <c r="C315" s="382"/>
      <c r="D315" s="382"/>
      <c r="E315" s="382"/>
      <c r="F315" s="382"/>
      <c r="G315" s="382"/>
      <c r="H315" s="382"/>
      <c r="I315" s="382"/>
      <c r="J315" s="382"/>
      <c r="K315" s="382"/>
      <c r="L315" s="382"/>
      <c r="M315" s="382"/>
      <c r="N315" s="382"/>
      <c r="O315" s="382"/>
      <c r="P315" s="382"/>
      <c r="Q315" s="382"/>
      <c r="R315" s="382"/>
      <c r="S315" s="382"/>
      <c r="T315" s="382"/>
      <c r="U315" s="382"/>
      <c r="V315" s="383"/>
      <c r="W315" s="383"/>
      <c r="X315" s="383"/>
      <c r="Y315" s="383"/>
    </row>
    <row r="316">
      <c r="A316" s="382"/>
      <c r="B316" s="382"/>
      <c r="C316" s="382"/>
      <c r="D316" s="382"/>
      <c r="E316" s="382"/>
      <c r="F316" s="382"/>
      <c r="G316" s="382"/>
      <c r="H316" s="382"/>
      <c r="I316" s="382"/>
      <c r="J316" s="382"/>
      <c r="K316" s="382"/>
      <c r="L316" s="382"/>
      <c r="M316" s="382"/>
      <c r="N316" s="382"/>
      <c r="O316" s="382"/>
      <c r="P316" s="382"/>
      <c r="Q316" s="382"/>
      <c r="R316" s="382"/>
      <c r="S316" s="382"/>
      <c r="T316" s="382"/>
      <c r="U316" s="382"/>
      <c r="V316" s="383"/>
      <c r="W316" s="383"/>
      <c r="X316" s="383"/>
      <c r="Y316" s="383"/>
    </row>
    <row r="317">
      <c r="A317" s="382"/>
      <c r="B317" s="382"/>
      <c r="C317" s="382"/>
      <c r="D317" s="382"/>
      <c r="E317" s="382"/>
      <c r="F317" s="382"/>
      <c r="G317" s="382"/>
      <c r="H317" s="382"/>
      <c r="I317" s="382"/>
      <c r="J317" s="382"/>
      <c r="K317" s="382"/>
      <c r="L317" s="382"/>
      <c r="M317" s="382"/>
      <c r="N317" s="382"/>
      <c r="O317" s="382"/>
      <c r="P317" s="382"/>
      <c r="Q317" s="382"/>
      <c r="R317" s="382"/>
      <c r="S317" s="382"/>
      <c r="T317" s="382"/>
      <c r="U317" s="382"/>
      <c r="V317" s="383"/>
      <c r="W317" s="383"/>
      <c r="X317" s="383"/>
      <c r="Y317" s="383"/>
    </row>
    <row r="318">
      <c r="A318" s="382"/>
      <c r="B318" s="382"/>
      <c r="C318" s="382"/>
      <c r="D318" s="382"/>
      <c r="E318" s="382"/>
      <c r="F318" s="382"/>
      <c r="G318" s="382"/>
      <c r="H318" s="382"/>
      <c r="I318" s="382"/>
      <c r="J318" s="382"/>
      <c r="K318" s="382"/>
      <c r="L318" s="382"/>
      <c r="M318" s="382"/>
      <c r="N318" s="382"/>
      <c r="O318" s="382"/>
      <c r="P318" s="382"/>
      <c r="Q318" s="382"/>
      <c r="R318" s="382"/>
      <c r="S318" s="382"/>
      <c r="T318" s="382"/>
      <c r="U318" s="382"/>
      <c r="V318" s="383"/>
      <c r="W318" s="383"/>
      <c r="X318" s="383"/>
      <c r="Y318" s="383"/>
    </row>
    <row r="319">
      <c r="A319" s="382"/>
      <c r="B319" s="382"/>
      <c r="C319" s="382"/>
      <c r="D319" s="382"/>
      <c r="E319" s="382"/>
      <c r="F319" s="382"/>
      <c r="G319" s="382"/>
      <c r="H319" s="382"/>
      <c r="I319" s="382"/>
      <c r="J319" s="382"/>
      <c r="K319" s="382"/>
      <c r="L319" s="382"/>
      <c r="M319" s="382"/>
      <c r="N319" s="382"/>
      <c r="O319" s="382"/>
      <c r="P319" s="382"/>
      <c r="Q319" s="382"/>
      <c r="R319" s="382"/>
      <c r="S319" s="382"/>
      <c r="T319" s="382"/>
      <c r="U319" s="382"/>
      <c r="V319" s="383"/>
      <c r="W319" s="383"/>
      <c r="X319" s="383"/>
      <c r="Y319" s="383"/>
    </row>
    <row r="320">
      <c r="A320" s="382"/>
      <c r="B320" s="382"/>
      <c r="C320" s="382"/>
      <c r="D320" s="382"/>
      <c r="E320" s="382"/>
      <c r="F320" s="382"/>
      <c r="G320" s="382"/>
      <c r="H320" s="382"/>
      <c r="I320" s="382"/>
      <c r="J320" s="382"/>
      <c r="K320" s="382"/>
      <c r="L320" s="382"/>
      <c r="M320" s="382"/>
      <c r="N320" s="382"/>
      <c r="O320" s="382"/>
      <c r="P320" s="382"/>
      <c r="Q320" s="382"/>
      <c r="R320" s="382"/>
      <c r="S320" s="382"/>
      <c r="T320" s="382"/>
      <c r="U320" s="382"/>
      <c r="V320" s="383"/>
      <c r="W320" s="383"/>
      <c r="X320" s="383"/>
      <c r="Y320" s="383"/>
    </row>
    <row r="321">
      <c r="A321" s="382"/>
      <c r="B321" s="382"/>
      <c r="C321" s="382"/>
      <c r="D321" s="382"/>
      <c r="E321" s="382"/>
      <c r="F321" s="382"/>
      <c r="G321" s="382"/>
      <c r="H321" s="382"/>
      <c r="I321" s="382"/>
      <c r="J321" s="382"/>
      <c r="K321" s="382"/>
      <c r="L321" s="382"/>
      <c r="M321" s="382"/>
      <c r="N321" s="382"/>
      <c r="O321" s="382"/>
      <c r="P321" s="382"/>
      <c r="Q321" s="382"/>
      <c r="R321" s="382"/>
      <c r="S321" s="382"/>
      <c r="T321" s="382"/>
      <c r="U321" s="382"/>
      <c r="V321" s="383"/>
      <c r="W321" s="383"/>
      <c r="X321" s="383"/>
      <c r="Y321" s="383"/>
    </row>
    <row r="322">
      <c r="A322" s="382"/>
      <c r="B322" s="382"/>
      <c r="C322" s="382"/>
      <c r="D322" s="382"/>
      <c r="E322" s="382"/>
      <c r="F322" s="382"/>
      <c r="G322" s="382"/>
      <c r="H322" s="382"/>
      <c r="I322" s="382"/>
      <c r="J322" s="382"/>
      <c r="K322" s="382"/>
      <c r="L322" s="382"/>
      <c r="M322" s="382"/>
      <c r="N322" s="382"/>
      <c r="O322" s="382"/>
      <c r="P322" s="382"/>
      <c r="Q322" s="382"/>
      <c r="R322" s="382"/>
      <c r="S322" s="382"/>
      <c r="T322" s="382"/>
      <c r="U322" s="382"/>
      <c r="V322" s="383"/>
      <c r="W322" s="383"/>
      <c r="X322" s="383"/>
      <c r="Y322" s="383"/>
    </row>
    <row r="323">
      <c r="A323" s="382"/>
      <c r="B323" s="382"/>
      <c r="C323" s="382"/>
      <c r="D323" s="382"/>
      <c r="E323" s="382"/>
      <c r="F323" s="382"/>
      <c r="G323" s="382"/>
      <c r="H323" s="382"/>
      <c r="I323" s="382"/>
      <c r="J323" s="382"/>
      <c r="K323" s="382"/>
      <c r="L323" s="382"/>
      <c r="M323" s="382"/>
      <c r="N323" s="382"/>
      <c r="O323" s="382"/>
      <c r="P323" s="382"/>
      <c r="Q323" s="382"/>
      <c r="R323" s="382"/>
      <c r="S323" s="382"/>
      <c r="T323" s="382"/>
      <c r="U323" s="382"/>
      <c r="V323" s="383"/>
      <c r="W323" s="383"/>
      <c r="X323" s="383"/>
      <c r="Y323" s="383"/>
    </row>
    <row r="324">
      <c r="A324" s="382"/>
      <c r="B324" s="382"/>
      <c r="C324" s="382"/>
      <c r="D324" s="382"/>
      <c r="E324" s="382"/>
      <c r="F324" s="382"/>
      <c r="G324" s="382"/>
      <c r="H324" s="382"/>
      <c r="I324" s="382"/>
      <c r="J324" s="382"/>
      <c r="K324" s="382"/>
      <c r="L324" s="382"/>
      <c r="M324" s="382"/>
      <c r="N324" s="382"/>
      <c r="O324" s="382"/>
      <c r="P324" s="382"/>
      <c r="Q324" s="382"/>
      <c r="R324" s="382"/>
      <c r="S324" s="382"/>
      <c r="T324" s="382"/>
      <c r="U324" s="382"/>
      <c r="V324" s="383"/>
      <c r="W324" s="383"/>
      <c r="X324" s="383"/>
      <c r="Y324" s="383"/>
    </row>
    <row r="325">
      <c r="A325" s="382"/>
      <c r="B325" s="382"/>
      <c r="C325" s="382"/>
      <c r="D325" s="382"/>
      <c r="E325" s="382"/>
      <c r="F325" s="382"/>
      <c r="G325" s="382"/>
      <c r="H325" s="382"/>
      <c r="I325" s="382"/>
      <c r="J325" s="382"/>
      <c r="K325" s="382"/>
      <c r="L325" s="382"/>
      <c r="M325" s="382"/>
      <c r="N325" s="382"/>
      <c r="O325" s="382"/>
      <c r="P325" s="382"/>
      <c r="Q325" s="382"/>
      <c r="R325" s="382"/>
      <c r="S325" s="382"/>
      <c r="T325" s="382"/>
      <c r="U325" s="382"/>
      <c r="V325" s="383"/>
      <c r="W325" s="383"/>
      <c r="X325" s="383"/>
      <c r="Y325" s="383"/>
    </row>
    <row r="326">
      <c r="A326" s="382"/>
      <c r="B326" s="382"/>
      <c r="C326" s="382"/>
      <c r="D326" s="382"/>
      <c r="E326" s="382"/>
      <c r="F326" s="382"/>
      <c r="G326" s="382"/>
      <c r="H326" s="382"/>
      <c r="I326" s="382"/>
      <c r="J326" s="382"/>
      <c r="K326" s="382"/>
      <c r="L326" s="382"/>
      <c r="M326" s="382"/>
      <c r="N326" s="382"/>
      <c r="O326" s="382"/>
      <c r="P326" s="382"/>
      <c r="Q326" s="382"/>
      <c r="R326" s="382"/>
      <c r="S326" s="382"/>
      <c r="T326" s="382"/>
      <c r="U326" s="382"/>
      <c r="V326" s="383"/>
      <c r="W326" s="383"/>
      <c r="X326" s="383"/>
      <c r="Y326" s="383"/>
    </row>
    <row r="327">
      <c r="A327" s="382"/>
      <c r="B327" s="382"/>
      <c r="C327" s="382"/>
      <c r="D327" s="382"/>
      <c r="E327" s="382"/>
      <c r="F327" s="382"/>
      <c r="G327" s="382"/>
      <c r="H327" s="382"/>
      <c r="I327" s="382"/>
      <c r="J327" s="382"/>
      <c r="K327" s="382"/>
      <c r="L327" s="382"/>
      <c r="M327" s="382"/>
      <c r="N327" s="382"/>
      <c r="O327" s="382"/>
      <c r="P327" s="382"/>
      <c r="Q327" s="382"/>
      <c r="R327" s="382"/>
      <c r="S327" s="382"/>
      <c r="T327" s="382"/>
      <c r="U327" s="382"/>
      <c r="V327" s="383"/>
      <c r="W327" s="383"/>
      <c r="X327" s="383"/>
      <c r="Y327" s="383"/>
    </row>
    <row r="328">
      <c r="A328" s="382"/>
      <c r="B328" s="382"/>
      <c r="C328" s="382"/>
      <c r="D328" s="382"/>
      <c r="E328" s="382"/>
      <c r="F328" s="382"/>
      <c r="G328" s="382"/>
      <c r="H328" s="382"/>
      <c r="I328" s="382"/>
      <c r="J328" s="382"/>
      <c r="K328" s="382"/>
      <c r="L328" s="382"/>
      <c r="M328" s="382"/>
      <c r="N328" s="382"/>
      <c r="O328" s="382"/>
      <c r="P328" s="382"/>
      <c r="Q328" s="382"/>
      <c r="R328" s="382"/>
      <c r="S328" s="382"/>
      <c r="T328" s="382"/>
      <c r="U328" s="382"/>
      <c r="V328" s="383"/>
      <c r="W328" s="383"/>
      <c r="X328" s="383"/>
      <c r="Y328" s="383"/>
    </row>
    <row r="329">
      <c r="A329" s="382"/>
      <c r="B329" s="382"/>
      <c r="C329" s="382"/>
      <c r="D329" s="382"/>
      <c r="E329" s="382"/>
      <c r="F329" s="382"/>
      <c r="G329" s="382"/>
      <c r="H329" s="382"/>
      <c r="I329" s="382"/>
      <c r="J329" s="382"/>
      <c r="K329" s="382"/>
      <c r="L329" s="382"/>
      <c r="M329" s="382"/>
      <c r="N329" s="382"/>
      <c r="O329" s="382"/>
      <c r="P329" s="382"/>
      <c r="Q329" s="382"/>
      <c r="R329" s="382"/>
      <c r="S329" s="382"/>
      <c r="T329" s="382"/>
      <c r="U329" s="382"/>
      <c r="V329" s="383"/>
      <c r="W329" s="383"/>
      <c r="X329" s="383"/>
      <c r="Y329" s="383"/>
    </row>
    <row r="330">
      <c r="A330" s="382"/>
      <c r="B330" s="382"/>
      <c r="C330" s="382"/>
      <c r="D330" s="382"/>
      <c r="E330" s="382"/>
      <c r="F330" s="382"/>
      <c r="G330" s="382"/>
      <c r="H330" s="382"/>
      <c r="I330" s="382"/>
      <c r="J330" s="382"/>
      <c r="K330" s="382"/>
      <c r="L330" s="382"/>
      <c r="M330" s="382"/>
      <c r="N330" s="382"/>
      <c r="O330" s="382"/>
      <c r="P330" s="382"/>
      <c r="Q330" s="382"/>
      <c r="R330" s="382"/>
      <c r="S330" s="382"/>
      <c r="T330" s="382"/>
      <c r="U330" s="382"/>
      <c r="V330" s="383"/>
      <c r="W330" s="383"/>
      <c r="X330" s="383"/>
      <c r="Y330" s="383"/>
    </row>
    <row r="331">
      <c r="A331" s="382"/>
      <c r="B331" s="382"/>
      <c r="C331" s="382"/>
      <c r="D331" s="382"/>
      <c r="E331" s="382"/>
      <c r="F331" s="382"/>
      <c r="G331" s="382"/>
      <c r="H331" s="382"/>
      <c r="I331" s="382"/>
      <c r="J331" s="382"/>
      <c r="K331" s="382"/>
      <c r="L331" s="382"/>
      <c r="M331" s="382"/>
      <c r="N331" s="382"/>
      <c r="O331" s="382"/>
      <c r="P331" s="382"/>
      <c r="Q331" s="382"/>
      <c r="R331" s="382"/>
      <c r="S331" s="382"/>
      <c r="T331" s="382"/>
      <c r="U331" s="382"/>
      <c r="V331" s="383"/>
      <c r="W331" s="383"/>
      <c r="X331" s="383"/>
      <c r="Y331" s="383"/>
    </row>
    <row r="332">
      <c r="A332" s="382"/>
      <c r="B332" s="382"/>
      <c r="C332" s="382"/>
      <c r="D332" s="382"/>
      <c r="E332" s="382"/>
      <c r="F332" s="382"/>
      <c r="G332" s="382"/>
      <c r="H332" s="382"/>
      <c r="I332" s="382"/>
      <c r="J332" s="382"/>
      <c r="K332" s="382"/>
      <c r="L332" s="382"/>
      <c r="M332" s="382"/>
      <c r="N332" s="382"/>
      <c r="O332" s="382"/>
      <c r="P332" s="382"/>
      <c r="Q332" s="382"/>
      <c r="R332" s="382"/>
      <c r="S332" s="382"/>
      <c r="T332" s="382"/>
      <c r="U332" s="382"/>
      <c r="V332" s="383"/>
      <c r="W332" s="383"/>
      <c r="X332" s="383"/>
      <c r="Y332" s="383"/>
    </row>
    <row r="333">
      <c r="A333" s="382"/>
      <c r="B333" s="382"/>
      <c r="C333" s="382"/>
      <c r="D333" s="382"/>
      <c r="E333" s="382"/>
      <c r="F333" s="382"/>
      <c r="G333" s="382"/>
      <c r="H333" s="382"/>
      <c r="I333" s="382"/>
      <c r="J333" s="382"/>
      <c r="K333" s="382"/>
      <c r="L333" s="382"/>
      <c r="M333" s="382"/>
      <c r="N333" s="382"/>
      <c r="O333" s="382"/>
      <c r="P333" s="382"/>
      <c r="Q333" s="382"/>
      <c r="R333" s="382"/>
      <c r="S333" s="382"/>
      <c r="T333" s="382"/>
      <c r="U333" s="382"/>
      <c r="V333" s="383"/>
      <c r="W333" s="383"/>
      <c r="X333" s="383"/>
      <c r="Y333" s="383"/>
    </row>
    <row r="334">
      <c r="A334" s="382"/>
      <c r="B334" s="382"/>
      <c r="C334" s="382"/>
      <c r="D334" s="382"/>
      <c r="E334" s="382"/>
      <c r="F334" s="382"/>
      <c r="G334" s="382"/>
      <c r="H334" s="382"/>
      <c r="I334" s="382"/>
      <c r="J334" s="382"/>
      <c r="K334" s="382"/>
      <c r="L334" s="382"/>
      <c r="M334" s="382"/>
      <c r="N334" s="382"/>
      <c r="O334" s="382"/>
      <c r="P334" s="382"/>
      <c r="Q334" s="382"/>
      <c r="R334" s="382"/>
      <c r="S334" s="382"/>
      <c r="T334" s="382"/>
      <c r="U334" s="382"/>
      <c r="V334" s="383"/>
      <c r="W334" s="383"/>
      <c r="X334" s="383"/>
      <c r="Y334" s="383"/>
    </row>
    <row r="335">
      <c r="A335" s="382"/>
      <c r="B335" s="382"/>
      <c r="C335" s="382"/>
      <c r="D335" s="382"/>
      <c r="E335" s="382"/>
      <c r="F335" s="382"/>
      <c r="G335" s="382"/>
      <c r="H335" s="382"/>
      <c r="I335" s="382"/>
      <c r="J335" s="382"/>
      <c r="K335" s="382"/>
      <c r="L335" s="382"/>
      <c r="M335" s="382"/>
      <c r="N335" s="382"/>
      <c r="O335" s="382"/>
      <c r="P335" s="382"/>
      <c r="Q335" s="382"/>
      <c r="R335" s="382"/>
      <c r="S335" s="382"/>
      <c r="T335" s="382"/>
      <c r="U335" s="382"/>
      <c r="V335" s="383"/>
      <c r="W335" s="383"/>
      <c r="X335" s="383"/>
      <c r="Y335" s="383"/>
    </row>
    <row r="336">
      <c r="A336" s="382"/>
      <c r="B336" s="382"/>
      <c r="C336" s="382"/>
      <c r="D336" s="382"/>
      <c r="E336" s="382"/>
      <c r="F336" s="382"/>
      <c r="G336" s="382"/>
      <c r="H336" s="382"/>
      <c r="I336" s="382"/>
      <c r="J336" s="382"/>
      <c r="K336" s="382"/>
      <c r="L336" s="382"/>
      <c r="M336" s="382"/>
      <c r="N336" s="382"/>
      <c r="O336" s="382"/>
      <c r="P336" s="382"/>
      <c r="Q336" s="382"/>
      <c r="R336" s="382"/>
      <c r="S336" s="382"/>
      <c r="T336" s="382"/>
      <c r="U336" s="382"/>
      <c r="V336" s="383"/>
      <c r="W336" s="383"/>
      <c r="X336" s="383"/>
      <c r="Y336" s="383"/>
    </row>
    <row r="337">
      <c r="A337" s="382"/>
      <c r="B337" s="382"/>
      <c r="C337" s="382"/>
      <c r="D337" s="382"/>
      <c r="E337" s="382"/>
      <c r="F337" s="382"/>
      <c r="G337" s="382"/>
      <c r="H337" s="382"/>
      <c r="I337" s="382"/>
      <c r="J337" s="382"/>
      <c r="K337" s="382"/>
      <c r="L337" s="382"/>
      <c r="M337" s="382"/>
      <c r="N337" s="382"/>
      <c r="O337" s="382"/>
      <c r="P337" s="382"/>
      <c r="Q337" s="382"/>
      <c r="R337" s="382"/>
      <c r="S337" s="382"/>
      <c r="T337" s="382"/>
      <c r="U337" s="382"/>
      <c r="V337" s="383"/>
      <c r="W337" s="383"/>
      <c r="X337" s="383"/>
      <c r="Y337" s="383"/>
    </row>
    <row r="338">
      <c r="A338" s="382"/>
      <c r="B338" s="382"/>
      <c r="C338" s="382"/>
      <c r="D338" s="382"/>
      <c r="E338" s="382"/>
      <c r="F338" s="382"/>
      <c r="G338" s="382"/>
      <c r="H338" s="382"/>
      <c r="I338" s="382"/>
      <c r="J338" s="382"/>
      <c r="K338" s="382"/>
      <c r="L338" s="382"/>
      <c r="M338" s="382"/>
      <c r="N338" s="382"/>
      <c r="O338" s="382"/>
      <c r="P338" s="382"/>
      <c r="Q338" s="382"/>
      <c r="R338" s="382"/>
      <c r="S338" s="382"/>
      <c r="T338" s="382"/>
      <c r="U338" s="382"/>
      <c r="V338" s="383"/>
      <c r="W338" s="383"/>
      <c r="X338" s="383"/>
      <c r="Y338" s="383"/>
    </row>
    <row r="339">
      <c r="A339" s="382"/>
      <c r="B339" s="382"/>
      <c r="C339" s="382"/>
      <c r="D339" s="382"/>
      <c r="E339" s="382"/>
      <c r="F339" s="382"/>
      <c r="G339" s="382"/>
      <c r="H339" s="382"/>
      <c r="I339" s="382"/>
      <c r="J339" s="382"/>
      <c r="K339" s="382"/>
      <c r="L339" s="382"/>
      <c r="M339" s="382"/>
      <c r="N339" s="382"/>
      <c r="O339" s="382"/>
      <c r="P339" s="382"/>
      <c r="Q339" s="382"/>
      <c r="R339" s="382"/>
      <c r="S339" s="382"/>
      <c r="T339" s="382"/>
      <c r="U339" s="382"/>
      <c r="V339" s="383"/>
      <c r="W339" s="383"/>
      <c r="X339" s="383"/>
      <c r="Y339" s="383"/>
    </row>
    <row r="340">
      <c r="A340" s="382"/>
      <c r="B340" s="382"/>
      <c r="C340" s="382"/>
      <c r="D340" s="382"/>
      <c r="E340" s="382"/>
      <c r="F340" s="382"/>
      <c r="G340" s="382"/>
      <c r="H340" s="382"/>
      <c r="I340" s="382"/>
      <c r="J340" s="382"/>
      <c r="K340" s="382"/>
      <c r="L340" s="382"/>
      <c r="M340" s="382"/>
      <c r="N340" s="382"/>
      <c r="O340" s="382"/>
      <c r="P340" s="382"/>
      <c r="Q340" s="382"/>
      <c r="R340" s="382"/>
      <c r="S340" s="382"/>
      <c r="T340" s="382"/>
      <c r="U340" s="382"/>
      <c r="V340" s="383"/>
      <c r="W340" s="383"/>
      <c r="X340" s="383"/>
      <c r="Y340" s="383"/>
    </row>
    <row r="341">
      <c r="A341" s="382"/>
      <c r="B341" s="382"/>
      <c r="C341" s="382"/>
      <c r="D341" s="382"/>
      <c r="E341" s="382"/>
      <c r="F341" s="382"/>
      <c r="G341" s="382"/>
      <c r="H341" s="382"/>
      <c r="I341" s="382"/>
      <c r="J341" s="382"/>
      <c r="K341" s="382"/>
      <c r="L341" s="382"/>
      <c r="M341" s="382"/>
      <c r="N341" s="382"/>
      <c r="O341" s="382"/>
      <c r="P341" s="382"/>
      <c r="Q341" s="382"/>
      <c r="R341" s="382"/>
      <c r="S341" s="382"/>
      <c r="T341" s="382"/>
      <c r="U341" s="382"/>
      <c r="V341" s="383"/>
      <c r="W341" s="383"/>
      <c r="X341" s="383"/>
      <c r="Y341" s="383"/>
    </row>
    <row r="342">
      <c r="A342" s="382"/>
      <c r="B342" s="382"/>
      <c r="C342" s="382"/>
      <c r="D342" s="382"/>
      <c r="E342" s="382"/>
      <c r="F342" s="382"/>
      <c r="G342" s="382"/>
      <c r="H342" s="382"/>
      <c r="I342" s="382"/>
      <c r="J342" s="382"/>
      <c r="K342" s="382"/>
      <c r="L342" s="382"/>
      <c r="M342" s="382"/>
      <c r="N342" s="382"/>
      <c r="O342" s="382"/>
      <c r="P342" s="382"/>
      <c r="Q342" s="382"/>
      <c r="R342" s="382"/>
      <c r="S342" s="382"/>
      <c r="T342" s="382"/>
      <c r="U342" s="382"/>
      <c r="V342" s="383"/>
      <c r="W342" s="383"/>
      <c r="X342" s="383"/>
      <c r="Y342" s="383"/>
    </row>
    <row r="343">
      <c r="A343" s="382"/>
      <c r="B343" s="382"/>
      <c r="C343" s="382"/>
      <c r="D343" s="382"/>
      <c r="E343" s="382"/>
      <c r="F343" s="382"/>
      <c r="G343" s="382"/>
      <c r="H343" s="382"/>
      <c r="I343" s="382"/>
      <c r="J343" s="382"/>
      <c r="K343" s="382"/>
      <c r="L343" s="382"/>
      <c r="M343" s="382"/>
      <c r="N343" s="382"/>
      <c r="O343" s="382"/>
      <c r="P343" s="382"/>
      <c r="Q343" s="382"/>
      <c r="R343" s="382"/>
      <c r="S343" s="382"/>
      <c r="T343" s="382"/>
      <c r="U343" s="382"/>
      <c r="V343" s="383"/>
      <c r="W343" s="383"/>
      <c r="X343" s="383"/>
      <c r="Y343" s="383"/>
    </row>
    <row r="344">
      <c r="A344" s="382"/>
      <c r="B344" s="382"/>
      <c r="C344" s="382"/>
      <c r="D344" s="382"/>
      <c r="E344" s="382"/>
      <c r="F344" s="382"/>
      <c r="G344" s="382"/>
      <c r="H344" s="382"/>
      <c r="I344" s="382"/>
      <c r="J344" s="382"/>
      <c r="K344" s="382"/>
      <c r="L344" s="382"/>
      <c r="M344" s="382"/>
      <c r="N344" s="382"/>
      <c r="O344" s="382"/>
      <c r="P344" s="382"/>
      <c r="Q344" s="382"/>
      <c r="R344" s="382"/>
      <c r="S344" s="382"/>
      <c r="T344" s="382"/>
      <c r="U344" s="382"/>
      <c r="V344" s="383"/>
      <c r="W344" s="383"/>
      <c r="X344" s="383"/>
      <c r="Y344" s="383"/>
    </row>
    <row r="345">
      <c r="A345" s="382"/>
      <c r="B345" s="382"/>
      <c r="C345" s="382"/>
      <c r="D345" s="382"/>
      <c r="E345" s="382"/>
      <c r="F345" s="382"/>
      <c r="G345" s="382"/>
      <c r="H345" s="382"/>
      <c r="I345" s="382"/>
      <c r="J345" s="382"/>
      <c r="K345" s="382"/>
      <c r="L345" s="382"/>
      <c r="M345" s="382"/>
      <c r="N345" s="382"/>
      <c r="O345" s="382"/>
      <c r="P345" s="382"/>
      <c r="Q345" s="382"/>
      <c r="R345" s="382"/>
      <c r="S345" s="382"/>
      <c r="T345" s="382"/>
      <c r="U345" s="382"/>
      <c r="V345" s="383"/>
      <c r="W345" s="383"/>
      <c r="X345" s="383"/>
      <c r="Y345" s="383"/>
    </row>
    <row r="346">
      <c r="A346" s="382"/>
      <c r="B346" s="382"/>
      <c r="C346" s="382"/>
      <c r="D346" s="382"/>
      <c r="E346" s="382"/>
      <c r="F346" s="382"/>
      <c r="G346" s="382"/>
      <c r="H346" s="382"/>
      <c r="I346" s="382"/>
      <c r="J346" s="382"/>
      <c r="K346" s="382"/>
      <c r="L346" s="382"/>
      <c r="M346" s="382"/>
      <c r="N346" s="382"/>
      <c r="O346" s="382"/>
      <c r="P346" s="382"/>
      <c r="Q346" s="382"/>
      <c r="R346" s="382"/>
      <c r="S346" s="382"/>
      <c r="T346" s="382"/>
      <c r="U346" s="382"/>
      <c r="V346" s="383"/>
      <c r="W346" s="383"/>
      <c r="X346" s="383"/>
      <c r="Y346" s="383"/>
    </row>
    <row r="347">
      <c r="A347" s="382"/>
      <c r="B347" s="382"/>
      <c r="C347" s="382"/>
      <c r="D347" s="382"/>
      <c r="E347" s="382"/>
      <c r="F347" s="382"/>
      <c r="G347" s="382"/>
      <c r="H347" s="382"/>
      <c r="I347" s="382"/>
      <c r="J347" s="382"/>
      <c r="K347" s="382"/>
      <c r="L347" s="382"/>
      <c r="M347" s="382"/>
      <c r="N347" s="382"/>
      <c r="O347" s="382"/>
      <c r="P347" s="382"/>
      <c r="Q347" s="382"/>
      <c r="R347" s="382"/>
      <c r="S347" s="382"/>
      <c r="T347" s="382"/>
      <c r="U347" s="382"/>
      <c r="V347" s="383"/>
      <c r="W347" s="383"/>
      <c r="X347" s="383"/>
      <c r="Y347" s="383"/>
    </row>
    <row r="348">
      <c r="A348" s="382"/>
      <c r="B348" s="382"/>
      <c r="C348" s="382"/>
      <c r="D348" s="382"/>
      <c r="E348" s="382"/>
      <c r="F348" s="382"/>
      <c r="G348" s="382"/>
      <c r="H348" s="382"/>
      <c r="I348" s="382"/>
      <c r="J348" s="382"/>
      <c r="K348" s="382"/>
      <c r="L348" s="382"/>
      <c r="M348" s="382"/>
      <c r="N348" s="382"/>
      <c r="O348" s="382"/>
      <c r="P348" s="382"/>
      <c r="Q348" s="382"/>
      <c r="R348" s="382"/>
      <c r="S348" s="382"/>
      <c r="T348" s="382"/>
      <c r="U348" s="382"/>
      <c r="V348" s="383"/>
      <c r="W348" s="383"/>
      <c r="X348" s="383"/>
      <c r="Y348" s="383"/>
    </row>
    <row r="349">
      <c r="A349" s="382"/>
      <c r="B349" s="382"/>
      <c r="C349" s="382"/>
      <c r="D349" s="382"/>
      <c r="E349" s="382"/>
      <c r="F349" s="382"/>
      <c r="G349" s="382"/>
      <c r="H349" s="382"/>
      <c r="I349" s="382"/>
      <c r="J349" s="382"/>
      <c r="K349" s="382"/>
      <c r="L349" s="382"/>
      <c r="M349" s="382"/>
      <c r="N349" s="382"/>
      <c r="O349" s="382"/>
      <c r="P349" s="382"/>
      <c r="Q349" s="382"/>
      <c r="R349" s="382"/>
      <c r="S349" s="382"/>
      <c r="T349" s="382"/>
      <c r="U349" s="382"/>
      <c r="V349" s="383"/>
      <c r="W349" s="383"/>
      <c r="X349" s="383"/>
      <c r="Y349" s="383"/>
    </row>
    <row r="350">
      <c r="A350" s="382"/>
      <c r="B350" s="382"/>
      <c r="C350" s="382"/>
      <c r="D350" s="382"/>
      <c r="E350" s="382"/>
      <c r="F350" s="382"/>
      <c r="G350" s="382"/>
      <c r="H350" s="382"/>
      <c r="I350" s="382"/>
      <c r="J350" s="382"/>
      <c r="K350" s="382"/>
      <c r="L350" s="382"/>
      <c r="M350" s="382"/>
      <c r="N350" s="382"/>
      <c r="O350" s="382"/>
      <c r="P350" s="382"/>
      <c r="Q350" s="382"/>
      <c r="R350" s="382"/>
      <c r="S350" s="382"/>
      <c r="T350" s="382"/>
      <c r="U350" s="382"/>
      <c r="V350" s="383"/>
      <c r="W350" s="383"/>
      <c r="X350" s="383"/>
      <c r="Y350" s="383"/>
    </row>
    <row r="351">
      <c r="A351" s="382"/>
      <c r="B351" s="382"/>
      <c r="C351" s="382"/>
      <c r="D351" s="382"/>
      <c r="E351" s="382"/>
      <c r="F351" s="382"/>
      <c r="G351" s="382"/>
      <c r="H351" s="382"/>
      <c r="I351" s="382"/>
      <c r="J351" s="382"/>
      <c r="K351" s="382"/>
      <c r="L351" s="382"/>
      <c r="M351" s="382"/>
      <c r="N351" s="382"/>
      <c r="O351" s="382"/>
      <c r="P351" s="382"/>
      <c r="Q351" s="382"/>
      <c r="R351" s="382"/>
      <c r="S351" s="382"/>
      <c r="T351" s="382"/>
      <c r="U351" s="382"/>
      <c r="V351" s="383"/>
      <c r="W351" s="383"/>
      <c r="X351" s="383"/>
      <c r="Y351" s="383"/>
    </row>
    <row r="352">
      <c r="A352" s="382"/>
      <c r="B352" s="382"/>
      <c r="C352" s="382"/>
      <c r="D352" s="382"/>
      <c r="E352" s="382"/>
      <c r="F352" s="382"/>
      <c r="G352" s="382"/>
      <c r="H352" s="382"/>
      <c r="I352" s="382"/>
      <c r="J352" s="382"/>
      <c r="K352" s="382"/>
      <c r="L352" s="382"/>
      <c r="M352" s="382"/>
      <c r="N352" s="382"/>
      <c r="O352" s="382"/>
      <c r="P352" s="382"/>
      <c r="Q352" s="382"/>
      <c r="R352" s="382"/>
      <c r="S352" s="382"/>
      <c r="T352" s="382"/>
      <c r="U352" s="382"/>
      <c r="V352" s="383"/>
      <c r="W352" s="383"/>
      <c r="X352" s="383"/>
      <c r="Y352" s="383"/>
    </row>
    <row r="353">
      <c r="A353" s="382"/>
      <c r="B353" s="382"/>
      <c r="C353" s="382"/>
      <c r="D353" s="382"/>
      <c r="E353" s="382"/>
      <c r="F353" s="382"/>
      <c r="G353" s="382"/>
      <c r="H353" s="382"/>
      <c r="I353" s="382"/>
      <c r="J353" s="382"/>
      <c r="K353" s="382"/>
      <c r="L353" s="382"/>
      <c r="M353" s="382"/>
      <c r="N353" s="382"/>
      <c r="O353" s="382"/>
      <c r="P353" s="382"/>
      <c r="Q353" s="382"/>
      <c r="R353" s="382"/>
      <c r="S353" s="382"/>
      <c r="T353" s="382"/>
      <c r="U353" s="382"/>
      <c r="V353" s="383"/>
      <c r="W353" s="383"/>
      <c r="X353" s="383"/>
      <c r="Y353" s="383"/>
    </row>
    <row r="354">
      <c r="A354" s="382"/>
      <c r="B354" s="382"/>
      <c r="C354" s="382"/>
      <c r="D354" s="382"/>
      <c r="E354" s="382"/>
      <c r="F354" s="382"/>
      <c r="G354" s="382"/>
      <c r="H354" s="382"/>
      <c r="I354" s="382"/>
      <c r="J354" s="382"/>
      <c r="K354" s="382"/>
      <c r="L354" s="382"/>
      <c r="M354" s="382"/>
      <c r="N354" s="382"/>
      <c r="O354" s="382"/>
      <c r="P354" s="382"/>
      <c r="Q354" s="382"/>
      <c r="R354" s="382"/>
      <c r="S354" s="382"/>
      <c r="T354" s="382"/>
      <c r="U354" s="382"/>
      <c r="V354" s="383"/>
      <c r="W354" s="383"/>
      <c r="X354" s="383"/>
      <c r="Y354" s="383"/>
    </row>
    <row r="355">
      <c r="A355" s="382"/>
      <c r="B355" s="382"/>
      <c r="C355" s="382"/>
      <c r="D355" s="382"/>
      <c r="E355" s="382"/>
      <c r="F355" s="382"/>
      <c r="G355" s="382"/>
      <c r="H355" s="382"/>
      <c r="I355" s="382"/>
      <c r="J355" s="382"/>
      <c r="K355" s="382"/>
      <c r="L355" s="382"/>
      <c r="M355" s="382"/>
      <c r="N355" s="382"/>
      <c r="O355" s="382"/>
      <c r="P355" s="382"/>
      <c r="Q355" s="382"/>
      <c r="R355" s="382"/>
      <c r="S355" s="382"/>
      <c r="T355" s="382"/>
      <c r="U355" s="382"/>
      <c r="V355" s="383"/>
      <c r="W355" s="383"/>
      <c r="X355" s="383"/>
      <c r="Y355" s="383"/>
    </row>
    <row r="356">
      <c r="A356" s="382"/>
      <c r="B356" s="382"/>
      <c r="C356" s="382"/>
      <c r="D356" s="382"/>
      <c r="E356" s="382"/>
      <c r="F356" s="382"/>
      <c r="G356" s="382"/>
      <c r="H356" s="382"/>
      <c r="I356" s="382"/>
      <c r="J356" s="382"/>
      <c r="K356" s="382"/>
      <c r="L356" s="382"/>
      <c r="M356" s="382"/>
      <c r="N356" s="382"/>
      <c r="O356" s="382"/>
      <c r="P356" s="382"/>
      <c r="Q356" s="382"/>
      <c r="R356" s="382"/>
      <c r="S356" s="382"/>
      <c r="T356" s="382"/>
      <c r="U356" s="382"/>
      <c r="V356" s="383"/>
      <c r="W356" s="383"/>
      <c r="X356" s="383"/>
      <c r="Y356" s="383"/>
    </row>
    <row r="357">
      <c r="A357" s="382"/>
      <c r="B357" s="382"/>
      <c r="C357" s="382"/>
      <c r="D357" s="382"/>
      <c r="E357" s="382"/>
      <c r="F357" s="382"/>
      <c r="G357" s="382"/>
      <c r="H357" s="382"/>
      <c r="I357" s="382"/>
      <c r="J357" s="382"/>
      <c r="K357" s="382"/>
      <c r="L357" s="382"/>
      <c r="M357" s="382"/>
      <c r="N357" s="382"/>
      <c r="O357" s="382"/>
      <c r="P357" s="382"/>
      <c r="Q357" s="382"/>
      <c r="R357" s="382"/>
      <c r="S357" s="382"/>
      <c r="T357" s="382"/>
      <c r="U357" s="382"/>
      <c r="V357" s="383"/>
      <c r="W357" s="383"/>
      <c r="X357" s="383"/>
      <c r="Y357" s="383"/>
    </row>
    <row r="358">
      <c r="A358" s="382"/>
      <c r="B358" s="382"/>
      <c r="C358" s="382"/>
      <c r="D358" s="382"/>
      <c r="E358" s="382"/>
      <c r="F358" s="382"/>
      <c r="G358" s="382"/>
      <c r="H358" s="382"/>
      <c r="I358" s="382"/>
      <c r="J358" s="382"/>
      <c r="K358" s="382"/>
      <c r="L358" s="382"/>
      <c r="M358" s="382"/>
      <c r="N358" s="382"/>
      <c r="O358" s="382"/>
      <c r="P358" s="382"/>
      <c r="Q358" s="382"/>
      <c r="R358" s="382"/>
      <c r="S358" s="382"/>
      <c r="T358" s="382"/>
      <c r="U358" s="382"/>
      <c r="V358" s="383"/>
      <c r="W358" s="383"/>
      <c r="X358" s="383"/>
      <c r="Y358" s="383"/>
    </row>
    <row r="359">
      <c r="A359" s="382"/>
      <c r="B359" s="382"/>
      <c r="C359" s="382"/>
      <c r="D359" s="382"/>
      <c r="E359" s="382"/>
      <c r="F359" s="382"/>
      <c r="G359" s="382"/>
      <c r="H359" s="382"/>
      <c r="I359" s="382"/>
      <c r="J359" s="382"/>
      <c r="K359" s="382"/>
      <c r="L359" s="382"/>
      <c r="M359" s="382"/>
      <c r="N359" s="382"/>
      <c r="O359" s="382"/>
      <c r="P359" s="382"/>
      <c r="Q359" s="382"/>
      <c r="R359" s="382"/>
      <c r="S359" s="382"/>
      <c r="T359" s="382"/>
      <c r="U359" s="382"/>
      <c r="V359" s="383"/>
      <c r="W359" s="383"/>
      <c r="X359" s="383"/>
      <c r="Y359" s="383"/>
    </row>
    <row r="360">
      <c r="A360" s="382"/>
      <c r="B360" s="382"/>
      <c r="C360" s="382"/>
      <c r="D360" s="382"/>
      <c r="E360" s="382"/>
      <c r="F360" s="382"/>
      <c r="G360" s="382"/>
      <c r="H360" s="382"/>
      <c r="I360" s="382"/>
      <c r="J360" s="382"/>
      <c r="K360" s="382"/>
      <c r="L360" s="382"/>
      <c r="M360" s="382"/>
      <c r="N360" s="382"/>
      <c r="O360" s="382"/>
      <c r="P360" s="382"/>
      <c r="Q360" s="382"/>
      <c r="R360" s="382"/>
      <c r="S360" s="382"/>
      <c r="T360" s="382"/>
      <c r="U360" s="382"/>
      <c r="V360" s="383"/>
      <c r="W360" s="383"/>
      <c r="X360" s="383"/>
      <c r="Y360" s="383"/>
    </row>
    <row r="361">
      <c r="A361" s="382"/>
      <c r="B361" s="382"/>
      <c r="C361" s="382"/>
      <c r="D361" s="382"/>
      <c r="E361" s="382"/>
      <c r="F361" s="382"/>
      <c r="G361" s="382"/>
      <c r="H361" s="382"/>
      <c r="I361" s="382"/>
      <c r="J361" s="382"/>
      <c r="K361" s="382"/>
      <c r="L361" s="382"/>
      <c r="M361" s="382"/>
      <c r="N361" s="382"/>
      <c r="O361" s="382"/>
      <c r="P361" s="382"/>
      <c r="Q361" s="382"/>
      <c r="R361" s="382"/>
      <c r="S361" s="382"/>
      <c r="T361" s="382"/>
      <c r="U361" s="382"/>
      <c r="V361" s="383"/>
      <c r="W361" s="383"/>
      <c r="X361" s="383"/>
      <c r="Y361" s="383"/>
    </row>
    <row r="362">
      <c r="A362" s="382"/>
      <c r="B362" s="382"/>
      <c r="C362" s="382"/>
      <c r="D362" s="382"/>
      <c r="E362" s="382"/>
      <c r="F362" s="382"/>
      <c r="G362" s="382"/>
      <c r="H362" s="382"/>
      <c r="I362" s="382"/>
      <c r="J362" s="382"/>
      <c r="K362" s="382"/>
      <c r="L362" s="382"/>
      <c r="M362" s="382"/>
      <c r="N362" s="382"/>
      <c r="O362" s="382"/>
      <c r="P362" s="382"/>
      <c r="Q362" s="382"/>
      <c r="R362" s="382"/>
      <c r="S362" s="382"/>
      <c r="T362" s="382"/>
      <c r="U362" s="382"/>
      <c r="V362" s="383"/>
      <c r="W362" s="383"/>
      <c r="X362" s="383"/>
      <c r="Y362" s="383"/>
    </row>
    <row r="363">
      <c r="A363" s="382"/>
      <c r="B363" s="382"/>
      <c r="C363" s="382"/>
      <c r="D363" s="382"/>
      <c r="E363" s="382"/>
      <c r="F363" s="382"/>
      <c r="G363" s="382"/>
      <c r="H363" s="382"/>
      <c r="I363" s="382"/>
      <c r="J363" s="382"/>
      <c r="K363" s="382"/>
      <c r="L363" s="382"/>
      <c r="M363" s="382"/>
      <c r="N363" s="382"/>
      <c r="O363" s="382"/>
      <c r="P363" s="382"/>
      <c r="Q363" s="382"/>
      <c r="R363" s="382"/>
      <c r="S363" s="382"/>
      <c r="T363" s="382"/>
      <c r="U363" s="382"/>
      <c r="V363" s="383"/>
      <c r="W363" s="383"/>
      <c r="X363" s="383"/>
      <c r="Y363" s="383"/>
    </row>
    <row r="364">
      <c r="A364" s="382"/>
      <c r="B364" s="382"/>
      <c r="C364" s="382"/>
      <c r="D364" s="382"/>
      <c r="E364" s="382"/>
      <c r="F364" s="382"/>
      <c r="G364" s="382"/>
      <c r="H364" s="382"/>
      <c r="I364" s="382"/>
      <c r="J364" s="382"/>
      <c r="K364" s="382"/>
      <c r="L364" s="382"/>
      <c r="M364" s="382"/>
      <c r="N364" s="382"/>
      <c r="O364" s="382"/>
      <c r="P364" s="382"/>
      <c r="Q364" s="382"/>
      <c r="R364" s="382"/>
      <c r="S364" s="382"/>
      <c r="T364" s="382"/>
      <c r="U364" s="382"/>
      <c r="V364" s="383"/>
      <c r="W364" s="383"/>
      <c r="X364" s="383"/>
      <c r="Y364" s="383"/>
    </row>
    <row r="365">
      <c r="A365" s="382"/>
      <c r="B365" s="382"/>
      <c r="C365" s="382"/>
      <c r="D365" s="382"/>
      <c r="E365" s="382"/>
      <c r="F365" s="382"/>
      <c r="G365" s="382"/>
      <c r="H365" s="382"/>
      <c r="I365" s="382"/>
      <c r="J365" s="382"/>
      <c r="K365" s="382"/>
      <c r="L365" s="382"/>
      <c r="M365" s="382"/>
      <c r="N365" s="382"/>
      <c r="O365" s="382"/>
      <c r="P365" s="382"/>
      <c r="Q365" s="382"/>
      <c r="R365" s="382"/>
      <c r="S365" s="382"/>
      <c r="T365" s="382"/>
      <c r="U365" s="382"/>
      <c r="V365" s="383"/>
      <c r="W365" s="383"/>
      <c r="X365" s="383"/>
      <c r="Y365" s="383"/>
    </row>
    <row r="366">
      <c r="A366" s="382"/>
      <c r="B366" s="382"/>
      <c r="C366" s="382"/>
      <c r="D366" s="382"/>
      <c r="E366" s="382"/>
      <c r="F366" s="382"/>
      <c r="G366" s="382"/>
      <c r="H366" s="382"/>
      <c r="I366" s="382"/>
      <c r="J366" s="382"/>
      <c r="K366" s="382"/>
      <c r="L366" s="382"/>
      <c r="M366" s="382"/>
      <c r="N366" s="382"/>
      <c r="O366" s="382"/>
      <c r="P366" s="382"/>
      <c r="Q366" s="382"/>
      <c r="R366" s="382"/>
      <c r="S366" s="382"/>
      <c r="T366" s="382"/>
      <c r="U366" s="382"/>
      <c r="V366" s="383"/>
      <c r="W366" s="383"/>
      <c r="X366" s="383"/>
      <c r="Y366" s="383"/>
    </row>
    <row r="367">
      <c r="A367" s="382"/>
      <c r="B367" s="382"/>
      <c r="C367" s="382"/>
      <c r="D367" s="382"/>
      <c r="E367" s="382"/>
      <c r="F367" s="382"/>
      <c r="G367" s="382"/>
      <c r="H367" s="382"/>
      <c r="I367" s="382"/>
      <c r="J367" s="382"/>
      <c r="K367" s="382"/>
      <c r="L367" s="382"/>
      <c r="M367" s="382"/>
      <c r="N367" s="382"/>
      <c r="O367" s="382"/>
      <c r="P367" s="382"/>
      <c r="Q367" s="382"/>
      <c r="R367" s="382"/>
      <c r="S367" s="382"/>
      <c r="T367" s="382"/>
      <c r="U367" s="382"/>
      <c r="V367" s="383"/>
      <c r="W367" s="383"/>
      <c r="X367" s="383"/>
      <c r="Y367" s="383"/>
    </row>
    <row r="368">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3"/>
      <c r="W368" s="383"/>
      <c r="X368" s="383"/>
      <c r="Y368" s="383"/>
    </row>
    <row r="369">
      <c r="A369" s="382"/>
      <c r="B369" s="382"/>
      <c r="C369" s="382"/>
      <c r="D369" s="382"/>
      <c r="E369" s="382"/>
      <c r="F369" s="382"/>
      <c r="G369" s="382"/>
      <c r="H369" s="382"/>
      <c r="I369" s="382"/>
      <c r="J369" s="382"/>
      <c r="K369" s="382"/>
      <c r="L369" s="382"/>
      <c r="M369" s="382"/>
      <c r="N369" s="382"/>
      <c r="O369" s="382"/>
      <c r="P369" s="382"/>
      <c r="Q369" s="382"/>
      <c r="R369" s="382"/>
      <c r="S369" s="382"/>
      <c r="T369" s="382"/>
      <c r="U369" s="382"/>
      <c r="V369" s="383"/>
      <c r="W369" s="383"/>
      <c r="X369" s="383"/>
      <c r="Y369" s="383"/>
    </row>
    <row r="370">
      <c r="A370" s="382"/>
      <c r="B370" s="382"/>
      <c r="C370" s="382"/>
      <c r="D370" s="382"/>
      <c r="E370" s="382"/>
      <c r="F370" s="382"/>
      <c r="G370" s="382"/>
      <c r="H370" s="382"/>
      <c r="I370" s="382"/>
      <c r="J370" s="382"/>
      <c r="K370" s="382"/>
      <c r="L370" s="382"/>
      <c r="M370" s="382"/>
      <c r="N370" s="382"/>
      <c r="O370" s="382"/>
      <c r="P370" s="382"/>
      <c r="Q370" s="382"/>
      <c r="R370" s="382"/>
      <c r="S370" s="382"/>
      <c r="T370" s="382"/>
      <c r="U370" s="382"/>
      <c r="V370" s="383"/>
      <c r="W370" s="383"/>
      <c r="X370" s="383"/>
      <c r="Y370" s="383"/>
    </row>
    <row r="371">
      <c r="A371" s="382"/>
      <c r="B371" s="382"/>
      <c r="C371" s="382"/>
      <c r="D371" s="382"/>
      <c r="E371" s="382"/>
      <c r="F371" s="382"/>
      <c r="G371" s="382"/>
      <c r="H371" s="382"/>
      <c r="I371" s="382"/>
      <c r="J371" s="382"/>
      <c r="K371" s="382"/>
      <c r="L371" s="382"/>
      <c r="M371" s="382"/>
      <c r="N371" s="382"/>
      <c r="O371" s="382"/>
      <c r="P371" s="382"/>
      <c r="Q371" s="382"/>
      <c r="R371" s="382"/>
      <c r="S371" s="382"/>
      <c r="T371" s="382"/>
      <c r="U371" s="382"/>
      <c r="V371" s="383"/>
      <c r="W371" s="383"/>
      <c r="X371" s="383"/>
      <c r="Y371" s="383"/>
    </row>
    <row r="372">
      <c r="A372" s="382"/>
      <c r="B372" s="382"/>
      <c r="C372" s="382"/>
      <c r="D372" s="382"/>
      <c r="E372" s="382"/>
      <c r="F372" s="382"/>
      <c r="G372" s="382"/>
      <c r="H372" s="382"/>
      <c r="I372" s="382"/>
      <c r="J372" s="382"/>
      <c r="K372" s="382"/>
      <c r="L372" s="382"/>
      <c r="M372" s="382"/>
      <c r="N372" s="382"/>
      <c r="O372" s="382"/>
      <c r="P372" s="382"/>
      <c r="Q372" s="382"/>
      <c r="R372" s="382"/>
      <c r="S372" s="382"/>
      <c r="T372" s="382"/>
      <c r="U372" s="382"/>
      <c r="V372" s="383"/>
      <c r="W372" s="383"/>
      <c r="X372" s="383"/>
      <c r="Y372" s="383"/>
    </row>
    <row r="373">
      <c r="A373" s="382"/>
      <c r="B373" s="382"/>
      <c r="C373" s="382"/>
      <c r="D373" s="382"/>
      <c r="E373" s="382"/>
      <c r="F373" s="382"/>
      <c r="G373" s="382"/>
      <c r="H373" s="382"/>
      <c r="I373" s="382"/>
      <c r="J373" s="382"/>
      <c r="K373" s="382"/>
      <c r="L373" s="382"/>
      <c r="M373" s="382"/>
      <c r="N373" s="382"/>
      <c r="O373" s="382"/>
      <c r="P373" s="382"/>
      <c r="Q373" s="382"/>
      <c r="R373" s="382"/>
      <c r="S373" s="382"/>
      <c r="T373" s="382"/>
      <c r="U373" s="382"/>
      <c r="V373" s="383"/>
      <c r="W373" s="383"/>
      <c r="X373" s="383"/>
      <c r="Y373" s="383"/>
    </row>
    <row r="374">
      <c r="A374" s="382"/>
      <c r="B374" s="382"/>
      <c r="C374" s="382"/>
      <c r="D374" s="382"/>
      <c r="E374" s="382"/>
      <c r="F374" s="382"/>
      <c r="G374" s="382"/>
      <c r="H374" s="382"/>
      <c r="I374" s="382"/>
      <c r="J374" s="382"/>
      <c r="K374" s="382"/>
      <c r="L374" s="382"/>
      <c r="M374" s="382"/>
      <c r="N374" s="382"/>
      <c r="O374" s="382"/>
      <c r="P374" s="382"/>
      <c r="Q374" s="382"/>
      <c r="R374" s="382"/>
      <c r="S374" s="382"/>
      <c r="T374" s="382"/>
      <c r="U374" s="382"/>
      <c r="V374" s="383"/>
      <c r="W374" s="383"/>
      <c r="X374" s="383"/>
      <c r="Y374" s="383"/>
    </row>
    <row r="375">
      <c r="A375" s="382"/>
      <c r="B375" s="382"/>
      <c r="C375" s="382"/>
      <c r="D375" s="382"/>
      <c r="E375" s="382"/>
      <c r="F375" s="382"/>
      <c r="G375" s="382"/>
      <c r="H375" s="382"/>
      <c r="I375" s="382"/>
      <c r="J375" s="382"/>
      <c r="K375" s="382"/>
      <c r="L375" s="382"/>
      <c r="M375" s="382"/>
      <c r="N375" s="382"/>
      <c r="O375" s="382"/>
      <c r="P375" s="382"/>
      <c r="Q375" s="382"/>
      <c r="R375" s="382"/>
      <c r="S375" s="382"/>
      <c r="T375" s="382"/>
      <c r="U375" s="382"/>
      <c r="V375" s="383"/>
      <c r="W375" s="383"/>
      <c r="X375" s="383"/>
      <c r="Y375" s="383"/>
    </row>
    <row r="376">
      <c r="A376" s="382"/>
      <c r="B376" s="382"/>
      <c r="C376" s="382"/>
      <c r="D376" s="382"/>
      <c r="E376" s="382"/>
      <c r="F376" s="382"/>
      <c r="G376" s="382"/>
      <c r="H376" s="382"/>
      <c r="I376" s="382"/>
      <c r="J376" s="382"/>
      <c r="K376" s="382"/>
      <c r="L376" s="382"/>
      <c r="M376" s="382"/>
      <c r="N376" s="382"/>
      <c r="O376" s="382"/>
      <c r="P376" s="382"/>
      <c r="Q376" s="382"/>
      <c r="R376" s="382"/>
      <c r="S376" s="382"/>
      <c r="T376" s="382"/>
      <c r="U376" s="382"/>
      <c r="V376" s="383"/>
      <c r="W376" s="383"/>
      <c r="X376" s="383"/>
      <c r="Y376" s="383"/>
    </row>
    <row r="377">
      <c r="A377" s="382"/>
      <c r="B377" s="382"/>
      <c r="C377" s="382"/>
      <c r="D377" s="382"/>
      <c r="E377" s="382"/>
      <c r="F377" s="382"/>
      <c r="G377" s="382"/>
      <c r="H377" s="382"/>
      <c r="I377" s="382"/>
      <c r="J377" s="382"/>
      <c r="K377" s="382"/>
      <c r="L377" s="382"/>
      <c r="M377" s="382"/>
      <c r="N377" s="382"/>
      <c r="O377" s="382"/>
      <c r="P377" s="382"/>
      <c r="Q377" s="382"/>
      <c r="R377" s="382"/>
      <c r="S377" s="382"/>
      <c r="T377" s="382"/>
      <c r="U377" s="382"/>
      <c r="V377" s="383"/>
      <c r="W377" s="383"/>
      <c r="X377" s="383"/>
      <c r="Y377" s="383"/>
    </row>
    <row r="378">
      <c r="A378" s="382"/>
      <c r="B378" s="382"/>
      <c r="C378" s="382"/>
      <c r="D378" s="382"/>
      <c r="E378" s="382"/>
      <c r="F378" s="382"/>
      <c r="G378" s="382"/>
      <c r="H378" s="382"/>
      <c r="I378" s="382"/>
      <c r="J378" s="382"/>
      <c r="K378" s="382"/>
      <c r="L378" s="382"/>
      <c r="M378" s="382"/>
      <c r="N378" s="382"/>
      <c r="O378" s="382"/>
      <c r="P378" s="382"/>
      <c r="Q378" s="382"/>
      <c r="R378" s="382"/>
      <c r="S378" s="382"/>
      <c r="T378" s="382"/>
      <c r="U378" s="382"/>
      <c r="V378" s="383"/>
      <c r="W378" s="383"/>
      <c r="X378" s="383"/>
      <c r="Y378" s="383"/>
    </row>
    <row r="379">
      <c r="A379" s="382"/>
      <c r="B379" s="382"/>
      <c r="C379" s="382"/>
      <c r="D379" s="382"/>
      <c r="E379" s="382"/>
      <c r="F379" s="382"/>
      <c r="G379" s="382"/>
      <c r="H379" s="382"/>
      <c r="I379" s="382"/>
      <c r="J379" s="382"/>
      <c r="K379" s="382"/>
      <c r="L379" s="382"/>
      <c r="M379" s="382"/>
      <c r="N379" s="382"/>
      <c r="O379" s="382"/>
      <c r="P379" s="382"/>
      <c r="Q379" s="382"/>
      <c r="R379" s="382"/>
      <c r="S379" s="382"/>
      <c r="T379" s="382"/>
      <c r="U379" s="382"/>
      <c r="V379" s="383"/>
      <c r="W379" s="383"/>
      <c r="X379" s="383"/>
      <c r="Y379" s="383"/>
    </row>
    <row r="380">
      <c r="A380" s="382"/>
      <c r="B380" s="382"/>
      <c r="C380" s="382"/>
      <c r="D380" s="382"/>
      <c r="E380" s="382"/>
      <c r="F380" s="382"/>
      <c r="G380" s="382"/>
      <c r="H380" s="382"/>
      <c r="I380" s="382"/>
      <c r="J380" s="382"/>
      <c r="K380" s="382"/>
      <c r="L380" s="382"/>
      <c r="M380" s="382"/>
      <c r="N380" s="382"/>
      <c r="O380" s="382"/>
      <c r="P380" s="382"/>
      <c r="Q380" s="382"/>
      <c r="R380" s="382"/>
      <c r="S380" s="382"/>
      <c r="T380" s="382"/>
      <c r="U380" s="382"/>
      <c r="V380" s="383"/>
      <c r="W380" s="383"/>
      <c r="X380" s="383"/>
      <c r="Y380" s="383"/>
    </row>
    <row r="381">
      <c r="A381" s="382"/>
      <c r="B381" s="382"/>
      <c r="C381" s="382"/>
      <c r="D381" s="382"/>
      <c r="E381" s="382"/>
      <c r="F381" s="382"/>
      <c r="G381" s="382"/>
      <c r="H381" s="382"/>
      <c r="I381" s="382"/>
      <c r="J381" s="382"/>
      <c r="K381" s="382"/>
      <c r="L381" s="382"/>
      <c r="M381" s="382"/>
      <c r="N381" s="382"/>
      <c r="O381" s="382"/>
      <c r="P381" s="382"/>
      <c r="Q381" s="382"/>
      <c r="R381" s="382"/>
      <c r="S381" s="382"/>
      <c r="T381" s="382"/>
      <c r="U381" s="382"/>
      <c r="V381" s="383"/>
      <c r="W381" s="383"/>
      <c r="X381" s="383"/>
      <c r="Y381" s="383"/>
    </row>
    <row r="382">
      <c r="A382" s="382"/>
      <c r="B382" s="382"/>
      <c r="C382" s="382"/>
      <c r="D382" s="382"/>
      <c r="E382" s="382"/>
      <c r="F382" s="382"/>
      <c r="G382" s="382"/>
      <c r="H382" s="382"/>
      <c r="I382" s="382"/>
      <c r="J382" s="382"/>
      <c r="K382" s="382"/>
      <c r="L382" s="382"/>
      <c r="M382" s="382"/>
      <c r="N382" s="382"/>
      <c r="O382" s="382"/>
      <c r="P382" s="382"/>
      <c r="Q382" s="382"/>
      <c r="R382" s="382"/>
      <c r="S382" s="382"/>
      <c r="T382" s="382"/>
      <c r="U382" s="382"/>
      <c r="V382" s="383"/>
      <c r="W382" s="383"/>
      <c r="X382" s="383"/>
      <c r="Y382" s="383"/>
    </row>
    <row r="383">
      <c r="A383" s="382"/>
      <c r="B383" s="382"/>
      <c r="C383" s="382"/>
      <c r="D383" s="382"/>
      <c r="E383" s="382"/>
      <c r="F383" s="382"/>
      <c r="G383" s="382"/>
      <c r="H383" s="382"/>
      <c r="I383" s="382"/>
      <c r="J383" s="382"/>
      <c r="K383" s="382"/>
      <c r="L383" s="382"/>
      <c r="M383" s="382"/>
      <c r="N383" s="382"/>
      <c r="O383" s="382"/>
      <c r="P383" s="382"/>
      <c r="Q383" s="382"/>
      <c r="R383" s="382"/>
      <c r="S383" s="382"/>
      <c r="T383" s="382"/>
      <c r="U383" s="382"/>
      <c r="V383" s="383"/>
      <c r="W383" s="383"/>
      <c r="X383" s="383"/>
      <c r="Y383" s="383"/>
    </row>
    <row r="384">
      <c r="A384" s="382"/>
      <c r="B384" s="382"/>
      <c r="C384" s="382"/>
      <c r="D384" s="382"/>
      <c r="E384" s="382"/>
      <c r="F384" s="382"/>
      <c r="G384" s="382"/>
      <c r="H384" s="382"/>
      <c r="I384" s="382"/>
      <c r="J384" s="382"/>
      <c r="K384" s="382"/>
      <c r="L384" s="382"/>
      <c r="M384" s="382"/>
      <c r="N384" s="382"/>
      <c r="O384" s="382"/>
      <c r="P384" s="382"/>
      <c r="Q384" s="382"/>
      <c r="R384" s="382"/>
      <c r="S384" s="382"/>
      <c r="T384" s="382"/>
      <c r="U384" s="382"/>
      <c r="V384" s="383"/>
      <c r="W384" s="383"/>
      <c r="X384" s="383"/>
      <c r="Y384" s="383"/>
    </row>
    <row r="385">
      <c r="A385" s="382"/>
      <c r="B385" s="382"/>
      <c r="C385" s="382"/>
      <c r="D385" s="382"/>
      <c r="E385" s="382"/>
      <c r="F385" s="382"/>
      <c r="G385" s="382"/>
      <c r="H385" s="382"/>
      <c r="I385" s="382"/>
      <c r="J385" s="382"/>
      <c r="K385" s="382"/>
      <c r="L385" s="382"/>
      <c r="M385" s="382"/>
      <c r="N385" s="382"/>
      <c r="O385" s="382"/>
      <c r="P385" s="382"/>
      <c r="Q385" s="382"/>
      <c r="R385" s="382"/>
      <c r="S385" s="382"/>
      <c r="T385" s="382"/>
      <c r="U385" s="382"/>
      <c r="V385" s="383"/>
      <c r="W385" s="383"/>
      <c r="X385" s="383"/>
      <c r="Y385" s="383"/>
    </row>
    <row r="386">
      <c r="A386" s="382"/>
      <c r="B386" s="382"/>
      <c r="C386" s="382"/>
      <c r="D386" s="382"/>
      <c r="E386" s="382"/>
      <c r="F386" s="382"/>
      <c r="G386" s="382"/>
      <c r="H386" s="382"/>
      <c r="I386" s="382"/>
      <c r="J386" s="382"/>
      <c r="K386" s="382"/>
      <c r="L386" s="382"/>
      <c r="M386" s="382"/>
      <c r="N386" s="382"/>
      <c r="O386" s="382"/>
      <c r="P386" s="382"/>
      <c r="Q386" s="382"/>
      <c r="R386" s="382"/>
      <c r="S386" s="382"/>
      <c r="T386" s="382"/>
      <c r="U386" s="382"/>
      <c r="V386" s="383"/>
      <c r="W386" s="383"/>
      <c r="X386" s="383"/>
      <c r="Y386" s="383"/>
    </row>
    <row r="387">
      <c r="A387" s="382"/>
      <c r="B387" s="382"/>
      <c r="C387" s="382"/>
      <c r="D387" s="382"/>
      <c r="E387" s="382"/>
      <c r="F387" s="382"/>
      <c r="G387" s="382"/>
      <c r="H387" s="382"/>
      <c r="I387" s="382"/>
      <c r="J387" s="382"/>
      <c r="K387" s="382"/>
      <c r="L387" s="382"/>
      <c r="M387" s="382"/>
      <c r="N387" s="382"/>
      <c r="O387" s="382"/>
      <c r="P387" s="382"/>
      <c r="Q387" s="382"/>
      <c r="R387" s="382"/>
      <c r="S387" s="382"/>
      <c r="T387" s="382"/>
      <c r="U387" s="382"/>
      <c r="V387" s="383"/>
      <c r="W387" s="383"/>
      <c r="X387" s="383"/>
      <c r="Y387" s="383"/>
    </row>
    <row r="388">
      <c r="A388" s="382"/>
      <c r="B388" s="382"/>
      <c r="C388" s="382"/>
      <c r="D388" s="382"/>
      <c r="E388" s="382"/>
      <c r="F388" s="382"/>
      <c r="G388" s="382"/>
      <c r="H388" s="382"/>
      <c r="I388" s="382"/>
      <c r="J388" s="382"/>
      <c r="K388" s="382"/>
      <c r="L388" s="382"/>
      <c r="M388" s="382"/>
      <c r="N388" s="382"/>
      <c r="O388" s="382"/>
      <c r="P388" s="382"/>
      <c r="Q388" s="382"/>
      <c r="R388" s="382"/>
      <c r="S388" s="382"/>
      <c r="T388" s="382"/>
      <c r="U388" s="382"/>
      <c r="V388" s="383"/>
      <c r="W388" s="383"/>
      <c r="X388" s="383"/>
      <c r="Y388" s="383"/>
    </row>
    <row r="389">
      <c r="A389" s="382"/>
      <c r="B389" s="382"/>
      <c r="C389" s="382"/>
      <c r="D389" s="382"/>
      <c r="E389" s="382"/>
      <c r="F389" s="382"/>
      <c r="G389" s="382"/>
      <c r="H389" s="382"/>
      <c r="I389" s="382"/>
      <c r="J389" s="382"/>
      <c r="K389" s="382"/>
      <c r="L389" s="382"/>
      <c r="M389" s="382"/>
      <c r="N389" s="382"/>
      <c r="O389" s="382"/>
      <c r="P389" s="382"/>
      <c r="Q389" s="382"/>
      <c r="R389" s="382"/>
      <c r="S389" s="382"/>
      <c r="T389" s="382"/>
      <c r="U389" s="382"/>
      <c r="V389" s="383"/>
      <c r="W389" s="383"/>
      <c r="X389" s="383"/>
      <c r="Y389" s="383"/>
    </row>
    <row r="390">
      <c r="A390" s="382"/>
      <c r="B390" s="382"/>
      <c r="C390" s="382"/>
      <c r="D390" s="382"/>
      <c r="E390" s="382"/>
      <c r="F390" s="382"/>
      <c r="G390" s="382"/>
      <c r="H390" s="382"/>
      <c r="I390" s="382"/>
      <c r="J390" s="382"/>
      <c r="K390" s="382"/>
      <c r="L390" s="382"/>
      <c r="M390" s="382"/>
      <c r="N390" s="382"/>
      <c r="O390" s="382"/>
      <c r="P390" s="382"/>
      <c r="Q390" s="382"/>
      <c r="R390" s="382"/>
      <c r="S390" s="382"/>
      <c r="T390" s="382"/>
      <c r="U390" s="382"/>
      <c r="V390" s="383"/>
      <c r="W390" s="383"/>
      <c r="X390" s="383"/>
      <c r="Y390" s="383"/>
    </row>
    <row r="391">
      <c r="A391" s="382"/>
      <c r="B391" s="382"/>
      <c r="C391" s="382"/>
      <c r="D391" s="382"/>
      <c r="E391" s="382"/>
      <c r="F391" s="382"/>
      <c r="G391" s="382"/>
      <c r="H391" s="382"/>
      <c r="I391" s="382"/>
      <c r="J391" s="382"/>
      <c r="K391" s="382"/>
      <c r="L391" s="382"/>
      <c r="M391" s="382"/>
      <c r="N391" s="382"/>
      <c r="O391" s="382"/>
      <c r="P391" s="382"/>
      <c r="Q391" s="382"/>
      <c r="R391" s="382"/>
      <c r="S391" s="382"/>
      <c r="T391" s="382"/>
      <c r="U391" s="382"/>
      <c r="V391" s="383"/>
      <c r="W391" s="383"/>
      <c r="X391" s="383"/>
      <c r="Y391" s="383"/>
    </row>
    <row r="392">
      <c r="A392" s="382"/>
      <c r="B392" s="382"/>
      <c r="C392" s="382"/>
      <c r="D392" s="382"/>
      <c r="E392" s="382"/>
      <c r="F392" s="382"/>
      <c r="G392" s="382"/>
      <c r="H392" s="382"/>
      <c r="I392" s="382"/>
      <c r="J392" s="382"/>
      <c r="K392" s="382"/>
      <c r="L392" s="382"/>
      <c r="M392" s="382"/>
      <c r="N392" s="382"/>
      <c r="O392" s="382"/>
      <c r="P392" s="382"/>
      <c r="Q392" s="382"/>
      <c r="R392" s="382"/>
      <c r="S392" s="382"/>
      <c r="T392" s="382"/>
      <c r="U392" s="382"/>
      <c r="V392" s="383"/>
      <c r="W392" s="383"/>
      <c r="X392" s="383"/>
      <c r="Y392" s="383"/>
    </row>
    <row r="393">
      <c r="A393" s="382"/>
      <c r="B393" s="382"/>
      <c r="C393" s="382"/>
      <c r="D393" s="382"/>
      <c r="E393" s="382"/>
      <c r="F393" s="382"/>
      <c r="G393" s="382"/>
      <c r="H393" s="382"/>
      <c r="I393" s="382"/>
      <c r="J393" s="382"/>
      <c r="K393" s="382"/>
      <c r="L393" s="382"/>
      <c r="M393" s="382"/>
      <c r="N393" s="382"/>
      <c r="O393" s="382"/>
      <c r="P393" s="382"/>
      <c r="Q393" s="382"/>
      <c r="R393" s="382"/>
      <c r="S393" s="382"/>
      <c r="T393" s="382"/>
      <c r="U393" s="382"/>
      <c r="V393" s="383"/>
      <c r="W393" s="383"/>
      <c r="X393" s="383"/>
      <c r="Y393" s="383"/>
    </row>
    <row r="394">
      <c r="A394" s="382"/>
      <c r="B394" s="382"/>
      <c r="C394" s="382"/>
      <c r="D394" s="382"/>
      <c r="E394" s="382"/>
      <c r="F394" s="382"/>
      <c r="G394" s="382"/>
      <c r="H394" s="382"/>
      <c r="I394" s="382"/>
      <c r="J394" s="382"/>
      <c r="K394" s="382"/>
      <c r="L394" s="382"/>
      <c r="M394" s="382"/>
      <c r="N394" s="382"/>
      <c r="O394" s="382"/>
      <c r="P394" s="382"/>
      <c r="Q394" s="382"/>
      <c r="R394" s="382"/>
      <c r="S394" s="382"/>
      <c r="T394" s="382"/>
      <c r="U394" s="382"/>
      <c r="V394" s="383"/>
      <c r="W394" s="383"/>
      <c r="X394" s="383"/>
      <c r="Y394" s="383"/>
    </row>
    <row r="395">
      <c r="A395" s="382"/>
      <c r="B395" s="382"/>
      <c r="C395" s="382"/>
      <c r="D395" s="382"/>
      <c r="E395" s="382"/>
      <c r="F395" s="382"/>
      <c r="G395" s="382"/>
      <c r="H395" s="382"/>
      <c r="I395" s="382"/>
      <c r="J395" s="382"/>
      <c r="K395" s="382"/>
      <c r="L395" s="382"/>
      <c r="M395" s="382"/>
      <c r="N395" s="382"/>
      <c r="O395" s="382"/>
      <c r="P395" s="382"/>
      <c r="Q395" s="382"/>
      <c r="R395" s="382"/>
      <c r="S395" s="382"/>
      <c r="T395" s="382"/>
      <c r="U395" s="382"/>
      <c r="V395" s="383"/>
      <c r="W395" s="383"/>
      <c r="X395" s="383"/>
      <c r="Y395" s="383"/>
    </row>
    <row r="396">
      <c r="A396" s="382"/>
      <c r="B396" s="382"/>
      <c r="C396" s="382"/>
      <c r="D396" s="382"/>
      <c r="E396" s="382"/>
      <c r="F396" s="382"/>
      <c r="G396" s="382"/>
      <c r="H396" s="382"/>
      <c r="I396" s="382"/>
      <c r="J396" s="382"/>
      <c r="K396" s="382"/>
      <c r="L396" s="382"/>
      <c r="M396" s="382"/>
      <c r="N396" s="382"/>
      <c r="O396" s="382"/>
      <c r="P396" s="382"/>
      <c r="Q396" s="382"/>
      <c r="R396" s="382"/>
      <c r="S396" s="382"/>
      <c r="T396" s="382"/>
      <c r="U396" s="382"/>
      <c r="V396" s="383"/>
      <c r="W396" s="383"/>
      <c r="X396" s="383"/>
      <c r="Y396" s="383"/>
    </row>
    <row r="397">
      <c r="A397" s="382"/>
      <c r="B397" s="382"/>
      <c r="C397" s="382"/>
      <c r="D397" s="382"/>
      <c r="E397" s="382"/>
      <c r="F397" s="382"/>
      <c r="G397" s="382"/>
      <c r="H397" s="382"/>
      <c r="I397" s="382"/>
      <c r="J397" s="382"/>
      <c r="K397" s="382"/>
      <c r="L397" s="382"/>
      <c r="M397" s="382"/>
      <c r="N397" s="382"/>
      <c r="O397" s="382"/>
      <c r="P397" s="382"/>
      <c r="Q397" s="382"/>
      <c r="R397" s="382"/>
      <c r="S397" s="382"/>
      <c r="T397" s="382"/>
      <c r="U397" s="382"/>
      <c r="V397" s="383"/>
      <c r="W397" s="383"/>
      <c r="X397" s="383"/>
      <c r="Y397" s="383"/>
    </row>
    <row r="398">
      <c r="A398" s="382"/>
      <c r="B398" s="382"/>
      <c r="C398" s="382"/>
      <c r="D398" s="382"/>
      <c r="E398" s="382"/>
      <c r="F398" s="382"/>
      <c r="G398" s="382"/>
      <c r="H398" s="382"/>
      <c r="I398" s="382"/>
      <c r="J398" s="382"/>
      <c r="K398" s="382"/>
      <c r="L398" s="382"/>
      <c r="M398" s="382"/>
      <c r="N398" s="382"/>
      <c r="O398" s="382"/>
      <c r="P398" s="382"/>
      <c r="Q398" s="382"/>
      <c r="R398" s="382"/>
      <c r="S398" s="382"/>
      <c r="T398" s="382"/>
      <c r="U398" s="382"/>
      <c r="V398" s="383"/>
      <c r="W398" s="383"/>
      <c r="X398" s="383"/>
      <c r="Y398" s="383"/>
    </row>
    <row r="399">
      <c r="A399" s="382"/>
      <c r="B399" s="382"/>
      <c r="C399" s="382"/>
      <c r="D399" s="382"/>
      <c r="E399" s="382"/>
      <c r="F399" s="382"/>
      <c r="G399" s="382"/>
      <c r="H399" s="382"/>
      <c r="I399" s="382"/>
      <c r="J399" s="382"/>
      <c r="K399" s="382"/>
      <c r="L399" s="382"/>
      <c r="M399" s="382"/>
      <c r="N399" s="382"/>
      <c r="O399" s="382"/>
      <c r="P399" s="382"/>
      <c r="Q399" s="382"/>
      <c r="R399" s="382"/>
      <c r="S399" s="382"/>
      <c r="T399" s="382"/>
      <c r="U399" s="382"/>
      <c r="V399" s="383"/>
      <c r="W399" s="383"/>
      <c r="X399" s="383"/>
      <c r="Y399" s="383"/>
    </row>
    <row r="400">
      <c r="A400" s="382"/>
      <c r="B400" s="382"/>
      <c r="C400" s="382"/>
      <c r="D400" s="382"/>
      <c r="E400" s="382"/>
      <c r="F400" s="382"/>
      <c r="G400" s="382"/>
      <c r="H400" s="382"/>
      <c r="I400" s="382"/>
      <c r="J400" s="382"/>
      <c r="K400" s="382"/>
      <c r="L400" s="382"/>
      <c r="M400" s="382"/>
      <c r="N400" s="382"/>
      <c r="O400" s="382"/>
      <c r="P400" s="382"/>
      <c r="Q400" s="382"/>
      <c r="R400" s="382"/>
      <c r="S400" s="382"/>
      <c r="T400" s="382"/>
      <c r="U400" s="382"/>
      <c r="V400" s="383"/>
      <c r="W400" s="383"/>
      <c r="X400" s="383"/>
      <c r="Y400" s="383"/>
    </row>
    <row r="401">
      <c r="A401" s="382"/>
      <c r="B401" s="382"/>
      <c r="C401" s="382"/>
      <c r="D401" s="382"/>
      <c r="E401" s="382"/>
      <c r="F401" s="382"/>
      <c r="G401" s="382"/>
      <c r="H401" s="382"/>
      <c r="I401" s="382"/>
      <c r="J401" s="382"/>
      <c r="K401" s="382"/>
      <c r="L401" s="382"/>
      <c r="M401" s="382"/>
      <c r="N401" s="382"/>
      <c r="O401" s="382"/>
      <c r="P401" s="382"/>
      <c r="Q401" s="382"/>
      <c r="R401" s="382"/>
      <c r="S401" s="382"/>
      <c r="T401" s="382"/>
      <c r="U401" s="382"/>
      <c r="V401" s="383"/>
      <c r="W401" s="383"/>
      <c r="X401" s="383"/>
      <c r="Y401" s="383"/>
    </row>
    <row r="402">
      <c r="A402" s="382"/>
      <c r="B402" s="382"/>
      <c r="C402" s="382"/>
      <c r="D402" s="382"/>
      <c r="E402" s="382"/>
      <c r="F402" s="382"/>
      <c r="G402" s="382"/>
      <c r="H402" s="382"/>
      <c r="I402" s="382"/>
      <c r="J402" s="382"/>
      <c r="K402" s="382"/>
      <c r="L402" s="382"/>
      <c r="M402" s="382"/>
      <c r="N402" s="382"/>
      <c r="O402" s="382"/>
      <c r="P402" s="382"/>
      <c r="Q402" s="382"/>
      <c r="R402" s="382"/>
      <c r="S402" s="382"/>
      <c r="T402" s="382"/>
      <c r="U402" s="382"/>
      <c r="V402" s="383"/>
      <c r="W402" s="383"/>
      <c r="X402" s="383"/>
      <c r="Y402" s="383"/>
    </row>
    <row r="403">
      <c r="A403" s="382"/>
      <c r="B403" s="382"/>
      <c r="C403" s="382"/>
      <c r="D403" s="382"/>
      <c r="E403" s="382"/>
      <c r="F403" s="382"/>
      <c r="G403" s="382"/>
      <c r="H403" s="382"/>
      <c r="I403" s="382"/>
      <c r="J403" s="382"/>
      <c r="K403" s="382"/>
      <c r="L403" s="382"/>
      <c r="M403" s="382"/>
      <c r="N403" s="382"/>
      <c r="O403" s="382"/>
      <c r="P403" s="382"/>
      <c r="Q403" s="382"/>
      <c r="R403" s="382"/>
      <c r="S403" s="382"/>
      <c r="T403" s="382"/>
      <c r="U403" s="382"/>
      <c r="V403" s="383"/>
      <c r="W403" s="383"/>
      <c r="X403" s="383"/>
      <c r="Y403" s="383"/>
    </row>
    <row r="404">
      <c r="A404" s="382"/>
      <c r="B404" s="382"/>
      <c r="C404" s="382"/>
      <c r="D404" s="382"/>
      <c r="E404" s="382"/>
      <c r="F404" s="382"/>
      <c r="G404" s="382"/>
      <c r="H404" s="382"/>
      <c r="I404" s="382"/>
      <c r="J404" s="382"/>
      <c r="K404" s="382"/>
      <c r="L404" s="382"/>
      <c r="M404" s="382"/>
      <c r="N404" s="382"/>
      <c r="O404" s="382"/>
      <c r="P404" s="382"/>
      <c r="Q404" s="382"/>
      <c r="R404" s="382"/>
      <c r="S404" s="382"/>
      <c r="T404" s="382"/>
      <c r="U404" s="382"/>
      <c r="V404" s="383"/>
      <c r="W404" s="383"/>
      <c r="X404" s="383"/>
      <c r="Y404" s="383"/>
    </row>
    <row r="405">
      <c r="A405" s="382"/>
      <c r="B405" s="382"/>
      <c r="C405" s="382"/>
      <c r="D405" s="382"/>
      <c r="E405" s="382"/>
      <c r="F405" s="382"/>
      <c r="G405" s="382"/>
      <c r="H405" s="382"/>
      <c r="I405" s="382"/>
      <c r="J405" s="382"/>
      <c r="K405" s="382"/>
      <c r="L405" s="382"/>
      <c r="M405" s="382"/>
      <c r="N405" s="382"/>
      <c r="O405" s="382"/>
      <c r="P405" s="382"/>
      <c r="Q405" s="382"/>
      <c r="R405" s="382"/>
      <c r="S405" s="382"/>
      <c r="T405" s="382"/>
      <c r="U405" s="382"/>
      <c r="V405" s="383"/>
      <c r="W405" s="383"/>
      <c r="X405" s="383"/>
      <c r="Y405" s="383"/>
    </row>
    <row r="406">
      <c r="A406" s="382"/>
      <c r="B406" s="382"/>
      <c r="C406" s="382"/>
      <c r="D406" s="382"/>
      <c r="E406" s="382"/>
      <c r="F406" s="382"/>
      <c r="G406" s="382"/>
      <c r="H406" s="382"/>
      <c r="I406" s="382"/>
      <c r="J406" s="382"/>
      <c r="K406" s="382"/>
      <c r="L406" s="382"/>
      <c r="M406" s="382"/>
      <c r="N406" s="382"/>
      <c r="O406" s="382"/>
      <c r="P406" s="382"/>
      <c r="Q406" s="382"/>
      <c r="R406" s="382"/>
      <c r="S406" s="382"/>
      <c r="T406" s="382"/>
      <c r="U406" s="382"/>
      <c r="V406" s="383"/>
      <c r="W406" s="383"/>
      <c r="X406" s="383"/>
      <c r="Y406" s="383"/>
    </row>
    <row r="407">
      <c r="A407" s="382"/>
      <c r="B407" s="382"/>
      <c r="C407" s="382"/>
      <c r="D407" s="382"/>
      <c r="E407" s="382"/>
      <c r="F407" s="382"/>
      <c r="G407" s="382"/>
      <c r="H407" s="382"/>
      <c r="I407" s="382"/>
      <c r="J407" s="382"/>
      <c r="K407" s="382"/>
      <c r="L407" s="382"/>
      <c r="M407" s="382"/>
      <c r="N407" s="382"/>
      <c r="O407" s="382"/>
      <c r="P407" s="382"/>
      <c r="Q407" s="382"/>
      <c r="R407" s="382"/>
      <c r="S407" s="382"/>
      <c r="T407" s="382"/>
      <c r="U407" s="382"/>
      <c r="V407" s="383"/>
      <c r="W407" s="383"/>
      <c r="X407" s="383"/>
      <c r="Y407" s="383"/>
    </row>
    <row r="408">
      <c r="A408" s="382"/>
      <c r="B408" s="382"/>
      <c r="C408" s="382"/>
      <c r="D408" s="382"/>
      <c r="E408" s="382"/>
      <c r="F408" s="382"/>
      <c r="G408" s="382"/>
      <c r="H408" s="382"/>
      <c r="I408" s="382"/>
      <c r="J408" s="382"/>
      <c r="K408" s="382"/>
      <c r="L408" s="382"/>
      <c r="M408" s="382"/>
      <c r="N408" s="382"/>
      <c r="O408" s="382"/>
      <c r="P408" s="382"/>
      <c r="Q408" s="382"/>
      <c r="R408" s="382"/>
      <c r="S408" s="382"/>
      <c r="T408" s="382"/>
      <c r="U408" s="382"/>
      <c r="V408" s="383"/>
      <c r="W408" s="383"/>
      <c r="X408" s="383"/>
      <c r="Y408" s="383"/>
    </row>
    <row r="409">
      <c r="A409" s="382"/>
      <c r="B409" s="382"/>
      <c r="C409" s="382"/>
      <c r="D409" s="382"/>
      <c r="E409" s="382"/>
      <c r="F409" s="382"/>
      <c r="G409" s="382"/>
      <c r="H409" s="382"/>
      <c r="I409" s="382"/>
      <c r="J409" s="382"/>
      <c r="K409" s="382"/>
      <c r="L409" s="382"/>
      <c r="M409" s="382"/>
      <c r="N409" s="382"/>
      <c r="O409" s="382"/>
      <c r="P409" s="382"/>
      <c r="Q409" s="382"/>
      <c r="R409" s="382"/>
      <c r="S409" s="382"/>
      <c r="T409" s="382"/>
      <c r="U409" s="382"/>
      <c r="V409" s="383"/>
      <c r="W409" s="383"/>
      <c r="X409" s="383"/>
      <c r="Y409" s="383"/>
    </row>
    <row r="410">
      <c r="A410" s="382"/>
      <c r="B410" s="382"/>
      <c r="C410" s="382"/>
      <c r="D410" s="382"/>
      <c r="E410" s="382"/>
      <c r="F410" s="382"/>
      <c r="G410" s="382"/>
      <c r="H410" s="382"/>
      <c r="I410" s="382"/>
      <c r="J410" s="382"/>
      <c r="K410" s="382"/>
      <c r="L410" s="382"/>
      <c r="M410" s="382"/>
      <c r="N410" s="382"/>
      <c r="O410" s="382"/>
      <c r="P410" s="382"/>
      <c r="Q410" s="382"/>
      <c r="R410" s="382"/>
      <c r="S410" s="382"/>
      <c r="T410" s="382"/>
      <c r="U410" s="382"/>
      <c r="V410" s="383"/>
      <c r="W410" s="383"/>
      <c r="X410" s="383"/>
      <c r="Y410" s="383"/>
    </row>
    <row r="411">
      <c r="A411" s="382"/>
      <c r="B411" s="382"/>
      <c r="C411" s="382"/>
      <c r="D411" s="382"/>
      <c r="E411" s="382"/>
      <c r="F411" s="382"/>
      <c r="G411" s="382"/>
      <c r="H411" s="382"/>
      <c r="I411" s="382"/>
      <c r="J411" s="382"/>
      <c r="K411" s="382"/>
      <c r="L411" s="382"/>
      <c r="M411" s="382"/>
      <c r="N411" s="382"/>
      <c r="O411" s="382"/>
      <c r="P411" s="382"/>
      <c r="Q411" s="382"/>
      <c r="R411" s="382"/>
      <c r="S411" s="382"/>
      <c r="T411" s="382"/>
      <c r="U411" s="382"/>
      <c r="V411" s="383"/>
      <c r="W411" s="383"/>
      <c r="X411" s="383"/>
      <c r="Y411" s="383"/>
    </row>
    <row r="412">
      <c r="A412" s="382"/>
      <c r="B412" s="382"/>
      <c r="C412" s="382"/>
      <c r="D412" s="382"/>
      <c r="E412" s="382"/>
      <c r="F412" s="382"/>
      <c r="G412" s="382"/>
      <c r="H412" s="382"/>
      <c r="I412" s="382"/>
      <c r="J412" s="382"/>
      <c r="K412" s="382"/>
      <c r="L412" s="382"/>
      <c r="M412" s="382"/>
      <c r="N412" s="382"/>
      <c r="O412" s="382"/>
      <c r="P412" s="382"/>
      <c r="Q412" s="382"/>
      <c r="R412" s="382"/>
      <c r="S412" s="382"/>
      <c r="T412" s="382"/>
      <c r="U412" s="382"/>
      <c r="V412" s="383"/>
      <c r="W412" s="383"/>
      <c r="X412" s="383"/>
      <c r="Y412" s="383"/>
    </row>
    <row r="413">
      <c r="A413" s="382"/>
      <c r="B413" s="382"/>
      <c r="C413" s="382"/>
      <c r="D413" s="382"/>
      <c r="E413" s="382"/>
      <c r="F413" s="382"/>
      <c r="G413" s="382"/>
      <c r="H413" s="382"/>
      <c r="I413" s="382"/>
      <c r="J413" s="382"/>
      <c r="K413" s="382"/>
      <c r="L413" s="382"/>
      <c r="M413" s="382"/>
      <c r="N413" s="382"/>
      <c r="O413" s="382"/>
      <c r="P413" s="382"/>
      <c r="Q413" s="382"/>
      <c r="R413" s="382"/>
      <c r="S413" s="382"/>
      <c r="T413" s="382"/>
      <c r="U413" s="382"/>
      <c r="V413" s="383"/>
      <c r="W413" s="383"/>
      <c r="X413" s="383"/>
      <c r="Y413" s="383"/>
    </row>
    <row r="414">
      <c r="A414" s="382"/>
      <c r="B414" s="382"/>
      <c r="C414" s="382"/>
      <c r="D414" s="382"/>
      <c r="E414" s="382"/>
      <c r="F414" s="382"/>
      <c r="G414" s="382"/>
      <c r="H414" s="382"/>
      <c r="I414" s="382"/>
      <c r="J414" s="382"/>
      <c r="K414" s="382"/>
      <c r="L414" s="382"/>
      <c r="M414" s="382"/>
      <c r="N414" s="382"/>
      <c r="O414" s="382"/>
      <c r="P414" s="382"/>
      <c r="Q414" s="382"/>
      <c r="R414" s="382"/>
      <c r="S414" s="382"/>
      <c r="T414" s="382"/>
      <c r="U414" s="382"/>
      <c r="V414" s="383"/>
      <c r="W414" s="383"/>
      <c r="X414" s="383"/>
      <c r="Y414" s="383"/>
    </row>
    <row r="415">
      <c r="A415" s="382"/>
      <c r="B415" s="382"/>
      <c r="C415" s="382"/>
      <c r="D415" s="382"/>
      <c r="E415" s="382"/>
      <c r="F415" s="382"/>
      <c r="G415" s="382"/>
      <c r="H415" s="382"/>
      <c r="I415" s="382"/>
      <c r="J415" s="382"/>
      <c r="K415" s="382"/>
      <c r="L415" s="382"/>
      <c r="M415" s="382"/>
      <c r="N415" s="382"/>
      <c r="O415" s="382"/>
      <c r="P415" s="382"/>
      <c r="Q415" s="382"/>
      <c r="R415" s="382"/>
      <c r="S415" s="382"/>
      <c r="T415" s="382"/>
      <c r="U415" s="382"/>
      <c r="V415" s="383"/>
      <c r="W415" s="383"/>
      <c r="X415" s="383"/>
      <c r="Y415" s="383"/>
    </row>
    <row r="416">
      <c r="A416" s="382"/>
      <c r="B416" s="382"/>
      <c r="C416" s="382"/>
      <c r="D416" s="382"/>
      <c r="E416" s="382"/>
      <c r="F416" s="382"/>
      <c r="G416" s="382"/>
      <c r="H416" s="382"/>
      <c r="I416" s="382"/>
      <c r="J416" s="382"/>
      <c r="K416" s="382"/>
      <c r="L416" s="382"/>
      <c r="M416" s="382"/>
      <c r="N416" s="382"/>
      <c r="O416" s="382"/>
      <c r="P416" s="382"/>
      <c r="Q416" s="382"/>
      <c r="R416" s="382"/>
      <c r="S416" s="382"/>
      <c r="T416" s="382"/>
      <c r="U416" s="382"/>
      <c r="V416" s="383"/>
      <c r="W416" s="383"/>
      <c r="X416" s="383"/>
      <c r="Y416" s="383"/>
    </row>
    <row r="417">
      <c r="A417" s="382"/>
      <c r="B417" s="382"/>
      <c r="C417" s="382"/>
      <c r="D417" s="382"/>
      <c r="E417" s="382"/>
      <c r="F417" s="382"/>
      <c r="G417" s="382"/>
      <c r="H417" s="382"/>
      <c r="I417" s="382"/>
      <c r="J417" s="382"/>
      <c r="K417" s="382"/>
      <c r="L417" s="382"/>
      <c r="M417" s="382"/>
      <c r="N417" s="382"/>
      <c r="O417" s="382"/>
      <c r="P417" s="382"/>
      <c r="Q417" s="382"/>
      <c r="R417" s="382"/>
      <c r="S417" s="382"/>
      <c r="T417" s="382"/>
      <c r="U417" s="382"/>
      <c r="V417" s="383"/>
      <c r="W417" s="383"/>
      <c r="X417" s="383"/>
      <c r="Y417" s="383"/>
    </row>
    <row r="418">
      <c r="A418" s="382"/>
      <c r="B418" s="382"/>
      <c r="C418" s="382"/>
      <c r="D418" s="382"/>
      <c r="E418" s="382"/>
      <c r="F418" s="382"/>
      <c r="G418" s="382"/>
      <c r="H418" s="382"/>
      <c r="I418" s="382"/>
      <c r="J418" s="382"/>
      <c r="K418" s="382"/>
      <c r="L418" s="382"/>
      <c r="M418" s="382"/>
      <c r="N418" s="382"/>
      <c r="O418" s="382"/>
      <c r="P418" s="382"/>
      <c r="Q418" s="382"/>
      <c r="R418" s="382"/>
      <c r="S418" s="382"/>
      <c r="T418" s="382"/>
      <c r="U418" s="382"/>
      <c r="V418" s="383"/>
      <c r="W418" s="383"/>
      <c r="X418" s="383"/>
      <c r="Y418" s="383"/>
    </row>
    <row r="419">
      <c r="A419" s="382"/>
      <c r="B419" s="382"/>
      <c r="C419" s="382"/>
      <c r="D419" s="382"/>
      <c r="E419" s="382"/>
      <c r="F419" s="382"/>
      <c r="G419" s="382"/>
      <c r="H419" s="382"/>
      <c r="I419" s="382"/>
      <c r="J419" s="382"/>
      <c r="K419" s="382"/>
      <c r="L419" s="382"/>
      <c r="M419" s="382"/>
      <c r="N419" s="382"/>
      <c r="O419" s="382"/>
      <c r="P419" s="382"/>
      <c r="Q419" s="382"/>
      <c r="R419" s="382"/>
      <c r="S419" s="382"/>
      <c r="T419" s="382"/>
      <c r="U419" s="382"/>
      <c r="V419" s="383"/>
      <c r="W419" s="383"/>
      <c r="X419" s="383"/>
      <c r="Y419" s="383"/>
    </row>
    <row r="420">
      <c r="A420" s="382"/>
      <c r="B420" s="382"/>
      <c r="C420" s="382"/>
      <c r="D420" s="382"/>
      <c r="E420" s="382"/>
      <c r="F420" s="382"/>
      <c r="G420" s="382"/>
      <c r="H420" s="382"/>
      <c r="I420" s="382"/>
      <c r="J420" s="382"/>
      <c r="K420" s="382"/>
      <c r="L420" s="382"/>
      <c r="M420" s="382"/>
      <c r="N420" s="382"/>
      <c r="O420" s="382"/>
      <c r="P420" s="382"/>
      <c r="Q420" s="382"/>
      <c r="R420" s="382"/>
      <c r="S420" s="382"/>
      <c r="T420" s="382"/>
      <c r="U420" s="382"/>
      <c r="V420" s="383"/>
      <c r="W420" s="383"/>
      <c r="X420" s="383"/>
      <c r="Y420" s="383"/>
    </row>
    <row r="421">
      <c r="A421" s="382"/>
      <c r="B421" s="382"/>
      <c r="C421" s="382"/>
      <c r="D421" s="382"/>
      <c r="E421" s="382"/>
      <c r="F421" s="382"/>
      <c r="G421" s="382"/>
      <c r="H421" s="382"/>
      <c r="I421" s="382"/>
      <c r="J421" s="382"/>
      <c r="K421" s="382"/>
      <c r="L421" s="382"/>
      <c r="M421" s="382"/>
      <c r="N421" s="382"/>
      <c r="O421" s="382"/>
      <c r="P421" s="382"/>
      <c r="Q421" s="382"/>
      <c r="R421" s="382"/>
      <c r="S421" s="382"/>
      <c r="T421" s="382"/>
      <c r="U421" s="382"/>
      <c r="V421" s="383"/>
      <c r="W421" s="383"/>
      <c r="X421" s="383"/>
      <c r="Y421" s="383"/>
    </row>
    <row r="422">
      <c r="A422" s="382"/>
      <c r="B422" s="382"/>
      <c r="C422" s="382"/>
      <c r="D422" s="382"/>
      <c r="E422" s="382"/>
      <c r="F422" s="382"/>
      <c r="G422" s="382"/>
      <c r="H422" s="382"/>
      <c r="I422" s="382"/>
      <c r="J422" s="382"/>
      <c r="K422" s="382"/>
      <c r="L422" s="382"/>
      <c r="M422" s="382"/>
      <c r="N422" s="382"/>
      <c r="O422" s="382"/>
      <c r="P422" s="382"/>
      <c r="Q422" s="382"/>
      <c r="R422" s="382"/>
      <c r="S422" s="382"/>
      <c r="T422" s="382"/>
      <c r="U422" s="382"/>
      <c r="V422" s="383"/>
      <c r="W422" s="383"/>
      <c r="X422" s="383"/>
      <c r="Y422" s="383"/>
    </row>
    <row r="423">
      <c r="A423" s="382"/>
      <c r="B423" s="382"/>
      <c r="C423" s="382"/>
      <c r="D423" s="382"/>
      <c r="E423" s="382"/>
      <c r="F423" s="382"/>
      <c r="G423" s="382"/>
      <c r="H423" s="382"/>
      <c r="I423" s="382"/>
      <c r="J423" s="382"/>
      <c r="K423" s="382"/>
      <c r="L423" s="382"/>
      <c r="M423" s="382"/>
      <c r="N423" s="382"/>
      <c r="O423" s="382"/>
      <c r="P423" s="382"/>
      <c r="Q423" s="382"/>
      <c r="R423" s="382"/>
      <c r="S423" s="382"/>
      <c r="T423" s="382"/>
      <c r="U423" s="382"/>
      <c r="V423" s="383"/>
      <c r="W423" s="383"/>
      <c r="X423" s="383"/>
      <c r="Y423" s="383"/>
    </row>
    <row r="424">
      <c r="A424" s="382"/>
      <c r="B424" s="382"/>
      <c r="C424" s="382"/>
      <c r="D424" s="382"/>
      <c r="E424" s="382"/>
      <c r="F424" s="382"/>
      <c r="G424" s="382"/>
      <c r="H424" s="382"/>
      <c r="I424" s="382"/>
      <c r="J424" s="382"/>
      <c r="K424" s="382"/>
      <c r="L424" s="382"/>
      <c r="M424" s="382"/>
      <c r="N424" s="382"/>
      <c r="O424" s="382"/>
      <c r="P424" s="382"/>
      <c r="Q424" s="382"/>
      <c r="R424" s="382"/>
      <c r="S424" s="382"/>
      <c r="T424" s="382"/>
      <c r="U424" s="382"/>
      <c r="V424" s="383"/>
      <c r="W424" s="383"/>
      <c r="X424" s="383"/>
      <c r="Y424" s="383"/>
    </row>
    <row r="425">
      <c r="A425" s="382"/>
      <c r="B425" s="382"/>
      <c r="C425" s="382"/>
      <c r="D425" s="382"/>
      <c r="E425" s="382"/>
      <c r="F425" s="382"/>
      <c r="G425" s="382"/>
      <c r="H425" s="382"/>
      <c r="I425" s="382"/>
      <c r="J425" s="382"/>
      <c r="K425" s="382"/>
      <c r="L425" s="382"/>
      <c r="M425" s="382"/>
      <c r="N425" s="382"/>
      <c r="O425" s="382"/>
      <c r="P425" s="382"/>
      <c r="Q425" s="382"/>
      <c r="R425" s="382"/>
      <c r="S425" s="382"/>
      <c r="T425" s="382"/>
      <c r="U425" s="382"/>
      <c r="V425" s="383"/>
      <c r="W425" s="383"/>
      <c r="X425" s="383"/>
      <c r="Y425" s="383"/>
    </row>
    <row r="426">
      <c r="A426" s="382"/>
      <c r="B426" s="382"/>
      <c r="C426" s="382"/>
      <c r="D426" s="382"/>
      <c r="E426" s="382"/>
      <c r="F426" s="382"/>
      <c r="G426" s="382"/>
      <c r="H426" s="382"/>
      <c r="I426" s="382"/>
      <c r="J426" s="382"/>
      <c r="K426" s="382"/>
      <c r="L426" s="382"/>
      <c r="M426" s="382"/>
      <c r="N426" s="382"/>
      <c r="O426" s="382"/>
      <c r="P426" s="382"/>
      <c r="Q426" s="382"/>
      <c r="R426" s="382"/>
      <c r="S426" s="382"/>
      <c r="T426" s="382"/>
      <c r="U426" s="382"/>
      <c r="V426" s="383"/>
      <c r="W426" s="383"/>
      <c r="X426" s="383"/>
      <c r="Y426" s="383"/>
    </row>
    <row r="427">
      <c r="A427" s="382"/>
      <c r="B427" s="382"/>
      <c r="C427" s="382"/>
      <c r="D427" s="382"/>
      <c r="E427" s="382"/>
      <c r="F427" s="382"/>
      <c r="G427" s="382"/>
      <c r="H427" s="382"/>
      <c r="I427" s="382"/>
      <c r="J427" s="382"/>
      <c r="K427" s="382"/>
      <c r="L427" s="382"/>
      <c r="M427" s="382"/>
      <c r="N427" s="382"/>
      <c r="O427" s="382"/>
      <c r="P427" s="382"/>
      <c r="Q427" s="382"/>
      <c r="R427" s="382"/>
      <c r="S427" s="382"/>
      <c r="T427" s="382"/>
      <c r="U427" s="382"/>
      <c r="V427" s="383"/>
      <c r="W427" s="383"/>
      <c r="X427" s="383"/>
      <c r="Y427" s="383"/>
    </row>
    <row r="428">
      <c r="A428" s="382"/>
      <c r="B428" s="382"/>
      <c r="C428" s="382"/>
      <c r="D428" s="382"/>
      <c r="E428" s="382"/>
      <c r="F428" s="382"/>
      <c r="G428" s="382"/>
      <c r="H428" s="382"/>
      <c r="I428" s="382"/>
      <c r="J428" s="382"/>
      <c r="K428" s="382"/>
      <c r="L428" s="382"/>
      <c r="M428" s="382"/>
      <c r="N428" s="382"/>
      <c r="O428" s="382"/>
      <c r="P428" s="382"/>
      <c r="Q428" s="382"/>
      <c r="R428" s="382"/>
      <c r="S428" s="382"/>
      <c r="T428" s="382"/>
      <c r="U428" s="382"/>
      <c r="V428" s="383"/>
      <c r="W428" s="383"/>
      <c r="X428" s="383"/>
      <c r="Y428" s="383"/>
    </row>
    <row r="429">
      <c r="A429" s="382"/>
      <c r="B429" s="382"/>
      <c r="C429" s="382"/>
      <c r="D429" s="382"/>
      <c r="E429" s="382"/>
      <c r="F429" s="382"/>
      <c r="G429" s="382"/>
      <c r="H429" s="382"/>
      <c r="I429" s="382"/>
      <c r="J429" s="382"/>
      <c r="K429" s="382"/>
      <c r="L429" s="382"/>
      <c r="M429" s="382"/>
      <c r="N429" s="382"/>
      <c r="O429" s="382"/>
      <c r="P429" s="382"/>
      <c r="Q429" s="382"/>
      <c r="R429" s="382"/>
      <c r="S429" s="382"/>
      <c r="T429" s="382"/>
      <c r="U429" s="382"/>
      <c r="V429" s="383"/>
      <c r="W429" s="383"/>
      <c r="X429" s="383"/>
      <c r="Y429" s="383"/>
    </row>
    <row r="430">
      <c r="A430" s="382"/>
      <c r="B430" s="382"/>
      <c r="C430" s="382"/>
      <c r="D430" s="382"/>
      <c r="E430" s="382"/>
      <c r="F430" s="382"/>
      <c r="G430" s="382"/>
      <c r="H430" s="382"/>
      <c r="I430" s="382"/>
      <c r="J430" s="382"/>
      <c r="K430" s="382"/>
      <c r="L430" s="382"/>
      <c r="M430" s="382"/>
      <c r="N430" s="382"/>
      <c r="O430" s="382"/>
      <c r="P430" s="382"/>
      <c r="Q430" s="382"/>
      <c r="R430" s="382"/>
      <c r="S430" s="382"/>
      <c r="T430" s="382"/>
      <c r="U430" s="382"/>
      <c r="V430" s="383"/>
      <c r="W430" s="383"/>
      <c r="X430" s="383"/>
      <c r="Y430" s="383"/>
    </row>
    <row r="431">
      <c r="A431" s="382"/>
      <c r="B431" s="382"/>
      <c r="C431" s="382"/>
      <c r="D431" s="382"/>
      <c r="E431" s="382"/>
      <c r="F431" s="382"/>
      <c r="G431" s="382"/>
      <c r="H431" s="382"/>
      <c r="I431" s="382"/>
      <c r="J431" s="382"/>
      <c r="K431" s="382"/>
      <c r="L431" s="382"/>
      <c r="M431" s="382"/>
      <c r="N431" s="382"/>
      <c r="O431" s="382"/>
      <c r="P431" s="382"/>
      <c r="Q431" s="382"/>
      <c r="R431" s="382"/>
      <c r="S431" s="382"/>
      <c r="T431" s="382"/>
      <c r="U431" s="382"/>
      <c r="V431" s="383"/>
      <c r="W431" s="383"/>
      <c r="X431" s="383"/>
      <c r="Y431" s="383"/>
    </row>
    <row r="432">
      <c r="A432" s="382"/>
      <c r="B432" s="382"/>
      <c r="C432" s="382"/>
      <c r="D432" s="382"/>
      <c r="E432" s="382"/>
      <c r="F432" s="382"/>
      <c r="G432" s="382"/>
      <c r="H432" s="382"/>
      <c r="I432" s="382"/>
      <c r="J432" s="382"/>
      <c r="K432" s="382"/>
      <c r="L432" s="382"/>
      <c r="M432" s="382"/>
      <c r="N432" s="382"/>
      <c r="O432" s="382"/>
      <c r="P432" s="382"/>
      <c r="Q432" s="382"/>
      <c r="R432" s="382"/>
      <c r="S432" s="382"/>
      <c r="T432" s="382"/>
      <c r="U432" s="382"/>
      <c r="V432" s="383"/>
      <c r="W432" s="383"/>
      <c r="X432" s="383"/>
      <c r="Y432" s="383"/>
    </row>
    <row r="433">
      <c r="A433" s="382"/>
      <c r="B433" s="382"/>
      <c r="C433" s="382"/>
      <c r="D433" s="382"/>
      <c r="E433" s="382"/>
      <c r="F433" s="382"/>
      <c r="G433" s="382"/>
      <c r="H433" s="382"/>
      <c r="I433" s="382"/>
      <c r="J433" s="382"/>
      <c r="K433" s="382"/>
      <c r="L433" s="382"/>
      <c r="M433" s="382"/>
      <c r="N433" s="382"/>
      <c r="O433" s="382"/>
      <c r="P433" s="382"/>
      <c r="Q433" s="382"/>
      <c r="R433" s="382"/>
      <c r="S433" s="382"/>
      <c r="T433" s="382"/>
      <c r="U433" s="382"/>
      <c r="V433" s="383"/>
      <c r="W433" s="383"/>
      <c r="X433" s="383"/>
      <c r="Y433" s="383"/>
    </row>
    <row r="434">
      <c r="A434" s="382"/>
      <c r="B434" s="382"/>
      <c r="C434" s="382"/>
      <c r="D434" s="382"/>
      <c r="E434" s="382"/>
      <c r="F434" s="382"/>
      <c r="G434" s="382"/>
      <c r="H434" s="382"/>
      <c r="I434" s="382"/>
      <c r="J434" s="382"/>
      <c r="K434" s="382"/>
      <c r="L434" s="382"/>
      <c r="M434" s="382"/>
      <c r="N434" s="382"/>
      <c r="O434" s="382"/>
      <c r="P434" s="382"/>
      <c r="Q434" s="382"/>
      <c r="R434" s="382"/>
      <c r="S434" s="382"/>
      <c r="T434" s="382"/>
      <c r="U434" s="382"/>
      <c r="V434" s="383"/>
      <c r="W434" s="383"/>
      <c r="X434" s="383"/>
      <c r="Y434" s="383"/>
    </row>
    <row r="435">
      <c r="A435" s="382"/>
      <c r="B435" s="382"/>
      <c r="C435" s="382"/>
      <c r="D435" s="382"/>
      <c r="E435" s="382"/>
      <c r="F435" s="382"/>
      <c r="G435" s="382"/>
      <c r="H435" s="382"/>
      <c r="I435" s="382"/>
      <c r="J435" s="382"/>
      <c r="K435" s="382"/>
      <c r="L435" s="382"/>
      <c r="M435" s="382"/>
      <c r="N435" s="382"/>
      <c r="O435" s="382"/>
      <c r="P435" s="382"/>
      <c r="Q435" s="382"/>
      <c r="R435" s="382"/>
      <c r="S435" s="382"/>
      <c r="T435" s="382"/>
      <c r="U435" s="382"/>
      <c r="V435" s="383"/>
      <c r="W435" s="383"/>
      <c r="X435" s="383"/>
      <c r="Y435" s="383"/>
    </row>
    <row r="436">
      <c r="A436" s="382"/>
      <c r="B436" s="382"/>
      <c r="C436" s="382"/>
      <c r="D436" s="382"/>
      <c r="E436" s="382"/>
      <c r="F436" s="382"/>
      <c r="G436" s="382"/>
      <c r="H436" s="382"/>
      <c r="I436" s="382"/>
      <c r="J436" s="382"/>
      <c r="K436" s="382"/>
      <c r="L436" s="382"/>
      <c r="M436" s="382"/>
      <c r="N436" s="382"/>
      <c r="O436" s="382"/>
      <c r="P436" s="382"/>
      <c r="Q436" s="382"/>
      <c r="R436" s="382"/>
      <c r="S436" s="382"/>
      <c r="T436" s="382"/>
      <c r="U436" s="382"/>
      <c r="V436" s="383"/>
      <c r="W436" s="383"/>
      <c r="X436" s="383"/>
      <c r="Y436" s="383"/>
    </row>
    <row r="437">
      <c r="A437" s="382"/>
      <c r="B437" s="382"/>
      <c r="C437" s="382"/>
      <c r="D437" s="382"/>
      <c r="E437" s="382"/>
      <c r="F437" s="382"/>
      <c r="G437" s="382"/>
      <c r="H437" s="382"/>
      <c r="I437" s="382"/>
      <c r="J437" s="382"/>
      <c r="K437" s="382"/>
      <c r="L437" s="382"/>
      <c r="M437" s="382"/>
      <c r="N437" s="382"/>
      <c r="O437" s="382"/>
      <c r="P437" s="382"/>
      <c r="Q437" s="382"/>
      <c r="R437" s="382"/>
      <c r="S437" s="382"/>
      <c r="T437" s="382"/>
      <c r="U437" s="382"/>
      <c r="V437" s="383"/>
      <c r="W437" s="383"/>
      <c r="X437" s="383"/>
      <c r="Y437" s="383"/>
    </row>
    <row r="438">
      <c r="A438" s="382"/>
      <c r="B438" s="382"/>
      <c r="C438" s="382"/>
      <c r="D438" s="382"/>
      <c r="E438" s="382"/>
      <c r="F438" s="382"/>
      <c r="G438" s="382"/>
      <c r="H438" s="382"/>
      <c r="I438" s="382"/>
      <c r="J438" s="382"/>
      <c r="K438" s="382"/>
      <c r="L438" s="382"/>
      <c r="M438" s="382"/>
      <c r="N438" s="382"/>
      <c r="O438" s="382"/>
      <c r="P438" s="382"/>
      <c r="Q438" s="382"/>
      <c r="R438" s="382"/>
      <c r="S438" s="382"/>
      <c r="T438" s="382"/>
      <c r="U438" s="382"/>
      <c r="V438" s="383"/>
      <c r="W438" s="383"/>
      <c r="X438" s="383"/>
      <c r="Y438" s="383"/>
    </row>
    <row r="439">
      <c r="A439" s="382"/>
      <c r="B439" s="382"/>
      <c r="C439" s="382"/>
      <c r="D439" s="382"/>
      <c r="E439" s="382"/>
      <c r="F439" s="382"/>
      <c r="G439" s="382"/>
      <c r="H439" s="382"/>
      <c r="I439" s="382"/>
      <c r="J439" s="382"/>
      <c r="K439" s="382"/>
      <c r="L439" s="382"/>
      <c r="M439" s="382"/>
      <c r="N439" s="382"/>
      <c r="O439" s="382"/>
      <c r="P439" s="382"/>
      <c r="Q439" s="382"/>
      <c r="R439" s="382"/>
      <c r="S439" s="382"/>
      <c r="T439" s="382"/>
      <c r="U439" s="382"/>
      <c r="V439" s="383"/>
      <c r="W439" s="383"/>
      <c r="X439" s="383"/>
      <c r="Y439" s="383"/>
    </row>
    <row r="440">
      <c r="A440" s="382"/>
      <c r="B440" s="382"/>
      <c r="C440" s="382"/>
      <c r="D440" s="382"/>
      <c r="E440" s="382"/>
      <c r="F440" s="382"/>
      <c r="G440" s="382"/>
      <c r="H440" s="382"/>
      <c r="I440" s="382"/>
      <c r="J440" s="382"/>
      <c r="K440" s="382"/>
      <c r="L440" s="382"/>
      <c r="M440" s="382"/>
      <c r="N440" s="382"/>
      <c r="O440" s="382"/>
      <c r="P440" s="382"/>
      <c r="Q440" s="382"/>
      <c r="R440" s="382"/>
      <c r="S440" s="382"/>
      <c r="T440" s="382"/>
      <c r="U440" s="382"/>
      <c r="V440" s="383"/>
      <c r="W440" s="383"/>
      <c r="X440" s="383"/>
      <c r="Y440" s="383"/>
    </row>
    <row r="441">
      <c r="A441" s="382"/>
      <c r="B441" s="382"/>
      <c r="C441" s="382"/>
      <c r="D441" s="382"/>
      <c r="E441" s="382"/>
      <c r="F441" s="382"/>
      <c r="G441" s="382"/>
      <c r="H441" s="382"/>
      <c r="I441" s="382"/>
      <c r="J441" s="382"/>
      <c r="K441" s="382"/>
      <c r="L441" s="382"/>
      <c r="M441" s="382"/>
      <c r="N441" s="382"/>
      <c r="O441" s="382"/>
      <c r="P441" s="382"/>
      <c r="Q441" s="382"/>
      <c r="R441" s="382"/>
      <c r="S441" s="382"/>
      <c r="T441" s="382"/>
      <c r="U441" s="382"/>
      <c r="V441" s="383"/>
      <c r="W441" s="383"/>
      <c r="X441" s="383"/>
      <c r="Y441" s="383"/>
    </row>
    <row r="442">
      <c r="A442" s="382"/>
      <c r="B442" s="382"/>
      <c r="C442" s="382"/>
      <c r="D442" s="382"/>
      <c r="E442" s="382"/>
      <c r="F442" s="382"/>
      <c r="G442" s="382"/>
      <c r="H442" s="382"/>
      <c r="I442" s="382"/>
      <c r="J442" s="382"/>
      <c r="K442" s="382"/>
      <c r="L442" s="382"/>
      <c r="M442" s="382"/>
      <c r="N442" s="382"/>
      <c r="O442" s="382"/>
      <c r="P442" s="382"/>
      <c r="Q442" s="382"/>
      <c r="R442" s="382"/>
      <c r="S442" s="382"/>
      <c r="T442" s="382"/>
      <c r="U442" s="382"/>
      <c r="V442" s="383"/>
      <c r="W442" s="383"/>
      <c r="X442" s="383"/>
      <c r="Y442" s="383"/>
    </row>
    <row r="443">
      <c r="A443" s="382"/>
      <c r="B443" s="382"/>
      <c r="C443" s="382"/>
      <c r="D443" s="382"/>
      <c r="E443" s="382"/>
      <c r="F443" s="382"/>
      <c r="G443" s="382"/>
      <c r="H443" s="382"/>
      <c r="I443" s="382"/>
      <c r="J443" s="382"/>
      <c r="K443" s="382"/>
      <c r="L443" s="382"/>
      <c r="M443" s="382"/>
      <c r="N443" s="382"/>
      <c r="O443" s="382"/>
      <c r="P443" s="382"/>
      <c r="Q443" s="382"/>
      <c r="R443" s="382"/>
      <c r="S443" s="382"/>
      <c r="T443" s="382"/>
      <c r="U443" s="382"/>
      <c r="V443" s="383"/>
      <c r="W443" s="383"/>
      <c r="X443" s="383"/>
      <c r="Y443" s="383"/>
    </row>
    <row r="444">
      <c r="A444" s="382"/>
      <c r="B444" s="382"/>
      <c r="C444" s="382"/>
      <c r="D444" s="382"/>
      <c r="E444" s="382"/>
      <c r="F444" s="382"/>
      <c r="G444" s="382"/>
      <c r="H444" s="382"/>
      <c r="I444" s="382"/>
      <c r="J444" s="382"/>
      <c r="K444" s="382"/>
      <c r="L444" s="382"/>
      <c r="M444" s="382"/>
      <c r="N444" s="382"/>
      <c r="O444" s="382"/>
      <c r="P444" s="382"/>
      <c r="Q444" s="382"/>
      <c r="R444" s="382"/>
      <c r="S444" s="382"/>
      <c r="T444" s="382"/>
      <c r="U444" s="382"/>
      <c r="V444" s="383"/>
      <c r="W444" s="383"/>
      <c r="X444" s="383"/>
      <c r="Y444" s="383"/>
    </row>
    <row r="445">
      <c r="A445" s="382"/>
      <c r="B445" s="382"/>
      <c r="C445" s="382"/>
      <c r="D445" s="382"/>
      <c r="E445" s="382"/>
      <c r="F445" s="382"/>
      <c r="G445" s="382"/>
      <c r="H445" s="382"/>
      <c r="I445" s="382"/>
      <c r="J445" s="382"/>
      <c r="K445" s="382"/>
      <c r="L445" s="382"/>
      <c r="M445" s="382"/>
      <c r="N445" s="382"/>
      <c r="O445" s="382"/>
      <c r="P445" s="382"/>
      <c r="Q445" s="382"/>
      <c r="R445" s="382"/>
      <c r="S445" s="382"/>
      <c r="T445" s="382"/>
      <c r="U445" s="382"/>
      <c r="V445" s="383"/>
      <c r="W445" s="383"/>
      <c r="X445" s="383"/>
      <c r="Y445" s="383"/>
    </row>
    <row r="446">
      <c r="A446" s="382"/>
      <c r="B446" s="382"/>
      <c r="C446" s="382"/>
      <c r="D446" s="382"/>
      <c r="E446" s="382"/>
      <c r="F446" s="382"/>
      <c r="G446" s="382"/>
      <c r="H446" s="382"/>
      <c r="I446" s="382"/>
      <c r="J446" s="382"/>
      <c r="K446" s="382"/>
      <c r="L446" s="382"/>
      <c r="M446" s="382"/>
      <c r="N446" s="382"/>
      <c r="O446" s="382"/>
      <c r="P446" s="382"/>
      <c r="Q446" s="382"/>
      <c r="R446" s="382"/>
      <c r="S446" s="382"/>
      <c r="T446" s="382"/>
      <c r="U446" s="382"/>
      <c r="V446" s="383"/>
      <c r="W446" s="383"/>
      <c r="X446" s="383"/>
      <c r="Y446" s="383"/>
    </row>
    <row r="447">
      <c r="A447" s="382"/>
      <c r="B447" s="382"/>
      <c r="C447" s="382"/>
      <c r="D447" s="382"/>
      <c r="E447" s="382"/>
      <c r="F447" s="382"/>
      <c r="G447" s="382"/>
      <c r="H447" s="382"/>
      <c r="I447" s="382"/>
      <c r="J447" s="382"/>
      <c r="K447" s="382"/>
      <c r="L447" s="382"/>
      <c r="M447" s="382"/>
      <c r="N447" s="382"/>
      <c r="O447" s="382"/>
      <c r="P447" s="382"/>
      <c r="Q447" s="382"/>
      <c r="R447" s="382"/>
      <c r="S447" s="382"/>
      <c r="T447" s="382"/>
      <c r="U447" s="382"/>
      <c r="V447" s="383"/>
      <c r="W447" s="383"/>
      <c r="X447" s="383"/>
      <c r="Y447" s="383"/>
    </row>
    <row r="448">
      <c r="A448" s="382"/>
      <c r="B448" s="382"/>
      <c r="C448" s="382"/>
      <c r="D448" s="382"/>
      <c r="E448" s="382"/>
      <c r="F448" s="382"/>
      <c r="G448" s="382"/>
      <c r="H448" s="382"/>
      <c r="I448" s="382"/>
      <c r="J448" s="382"/>
      <c r="K448" s="382"/>
      <c r="L448" s="382"/>
      <c r="M448" s="382"/>
      <c r="N448" s="382"/>
      <c r="O448" s="382"/>
      <c r="P448" s="382"/>
      <c r="Q448" s="382"/>
      <c r="R448" s="382"/>
      <c r="S448" s="382"/>
      <c r="T448" s="382"/>
      <c r="U448" s="382"/>
      <c r="V448" s="383"/>
      <c r="W448" s="383"/>
      <c r="X448" s="383"/>
      <c r="Y448" s="383"/>
    </row>
    <row r="449">
      <c r="A449" s="382"/>
      <c r="B449" s="382"/>
      <c r="C449" s="382"/>
      <c r="D449" s="382"/>
      <c r="E449" s="382"/>
      <c r="F449" s="382"/>
      <c r="G449" s="382"/>
      <c r="H449" s="382"/>
      <c r="I449" s="382"/>
      <c r="J449" s="382"/>
      <c r="K449" s="382"/>
      <c r="L449" s="382"/>
      <c r="M449" s="382"/>
      <c r="N449" s="382"/>
      <c r="O449" s="382"/>
      <c r="P449" s="382"/>
      <c r="Q449" s="382"/>
      <c r="R449" s="382"/>
      <c r="S449" s="382"/>
      <c r="T449" s="382"/>
      <c r="U449" s="382"/>
      <c r="V449" s="383"/>
      <c r="W449" s="383"/>
      <c r="X449" s="383"/>
      <c r="Y449" s="383"/>
    </row>
    <row r="450">
      <c r="A450" s="382"/>
      <c r="B450" s="382"/>
      <c r="C450" s="382"/>
      <c r="D450" s="382"/>
      <c r="E450" s="382"/>
      <c r="F450" s="382"/>
      <c r="G450" s="382"/>
      <c r="H450" s="382"/>
      <c r="I450" s="382"/>
      <c r="J450" s="382"/>
      <c r="K450" s="382"/>
      <c r="L450" s="382"/>
      <c r="M450" s="382"/>
      <c r="N450" s="382"/>
      <c r="O450" s="382"/>
      <c r="P450" s="382"/>
      <c r="Q450" s="382"/>
      <c r="R450" s="382"/>
      <c r="S450" s="382"/>
      <c r="T450" s="382"/>
      <c r="U450" s="382"/>
      <c r="V450" s="383"/>
      <c r="W450" s="383"/>
      <c r="X450" s="383"/>
      <c r="Y450" s="383"/>
    </row>
    <row r="451">
      <c r="A451" s="382"/>
      <c r="B451" s="382"/>
      <c r="C451" s="382"/>
      <c r="D451" s="382"/>
      <c r="E451" s="382"/>
      <c r="F451" s="382"/>
      <c r="G451" s="382"/>
      <c r="H451" s="382"/>
      <c r="I451" s="382"/>
      <c r="J451" s="382"/>
      <c r="K451" s="382"/>
      <c r="L451" s="382"/>
      <c r="M451" s="382"/>
      <c r="N451" s="382"/>
      <c r="O451" s="382"/>
      <c r="P451" s="382"/>
      <c r="Q451" s="382"/>
      <c r="R451" s="382"/>
      <c r="S451" s="382"/>
      <c r="T451" s="382"/>
      <c r="U451" s="382"/>
      <c r="V451" s="383"/>
      <c r="W451" s="383"/>
      <c r="X451" s="383"/>
      <c r="Y451" s="383"/>
    </row>
    <row r="452">
      <c r="A452" s="382"/>
      <c r="B452" s="382"/>
      <c r="C452" s="382"/>
      <c r="D452" s="382"/>
      <c r="E452" s="382"/>
      <c r="F452" s="382"/>
      <c r="G452" s="382"/>
      <c r="H452" s="382"/>
      <c r="I452" s="382"/>
      <c r="J452" s="382"/>
      <c r="K452" s="382"/>
      <c r="L452" s="382"/>
      <c r="M452" s="382"/>
      <c r="N452" s="382"/>
      <c r="O452" s="382"/>
      <c r="P452" s="382"/>
      <c r="Q452" s="382"/>
      <c r="R452" s="382"/>
      <c r="S452" s="382"/>
      <c r="T452" s="382"/>
      <c r="U452" s="382"/>
      <c r="V452" s="383"/>
      <c r="W452" s="383"/>
      <c r="X452" s="383"/>
      <c r="Y452" s="383"/>
    </row>
    <row r="453">
      <c r="A453" s="382"/>
      <c r="B453" s="382"/>
      <c r="C453" s="382"/>
      <c r="D453" s="382"/>
      <c r="E453" s="382"/>
      <c r="F453" s="382"/>
      <c r="G453" s="382"/>
      <c r="H453" s="382"/>
      <c r="I453" s="382"/>
      <c r="J453" s="382"/>
      <c r="K453" s="382"/>
      <c r="L453" s="382"/>
      <c r="M453" s="382"/>
      <c r="N453" s="382"/>
      <c r="O453" s="382"/>
      <c r="P453" s="382"/>
      <c r="Q453" s="382"/>
      <c r="R453" s="382"/>
      <c r="S453" s="382"/>
      <c r="T453" s="382"/>
      <c r="U453" s="382"/>
      <c r="V453" s="383"/>
      <c r="W453" s="383"/>
      <c r="X453" s="383"/>
      <c r="Y453" s="383"/>
    </row>
    <row r="454">
      <c r="A454" s="382"/>
      <c r="B454" s="382"/>
      <c r="C454" s="382"/>
      <c r="D454" s="382"/>
      <c r="E454" s="382"/>
      <c r="F454" s="382"/>
      <c r="G454" s="382"/>
      <c r="H454" s="382"/>
      <c r="I454" s="382"/>
      <c r="J454" s="382"/>
      <c r="K454" s="382"/>
      <c r="L454" s="382"/>
      <c r="M454" s="382"/>
      <c r="N454" s="382"/>
      <c r="O454" s="382"/>
      <c r="P454" s="382"/>
      <c r="Q454" s="382"/>
      <c r="R454" s="382"/>
      <c r="S454" s="382"/>
      <c r="T454" s="382"/>
      <c r="U454" s="382"/>
      <c r="V454" s="383"/>
      <c r="W454" s="383"/>
      <c r="X454" s="383"/>
      <c r="Y454" s="383"/>
    </row>
    <row r="455">
      <c r="A455" s="382"/>
      <c r="B455" s="382"/>
      <c r="C455" s="382"/>
      <c r="D455" s="382"/>
      <c r="E455" s="382"/>
      <c r="F455" s="382"/>
      <c r="G455" s="382"/>
      <c r="H455" s="382"/>
      <c r="I455" s="382"/>
      <c r="J455" s="382"/>
      <c r="K455" s="382"/>
      <c r="L455" s="382"/>
      <c r="M455" s="382"/>
      <c r="N455" s="382"/>
      <c r="O455" s="382"/>
      <c r="P455" s="382"/>
      <c r="Q455" s="382"/>
      <c r="R455" s="382"/>
      <c r="S455" s="382"/>
      <c r="T455" s="382"/>
      <c r="U455" s="382"/>
      <c r="V455" s="383"/>
      <c r="W455" s="383"/>
      <c r="X455" s="383"/>
      <c r="Y455" s="383"/>
    </row>
    <row r="456">
      <c r="A456" s="382"/>
      <c r="B456" s="382"/>
      <c r="C456" s="382"/>
      <c r="D456" s="382"/>
      <c r="E456" s="382"/>
      <c r="F456" s="382"/>
      <c r="G456" s="382"/>
      <c r="H456" s="382"/>
      <c r="I456" s="382"/>
      <c r="J456" s="382"/>
      <c r="K456" s="382"/>
      <c r="L456" s="382"/>
      <c r="M456" s="382"/>
      <c r="N456" s="382"/>
      <c r="O456" s="382"/>
      <c r="P456" s="382"/>
      <c r="Q456" s="382"/>
      <c r="R456" s="382"/>
      <c r="S456" s="382"/>
      <c r="T456" s="382"/>
      <c r="U456" s="382"/>
      <c r="V456" s="383"/>
      <c r="W456" s="383"/>
      <c r="X456" s="383"/>
      <c r="Y456" s="383"/>
    </row>
    <row r="457">
      <c r="A457" s="382"/>
      <c r="B457" s="382"/>
      <c r="C457" s="382"/>
      <c r="D457" s="382"/>
      <c r="E457" s="382"/>
      <c r="F457" s="382"/>
      <c r="G457" s="382"/>
      <c r="H457" s="382"/>
      <c r="I457" s="382"/>
      <c r="J457" s="382"/>
      <c r="K457" s="382"/>
      <c r="L457" s="382"/>
      <c r="M457" s="382"/>
      <c r="N457" s="382"/>
      <c r="O457" s="382"/>
      <c r="P457" s="382"/>
      <c r="Q457" s="382"/>
      <c r="R457" s="382"/>
      <c r="S457" s="382"/>
      <c r="T457" s="382"/>
      <c r="U457" s="382"/>
      <c r="V457" s="383"/>
      <c r="W457" s="383"/>
      <c r="X457" s="383"/>
      <c r="Y457" s="383"/>
    </row>
    <row r="458">
      <c r="A458" s="382"/>
      <c r="B458" s="382"/>
      <c r="C458" s="382"/>
      <c r="D458" s="382"/>
      <c r="E458" s="382"/>
      <c r="F458" s="382"/>
      <c r="G458" s="382"/>
      <c r="H458" s="382"/>
      <c r="I458" s="382"/>
      <c r="J458" s="382"/>
      <c r="K458" s="382"/>
      <c r="L458" s="382"/>
      <c r="M458" s="382"/>
      <c r="N458" s="382"/>
      <c r="O458" s="382"/>
      <c r="P458" s="382"/>
      <c r="Q458" s="382"/>
      <c r="R458" s="382"/>
      <c r="S458" s="382"/>
      <c r="T458" s="382"/>
      <c r="U458" s="382"/>
      <c r="V458" s="383"/>
      <c r="W458" s="383"/>
      <c r="X458" s="383"/>
      <c r="Y458" s="383"/>
    </row>
    <row r="459">
      <c r="A459" s="382"/>
      <c r="B459" s="382"/>
      <c r="C459" s="382"/>
      <c r="D459" s="382"/>
      <c r="E459" s="382"/>
      <c r="F459" s="382"/>
      <c r="G459" s="382"/>
      <c r="H459" s="382"/>
      <c r="I459" s="382"/>
      <c r="J459" s="382"/>
      <c r="K459" s="382"/>
      <c r="L459" s="382"/>
      <c r="M459" s="382"/>
      <c r="N459" s="382"/>
      <c r="O459" s="382"/>
      <c r="P459" s="382"/>
      <c r="Q459" s="382"/>
      <c r="R459" s="382"/>
      <c r="S459" s="382"/>
      <c r="T459" s="382"/>
      <c r="U459" s="382"/>
      <c r="V459" s="383"/>
      <c r="W459" s="383"/>
      <c r="X459" s="383"/>
      <c r="Y459" s="383"/>
    </row>
    <row r="460">
      <c r="A460" s="382"/>
      <c r="B460" s="382"/>
      <c r="C460" s="382"/>
      <c r="D460" s="382"/>
      <c r="E460" s="382"/>
      <c r="F460" s="382"/>
      <c r="G460" s="382"/>
      <c r="H460" s="382"/>
      <c r="I460" s="382"/>
      <c r="J460" s="382"/>
      <c r="K460" s="382"/>
      <c r="L460" s="382"/>
      <c r="M460" s="382"/>
      <c r="N460" s="382"/>
      <c r="O460" s="382"/>
      <c r="P460" s="382"/>
      <c r="Q460" s="382"/>
      <c r="R460" s="382"/>
      <c r="S460" s="382"/>
      <c r="T460" s="382"/>
      <c r="U460" s="382"/>
      <c r="V460" s="383"/>
      <c r="W460" s="383"/>
      <c r="X460" s="383"/>
      <c r="Y460" s="383"/>
    </row>
    <row r="461">
      <c r="A461" s="382"/>
      <c r="B461" s="382"/>
      <c r="C461" s="382"/>
      <c r="D461" s="382"/>
      <c r="E461" s="382"/>
      <c r="F461" s="382"/>
      <c r="G461" s="382"/>
      <c r="H461" s="382"/>
      <c r="I461" s="382"/>
      <c r="J461" s="382"/>
      <c r="K461" s="382"/>
      <c r="L461" s="382"/>
      <c r="M461" s="382"/>
      <c r="N461" s="382"/>
      <c r="O461" s="382"/>
      <c r="P461" s="382"/>
      <c r="Q461" s="382"/>
      <c r="R461" s="382"/>
      <c r="S461" s="382"/>
      <c r="T461" s="382"/>
      <c r="U461" s="382"/>
      <c r="V461" s="383"/>
      <c r="W461" s="383"/>
      <c r="X461" s="383"/>
      <c r="Y461" s="383"/>
    </row>
    <row r="462">
      <c r="A462" s="382"/>
      <c r="B462" s="382"/>
      <c r="C462" s="382"/>
      <c r="D462" s="382"/>
      <c r="E462" s="382"/>
      <c r="F462" s="382"/>
      <c r="G462" s="382"/>
      <c r="H462" s="382"/>
      <c r="I462" s="382"/>
      <c r="J462" s="382"/>
      <c r="K462" s="382"/>
      <c r="L462" s="382"/>
      <c r="M462" s="382"/>
      <c r="N462" s="382"/>
      <c r="O462" s="382"/>
      <c r="P462" s="382"/>
      <c r="Q462" s="382"/>
      <c r="R462" s="382"/>
      <c r="S462" s="382"/>
      <c r="T462" s="382"/>
      <c r="U462" s="382"/>
      <c r="V462" s="383"/>
      <c r="W462" s="383"/>
      <c r="X462" s="383"/>
      <c r="Y462" s="383"/>
    </row>
    <row r="463">
      <c r="A463" s="382"/>
      <c r="B463" s="382"/>
      <c r="C463" s="382"/>
      <c r="D463" s="382"/>
      <c r="E463" s="382"/>
      <c r="F463" s="382"/>
      <c r="G463" s="382"/>
      <c r="H463" s="382"/>
      <c r="I463" s="382"/>
      <c r="J463" s="382"/>
      <c r="K463" s="382"/>
      <c r="L463" s="382"/>
      <c r="M463" s="382"/>
      <c r="N463" s="382"/>
      <c r="O463" s="382"/>
      <c r="P463" s="382"/>
      <c r="Q463" s="382"/>
      <c r="R463" s="382"/>
      <c r="S463" s="382"/>
      <c r="T463" s="382"/>
      <c r="U463" s="382"/>
      <c r="V463" s="383"/>
      <c r="W463" s="383"/>
      <c r="X463" s="383"/>
      <c r="Y463" s="383"/>
    </row>
    <row r="464">
      <c r="A464" s="382"/>
      <c r="B464" s="382"/>
      <c r="C464" s="382"/>
      <c r="D464" s="382"/>
      <c r="E464" s="382"/>
      <c r="F464" s="382"/>
      <c r="G464" s="382"/>
      <c r="H464" s="382"/>
      <c r="I464" s="382"/>
      <c r="J464" s="382"/>
      <c r="K464" s="382"/>
      <c r="L464" s="382"/>
      <c r="M464" s="382"/>
      <c r="N464" s="382"/>
      <c r="O464" s="382"/>
      <c r="P464" s="382"/>
      <c r="Q464" s="382"/>
      <c r="R464" s="382"/>
      <c r="S464" s="382"/>
      <c r="T464" s="382"/>
      <c r="U464" s="382"/>
      <c r="V464" s="383"/>
      <c r="W464" s="383"/>
      <c r="X464" s="383"/>
      <c r="Y464" s="383"/>
    </row>
    <row r="465">
      <c r="A465" s="382"/>
      <c r="B465" s="382"/>
      <c r="C465" s="382"/>
      <c r="D465" s="382"/>
      <c r="E465" s="382"/>
      <c r="F465" s="382"/>
      <c r="G465" s="382"/>
      <c r="H465" s="382"/>
      <c r="I465" s="382"/>
      <c r="J465" s="382"/>
      <c r="K465" s="382"/>
      <c r="L465" s="382"/>
      <c r="M465" s="382"/>
      <c r="N465" s="382"/>
      <c r="O465" s="382"/>
      <c r="P465" s="382"/>
      <c r="Q465" s="382"/>
      <c r="R465" s="382"/>
      <c r="S465" s="382"/>
      <c r="T465" s="382"/>
      <c r="U465" s="382"/>
      <c r="V465" s="383"/>
      <c r="W465" s="383"/>
      <c r="X465" s="383"/>
      <c r="Y465" s="383"/>
    </row>
    <row r="466">
      <c r="A466" s="382"/>
      <c r="B466" s="382"/>
      <c r="C466" s="382"/>
      <c r="D466" s="382"/>
      <c r="E466" s="382"/>
      <c r="F466" s="382"/>
      <c r="G466" s="382"/>
      <c r="H466" s="382"/>
      <c r="I466" s="382"/>
      <c r="J466" s="382"/>
      <c r="K466" s="382"/>
      <c r="L466" s="382"/>
      <c r="M466" s="382"/>
      <c r="N466" s="382"/>
      <c r="O466" s="382"/>
      <c r="P466" s="382"/>
      <c r="Q466" s="382"/>
      <c r="R466" s="382"/>
      <c r="S466" s="382"/>
      <c r="T466" s="382"/>
      <c r="U466" s="382"/>
      <c r="V466" s="383"/>
      <c r="W466" s="383"/>
      <c r="X466" s="383"/>
      <c r="Y466" s="383"/>
    </row>
    <row r="467">
      <c r="A467" s="382"/>
      <c r="B467" s="382"/>
      <c r="C467" s="382"/>
      <c r="D467" s="382"/>
      <c r="E467" s="382"/>
      <c r="F467" s="382"/>
      <c r="G467" s="382"/>
      <c r="H467" s="382"/>
      <c r="I467" s="382"/>
      <c r="J467" s="382"/>
      <c r="K467" s="382"/>
      <c r="L467" s="382"/>
      <c r="M467" s="382"/>
      <c r="N467" s="382"/>
      <c r="O467" s="382"/>
      <c r="P467" s="382"/>
      <c r="Q467" s="382"/>
      <c r="R467" s="382"/>
      <c r="S467" s="382"/>
      <c r="T467" s="382"/>
      <c r="U467" s="382"/>
      <c r="V467" s="383"/>
      <c r="W467" s="383"/>
      <c r="X467" s="383"/>
      <c r="Y467" s="383"/>
    </row>
    <row r="468">
      <c r="A468" s="382"/>
      <c r="B468" s="382"/>
      <c r="C468" s="382"/>
      <c r="D468" s="382"/>
      <c r="E468" s="382"/>
      <c r="F468" s="382"/>
      <c r="G468" s="382"/>
      <c r="H468" s="382"/>
      <c r="I468" s="382"/>
      <c r="J468" s="382"/>
      <c r="K468" s="382"/>
      <c r="L468" s="382"/>
      <c r="M468" s="382"/>
      <c r="N468" s="382"/>
      <c r="O468" s="382"/>
      <c r="P468" s="382"/>
      <c r="Q468" s="382"/>
      <c r="R468" s="382"/>
      <c r="S468" s="382"/>
      <c r="T468" s="382"/>
      <c r="U468" s="382"/>
      <c r="V468" s="383"/>
      <c r="W468" s="383"/>
      <c r="X468" s="383"/>
      <c r="Y468" s="383"/>
    </row>
    <row r="469">
      <c r="A469" s="382"/>
      <c r="B469" s="382"/>
      <c r="C469" s="382"/>
      <c r="D469" s="382"/>
      <c r="E469" s="382"/>
      <c r="F469" s="382"/>
      <c r="G469" s="382"/>
      <c r="H469" s="382"/>
      <c r="I469" s="382"/>
      <c r="J469" s="382"/>
      <c r="K469" s="382"/>
      <c r="L469" s="382"/>
      <c r="M469" s="382"/>
      <c r="N469" s="382"/>
      <c r="O469" s="382"/>
      <c r="P469" s="382"/>
      <c r="Q469" s="382"/>
      <c r="R469" s="382"/>
      <c r="S469" s="382"/>
      <c r="T469" s="382"/>
      <c r="U469" s="382"/>
      <c r="V469" s="383"/>
      <c r="W469" s="383"/>
      <c r="X469" s="383"/>
      <c r="Y469" s="383"/>
    </row>
    <row r="470">
      <c r="A470" s="382"/>
      <c r="B470" s="382"/>
      <c r="C470" s="382"/>
      <c r="D470" s="382"/>
      <c r="E470" s="382"/>
      <c r="F470" s="382"/>
      <c r="G470" s="382"/>
      <c r="H470" s="382"/>
      <c r="I470" s="382"/>
      <c r="J470" s="382"/>
      <c r="K470" s="382"/>
      <c r="L470" s="382"/>
      <c r="M470" s="382"/>
      <c r="N470" s="382"/>
      <c r="O470" s="382"/>
      <c r="P470" s="382"/>
      <c r="Q470" s="382"/>
      <c r="R470" s="382"/>
      <c r="S470" s="382"/>
      <c r="T470" s="382"/>
      <c r="U470" s="382"/>
      <c r="V470" s="383"/>
      <c r="W470" s="383"/>
      <c r="X470" s="383"/>
      <c r="Y470" s="383"/>
    </row>
    <row r="471">
      <c r="A471" s="382"/>
      <c r="B471" s="382"/>
      <c r="C471" s="382"/>
      <c r="D471" s="382"/>
      <c r="E471" s="382"/>
      <c r="F471" s="382"/>
      <c r="G471" s="382"/>
      <c r="H471" s="382"/>
      <c r="I471" s="382"/>
      <c r="J471" s="382"/>
      <c r="K471" s="382"/>
      <c r="L471" s="382"/>
      <c r="M471" s="382"/>
      <c r="N471" s="382"/>
      <c r="O471" s="382"/>
      <c r="P471" s="382"/>
      <c r="Q471" s="382"/>
      <c r="R471" s="382"/>
      <c r="S471" s="382"/>
      <c r="T471" s="382"/>
      <c r="U471" s="382"/>
      <c r="V471" s="383"/>
      <c r="W471" s="383"/>
      <c r="X471" s="383"/>
      <c r="Y471" s="383"/>
    </row>
    <row r="472">
      <c r="A472" s="382"/>
      <c r="B472" s="382"/>
      <c r="C472" s="382"/>
      <c r="D472" s="382"/>
      <c r="E472" s="382"/>
      <c r="F472" s="382"/>
      <c r="G472" s="382"/>
      <c r="H472" s="382"/>
      <c r="I472" s="382"/>
      <c r="J472" s="382"/>
      <c r="K472" s="382"/>
      <c r="L472" s="382"/>
      <c r="M472" s="382"/>
      <c r="N472" s="382"/>
      <c r="O472" s="382"/>
      <c r="P472" s="382"/>
      <c r="Q472" s="382"/>
      <c r="R472" s="382"/>
      <c r="S472" s="382"/>
      <c r="T472" s="382"/>
      <c r="U472" s="382"/>
      <c r="V472" s="383"/>
      <c r="W472" s="383"/>
      <c r="X472" s="383"/>
      <c r="Y472" s="383"/>
    </row>
    <row r="473">
      <c r="A473" s="382"/>
      <c r="B473" s="382"/>
      <c r="C473" s="382"/>
      <c r="D473" s="382"/>
      <c r="E473" s="382"/>
      <c r="F473" s="382"/>
      <c r="G473" s="382"/>
      <c r="H473" s="382"/>
      <c r="I473" s="382"/>
      <c r="J473" s="382"/>
      <c r="K473" s="382"/>
      <c r="L473" s="382"/>
      <c r="M473" s="382"/>
      <c r="N473" s="382"/>
      <c r="O473" s="382"/>
      <c r="P473" s="382"/>
      <c r="Q473" s="382"/>
      <c r="R473" s="382"/>
      <c r="S473" s="382"/>
      <c r="T473" s="382"/>
      <c r="U473" s="382"/>
      <c r="V473" s="383"/>
      <c r="W473" s="383"/>
      <c r="X473" s="383"/>
      <c r="Y473" s="383"/>
    </row>
    <row r="474">
      <c r="A474" s="382"/>
      <c r="B474" s="382"/>
      <c r="C474" s="382"/>
      <c r="D474" s="382"/>
      <c r="E474" s="382"/>
      <c r="F474" s="382"/>
      <c r="G474" s="382"/>
      <c r="H474" s="382"/>
      <c r="I474" s="382"/>
      <c r="J474" s="382"/>
      <c r="K474" s="382"/>
      <c r="L474" s="382"/>
      <c r="M474" s="382"/>
      <c r="N474" s="382"/>
      <c r="O474" s="382"/>
      <c r="P474" s="382"/>
      <c r="Q474" s="382"/>
      <c r="R474" s="382"/>
      <c r="S474" s="382"/>
      <c r="T474" s="382"/>
      <c r="U474" s="382"/>
      <c r="V474" s="383"/>
      <c r="W474" s="383"/>
      <c r="X474" s="383"/>
      <c r="Y474" s="383"/>
    </row>
    <row r="475">
      <c r="A475" s="382"/>
      <c r="B475" s="382"/>
      <c r="C475" s="382"/>
      <c r="D475" s="382"/>
      <c r="E475" s="382"/>
      <c r="F475" s="382"/>
      <c r="G475" s="382"/>
      <c r="H475" s="382"/>
      <c r="I475" s="382"/>
      <c r="J475" s="382"/>
      <c r="K475" s="382"/>
      <c r="L475" s="382"/>
      <c r="M475" s="382"/>
      <c r="N475" s="382"/>
      <c r="O475" s="382"/>
      <c r="P475" s="382"/>
      <c r="Q475" s="382"/>
      <c r="R475" s="382"/>
      <c r="S475" s="382"/>
      <c r="T475" s="382"/>
      <c r="U475" s="382"/>
      <c r="V475" s="383"/>
      <c r="W475" s="383"/>
      <c r="X475" s="383"/>
      <c r="Y475" s="383"/>
    </row>
    <row r="476">
      <c r="A476" s="382"/>
      <c r="B476" s="382"/>
      <c r="C476" s="382"/>
      <c r="D476" s="382"/>
      <c r="E476" s="382"/>
      <c r="F476" s="382"/>
      <c r="G476" s="382"/>
      <c r="H476" s="382"/>
      <c r="I476" s="382"/>
      <c r="J476" s="382"/>
      <c r="K476" s="382"/>
      <c r="L476" s="382"/>
      <c r="M476" s="382"/>
      <c r="N476" s="382"/>
      <c r="O476" s="382"/>
      <c r="P476" s="382"/>
      <c r="Q476" s="382"/>
      <c r="R476" s="382"/>
      <c r="S476" s="382"/>
      <c r="T476" s="382"/>
      <c r="U476" s="382"/>
      <c r="V476" s="383"/>
      <c r="W476" s="383"/>
      <c r="X476" s="383"/>
      <c r="Y476" s="383"/>
    </row>
    <row r="477">
      <c r="A477" s="382"/>
      <c r="B477" s="382"/>
      <c r="C477" s="382"/>
      <c r="D477" s="382"/>
      <c r="E477" s="382"/>
      <c r="F477" s="382"/>
      <c r="G477" s="382"/>
      <c r="H477" s="382"/>
      <c r="I477" s="382"/>
      <c r="J477" s="382"/>
      <c r="K477" s="382"/>
      <c r="L477" s="382"/>
      <c r="M477" s="382"/>
      <c r="N477" s="382"/>
      <c r="O477" s="382"/>
      <c r="P477" s="382"/>
      <c r="Q477" s="382"/>
      <c r="R477" s="382"/>
      <c r="S477" s="382"/>
      <c r="T477" s="382"/>
      <c r="U477" s="382"/>
      <c r="V477" s="383"/>
      <c r="W477" s="383"/>
      <c r="X477" s="383"/>
      <c r="Y477" s="383"/>
    </row>
    <row r="478">
      <c r="A478" s="382"/>
      <c r="B478" s="382"/>
      <c r="C478" s="382"/>
      <c r="D478" s="382"/>
      <c r="E478" s="382"/>
      <c r="F478" s="382"/>
      <c r="G478" s="382"/>
      <c r="H478" s="382"/>
      <c r="I478" s="382"/>
      <c r="J478" s="382"/>
      <c r="K478" s="382"/>
      <c r="L478" s="382"/>
      <c r="M478" s="382"/>
      <c r="N478" s="382"/>
      <c r="O478" s="382"/>
      <c r="P478" s="382"/>
      <c r="Q478" s="382"/>
      <c r="R478" s="382"/>
      <c r="S478" s="382"/>
      <c r="T478" s="382"/>
      <c r="U478" s="382"/>
      <c r="V478" s="383"/>
      <c r="W478" s="383"/>
      <c r="X478" s="383"/>
      <c r="Y478" s="383"/>
    </row>
    <row r="479">
      <c r="A479" s="382"/>
      <c r="B479" s="382"/>
      <c r="C479" s="382"/>
      <c r="D479" s="382"/>
      <c r="E479" s="382"/>
      <c r="F479" s="382"/>
      <c r="G479" s="382"/>
      <c r="H479" s="382"/>
      <c r="I479" s="382"/>
      <c r="J479" s="382"/>
      <c r="K479" s="382"/>
      <c r="L479" s="382"/>
      <c r="M479" s="382"/>
      <c r="N479" s="382"/>
      <c r="O479" s="382"/>
      <c r="P479" s="382"/>
      <c r="Q479" s="382"/>
      <c r="R479" s="382"/>
      <c r="S479" s="382"/>
      <c r="T479" s="382"/>
      <c r="U479" s="382"/>
      <c r="V479" s="383"/>
      <c r="W479" s="383"/>
      <c r="X479" s="383"/>
      <c r="Y479" s="383"/>
    </row>
    <row r="480">
      <c r="A480" s="382"/>
      <c r="B480" s="382"/>
      <c r="C480" s="382"/>
      <c r="D480" s="382"/>
      <c r="E480" s="382"/>
      <c r="F480" s="382"/>
      <c r="G480" s="382"/>
      <c r="H480" s="382"/>
      <c r="I480" s="382"/>
      <c r="J480" s="382"/>
      <c r="K480" s="382"/>
      <c r="L480" s="382"/>
      <c r="M480" s="382"/>
      <c r="N480" s="382"/>
      <c r="O480" s="382"/>
      <c r="P480" s="382"/>
      <c r="Q480" s="382"/>
      <c r="R480" s="382"/>
      <c r="S480" s="382"/>
      <c r="T480" s="382"/>
      <c r="U480" s="382"/>
      <c r="V480" s="383"/>
      <c r="W480" s="383"/>
      <c r="X480" s="383"/>
      <c r="Y480" s="383"/>
    </row>
    <row r="481">
      <c r="A481" s="382"/>
      <c r="B481" s="382"/>
      <c r="C481" s="382"/>
      <c r="D481" s="382"/>
      <c r="E481" s="382"/>
      <c r="F481" s="382"/>
      <c r="G481" s="382"/>
      <c r="H481" s="382"/>
      <c r="I481" s="382"/>
      <c r="J481" s="382"/>
      <c r="K481" s="382"/>
      <c r="L481" s="382"/>
      <c r="M481" s="382"/>
      <c r="N481" s="382"/>
      <c r="O481" s="382"/>
      <c r="P481" s="382"/>
      <c r="Q481" s="382"/>
      <c r="R481" s="382"/>
      <c r="S481" s="382"/>
      <c r="T481" s="382"/>
      <c r="U481" s="382"/>
      <c r="V481" s="383"/>
      <c r="W481" s="383"/>
      <c r="X481" s="383"/>
      <c r="Y481" s="383"/>
    </row>
    <row r="482">
      <c r="A482" s="382"/>
      <c r="B482" s="382"/>
      <c r="C482" s="382"/>
      <c r="D482" s="382"/>
      <c r="E482" s="382"/>
      <c r="F482" s="382"/>
      <c r="G482" s="382"/>
      <c r="H482" s="382"/>
      <c r="I482" s="382"/>
      <c r="J482" s="382"/>
      <c r="K482" s="382"/>
      <c r="L482" s="382"/>
      <c r="M482" s="382"/>
      <c r="N482" s="382"/>
      <c r="O482" s="382"/>
      <c r="P482" s="382"/>
      <c r="Q482" s="382"/>
      <c r="R482" s="382"/>
      <c r="S482" s="382"/>
      <c r="T482" s="382"/>
      <c r="U482" s="382"/>
      <c r="V482" s="383"/>
      <c r="W482" s="383"/>
      <c r="X482" s="383"/>
      <c r="Y482" s="383"/>
    </row>
    <row r="483">
      <c r="A483" s="382"/>
      <c r="B483" s="382"/>
      <c r="C483" s="382"/>
      <c r="D483" s="382"/>
      <c r="E483" s="382"/>
      <c r="F483" s="382"/>
      <c r="G483" s="382"/>
      <c r="H483" s="382"/>
      <c r="I483" s="382"/>
      <c r="J483" s="382"/>
      <c r="K483" s="382"/>
      <c r="L483" s="382"/>
      <c r="M483" s="382"/>
      <c r="N483" s="382"/>
      <c r="O483" s="382"/>
      <c r="P483" s="382"/>
      <c r="Q483" s="382"/>
      <c r="R483" s="382"/>
      <c r="S483" s="382"/>
      <c r="T483" s="382"/>
      <c r="U483" s="382"/>
      <c r="V483" s="383"/>
      <c r="W483" s="383"/>
      <c r="X483" s="383"/>
      <c r="Y483" s="383"/>
    </row>
    <row r="484">
      <c r="A484" s="382"/>
      <c r="B484" s="382"/>
      <c r="C484" s="382"/>
      <c r="D484" s="382"/>
      <c r="E484" s="382"/>
      <c r="F484" s="382"/>
      <c r="G484" s="382"/>
      <c r="H484" s="382"/>
      <c r="I484" s="382"/>
      <c r="J484" s="382"/>
      <c r="K484" s="382"/>
      <c r="L484" s="382"/>
      <c r="M484" s="382"/>
      <c r="N484" s="382"/>
      <c r="O484" s="382"/>
      <c r="P484" s="382"/>
      <c r="Q484" s="382"/>
      <c r="R484" s="382"/>
      <c r="S484" s="382"/>
      <c r="T484" s="382"/>
      <c r="U484" s="382"/>
      <c r="V484" s="383"/>
      <c r="W484" s="383"/>
      <c r="X484" s="383"/>
      <c r="Y484" s="383"/>
    </row>
    <row r="485">
      <c r="A485" s="382"/>
      <c r="B485" s="382"/>
      <c r="C485" s="382"/>
      <c r="D485" s="382"/>
      <c r="E485" s="382"/>
      <c r="F485" s="382"/>
      <c r="G485" s="382"/>
      <c r="H485" s="382"/>
      <c r="I485" s="382"/>
      <c r="J485" s="382"/>
      <c r="K485" s="382"/>
      <c r="L485" s="382"/>
      <c r="M485" s="382"/>
      <c r="N485" s="382"/>
      <c r="O485" s="382"/>
      <c r="P485" s="382"/>
      <c r="Q485" s="382"/>
      <c r="R485" s="382"/>
      <c r="S485" s="382"/>
      <c r="T485" s="382"/>
      <c r="U485" s="382"/>
      <c r="V485" s="383"/>
      <c r="W485" s="383"/>
      <c r="X485" s="383"/>
      <c r="Y485" s="383"/>
    </row>
    <row r="486">
      <c r="A486" s="382"/>
      <c r="B486" s="382"/>
      <c r="C486" s="382"/>
      <c r="D486" s="382"/>
      <c r="E486" s="382"/>
      <c r="F486" s="382"/>
      <c r="G486" s="382"/>
      <c r="H486" s="382"/>
      <c r="I486" s="382"/>
      <c r="J486" s="382"/>
      <c r="K486" s="382"/>
      <c r="L486" s="382"/>
      <c r="M486" s="382"/>
      <c r="N486" s="382"/>
      <c r="O486" s="382"/>
      <c r="P486" s="382"/>
      <c r="Q486" s="382"/>
      <c r="R486" s="382"/>
      <c r="S486" s="382"/>
      <c r="T486" s="382"/>
      <c r="U486" s="382"/>
      <c r="V486" s="383"/>
      <c r="W486" s="383"/>
      <c r="X486" s="383"/>
      <c r="Y486" s="383"/>
    </row>
    <row r="487">
      <c r="A487" s="382"/>
      <c r="B487" s="382"/>
      <c r="C487" s="382"/>
      <c r="D487" s="382"/>
      <c r="E487" s="382"/>
      <c r="F487" s="382"/>
      <c r="G487" s="382"/>
      <c r="H487" s="382"/>
      <c r="I487" s="382"/>
      <c r="J487" s="382"/>
      <c r="K487" s="382"/>
      <c r="L487" s="382"/>
      <c r="M487" s="382"/>
      <c r="N487" s="382"/>
      <c r="O487" s="382"/>
      <c r="P487" s="382"/>
      <c r="Q487" s="382"/>
      <c r="R487" s="382"/>
      <c r="S487" s="382"/>
      <c r="T487" s="382"/>
      <c r="U487" s="382"/>
      <c r="V487" s="383"/>
      <c r="W487" s="383"/>
      <c r="X487" s="383"/>
      <c r="Y487" s="383"/>
    </row>
    <row r="488">
      <c r="A488" s="382"/>
      <c r="B488" s="382"/>
      <c r="C488" s="382"/>
      <c r="D488" s="382"/>
      <c r="E488" s="382"/>
      <c r="F488" s="382"/>
      <c r="G488" s="382"/>
      <c r="H488" s="382"/>
      <c r="I488" s="382"/>
      <c r="J488" s="382"/>
      <c r="K488" s="382"/>
      <c r="L488" s="382"/>
      <c r="M488" s="382"/>
      <c r="N488" s="382"/>
      <c r="O488" s="382"/>
      <c r="P488" s="382"/>
      <c r="Q488" s="382"/>
      <c r="R488" s="382"/>
      <c r="S488" s="382"/>
      <c r="T488" s="382"/>
      <c r="U488" s="382"/>
      <c r="V488" s="383"/>
      <c r="W488" s="383"/>
      <c r="X488" s="383"/>
      <c r="Y488" s="383"/>
    </row>
    <row r="489">
      <c r="A489" s="382"/>
      <c r="B489" s="382"/>
      <c r="C489" s="382"/>
      <c r="D489" s="382"/>
      <c r="E489" s="382"/>
      <c r="F489" s="382"/>
      <c r="G489" s="382"/>
      <c r="H489" s="382"/>
      <c r="I489" s="382"/>
      <c r="J489" s="382"/>
      <c r="K489" s="382"/>
      <c r="L489" s="382"/>
      <c r="M489" s="382"/>
      <c r="N489" s="382"/>
      <c r="O489" s="382"/>
      <c r="P489" s="382"/>
      <c r="Q489" s="382"/>
      <c r="R489" s="382"/>
      <c r="S489" s="382"/>
      <c r="T489" s="382"/>
      <c r="U489" s="382"/>
      <c r="V489" s="383"/>
      <c r="W489" s="383"/>
      <c r="X489" s="383"/>
      <c r="Y489" s="383"/>
    </row>
    <row r="490">
      <c r="A490" s="382"/>
      <c r="B490" s="382"/>
      <c r="C490" s="382"/>
      <c r="D490" s="382"/>
      <c r="E490" s="382"/>
      <c r="F490" s="382"/>
      <c r="G490" s="382"/>
      <c r="H490" s="382"/>
      <c r="I490" s="382"/>
      <c r="J490" s="382"/>
      <c r="K490" s="382"/>
      <c r="L490" s="382"/>
      <c r="M490" s="382"/>
      <c r="N490" s="382"/>
      <c r="O490" s="382"/>
      <c r="P490" s="382"/>
      <c r="Q490" s="382"/>
      <c r="R490" s="382"/>
      <c r="S490" s="382"/>
      <c r="T490" s="382"/>
      <c r="U490" s="382"/>
      <c r="V490" s="383"/>
      <c r="W490" s="383"/>
      <c r="X490" s="383"/>
      <c r="Y490" s="383"/>
    </row>
    <row r="491">
      <c r="A491" s="382"/>
      <c r="B491" s="382"/>
      <c r="C491" s="382"/>
      <c r="D491" s="382"/>
      <c r="E491" s="382"/>
      <c r="F491" s="382"/>
      <c r="G491" s="382"/>
      <c r="H491" s="382"/>
      <c r="I491" s="382"/>
      <c r="J491" s="382"/>
      <c r="K491" s="382"/>
      <c r="L491" s="382"/>
      <c r="M491" s="382"/>
      <c r="N491" s="382"/>
      <c r="O491" s="382"/>
      <c r="P491" s="382"/>
      <c r="Q491" s="382"/>
      <c r="R491" s="382"/>
      <c r="S491" s="382"/>
      <c r="T491" s="382"/>
      <c r="U491" s="382"/>
      <c r="V491" s="383"/>
      <c r="W491" s="383"/>
      <c r="X491" s="383"/>
      <c r="Y491" s="383"/>
    </row>
    <row r="492">
      <c r="A492" s="382"/>
      <c r="B492" s="382"/>
      <c r="C492" s="382"/>
      <c r="D492" s="382"/>
      <c r="E492" s="382"/>
      <c r="F492" s="382"/>
      <c r="G492" s="382"/>
      <c r="H492" s="382"/>
      <c r="I492" s="382"/>
      <c r="J492" s="382"/>
      <c r="K492" s="382"/>
      <c r="L492" s="382"/>
      <c r="M492" s="382"/>
      <c r="N492" s="382"/>
      <c r="O492" s="382"/>
      <c r="P492" s="382"/>
      <c r="Q492" s="382"/>
      <c r="R492" s="382"/>
      <c r="S492" s="382"/>
      <c r="T492" s="382"/>
      <c r="U492" s="382"/>
      <c r="V492" s="383"/>
      <c r="W492" s="383"/>
      <c r="X492" s="383"/>
      <c r="Y492" s="383"/>
    </row>
    <row r="493">
      <c r="A493" s="382"/>
      <c r="B493" s="382"/>
      <c r="C493" s="382"/>
      <c r="D493" s="382"/>
      <c r="E493" s="382"/>
      <c r="F493" s="382"/>
      <c r="G493" s="382"/>
      <c r="H493" s="382"/>
      <c r="I493" s="382"/>
      <c r="J493" s="382"/>
      <c r="K493" s="382"/>
      <c r="L493" s="382"/>
      <c r="M493" s="382"/>
      <c r="N493" s="382"/>
      <c r="O493" s="382"/>
      <c r="P493" s="382"/>
      <c r="Q493" s="382"/>
      <c r="R493" s="382"/>
      <c r="S493" s="382"/>
      <c r="T493" s="382"/>
      <c r="U493" s="382"/>
      <c r="V493" s="383"/>
      <c r="W493" s="383"/>
      <c r="X493" s="383"/>
      <c r="Y493" s="383"/>
    </row>
    <row r="494">
      <c r="A494" s="382"/>
      <c r="B494" s="382"/>
      <c r="C494" s="382"/>
      <c r="D494" s="382"/>
      <c r="E494" s="382"/>
      <c r="F494" s="382"/>
      <c r="G494" s="382"/>
      <c r="H494" s="382"/>
      <c r="I494" s="382"/>
      <c r="J494" s="382"/>
      <c r="K494" s="382"/>
      <c r="L494" s="382"/>
      <c r="M494" s="382"/>
      <c r="N494" s="382"/>
      <c r="O494" s="382"/>
      <c r="P494" s="382"/>
      <c r="Q494" s="382"/>
      <c r="R494" s="382"/>
      <c r="S494" s="382"/>
      <c r="T494" s="382"/>
      <c r="U494" s="382"/>
      <c r="V494" s="383"/>
      <c r="W494" s="383"/>
      <c r="X494" s="383"/>
      <c r="Y494" s="383"/>
    </row>
    <row r="495">
      <c r="A495" s="382"/>
      <c r="B495" s="382"/>
      <c r="C495" s="382"/>
      <c r="D495" s="382"/>
      <c r="E495" s="382"/>
      <c r="F495" s="382"/>
      <c r="G495" s="382"/>
      <c r="H495" s="382"/>
      <c r="I495" s="382"/>
      <c r="J495" s="382"/>
      <c r="K495" s="382"/>
      <c r="L495" s="382"/>
      <c r="M495" s="382"/>
      <c r="N495" s="382"/>
      <c r="O495" s="382"/>
      <c r="P495" s="382"/>
      <c r="Q495" s="382"/>
      <c r="R495" s="382"/>
      <c r="S495" s="382"/>
      <c r="T495" s="382"/>
      <c r="U495" s="382"/>
      <c r="V495" s="383"/>
      <c r="W495" s="383"/>
      <c r="X495" s="383"/>
      <c r="Y495" s="383"/>
    </row>
    <row r="496">
      <c r="A496" s="382"/>
      <c r="B496" s="382"/>
      <c r="C496" s="382"/>
      <c r="D496" s="382"/>
      <c r="E496" s="382"/>
      <c r="F496" s="382"/>
      <c r="G496" s="382"/>
      <c r="H496" s="382"/>
      <c r="I496" s="382"/>
      <c r="J496" s="382"/>
      <c r="K496" s="382"/>
      <c r="L496" s="382"/>
      <c r="M496" s="382"/>
      <c r="N496" s="382"/>
      <c r="O496" s="382"/>
      <c r="P496" s="382"/>
      <c r="Q496" s="382"/>
      <c r="R496" s="382"/>
      <c r="S496" s="382"/>
      <c r="T496" s="382"/>
      <c r="U496" s="382"/>
      <c r="V496" s="383"/>
      <c r="W496" s="383"/>
      <c r="X496" s="383"/>
      <c r="Y496" s="383"/>
    </row>
    <row r="497">
      <c r="A497" s="382"/>
      <c r="B497" s="382"/>
      <c r="C497" s="382"/>
      <c r="D497" s="382"/>
      <c r="E497" s="382"/>
      <c r="F497" s="382"/>
      <c r="G497" s="382"/>
      <c r="H497" s="382"/>
      <c r="I497" s="382"/>
      <c r="J497" s="382"/>
      <c r="K497" s="382"/>
      <c r="L497" s="382"/>
      <c r="M497" s="382"/>
      <c r="N497" s="382"/>
      <c r="O497" s="382"/>
      <c r="P497" s="382"/>
      <c r="Q497" s="382"/>
      <c r="R497" s="382"/>
      <c r="S497" s="382"/>
      <c r="T497" s="382"/>
      <c r="U497" s="382"/>
      <c r="V497" s="383"/>
      <c r="W497" s="383"/>
      <c r="X497" s="383"/>
      <c r="Y497" s="383"/>
    </row>
    <row r="498">
      <c r="A498" s="382"/>
      <c r="B498" s="382"/>
      <c r="C498" s="382"/>
      <c r="D498" s="382"/>
      <c r="E498" s="382"/>
      <c r="F498" s="382"/>
      <c r="G498" s="382"/>
      <c r="H498" s="382"/>
      <c r="I498" s="382"/>
      <c r="J498" s="382"/>
      <c r="K498" s="382"/>
      <c r="L498" s="382"/>
      <c r="M498" s="382"/>
      <c r="N498" s="382"/>
      <c r="O498" s="382"/>
      <c r="P498" s="382"/>
      <c r="Q498" s="382"/>
      <c r="R498" s="382"/>
      <c r="S498" s="382"/>
      <c r="T498" s="382"/>
      <c r="U498" s="382"/>
      <c r="V498" s="383"/>
      <c r="W498" s="383"/>
      <c r="X498" s="383"/>
      <c r="Y498" s="383"/>
    </row>
    <row r="499">
      <c r="A499" s="382"/>
      <c r="B499" s="382"/>
      <c r="C499" s="382"/>
      <c r="D499" s="382"/>
      <c r="E499" s="382"/>
      <c r="F499" s="382"/>
      <c r="G499" s="382"/>
      <c r="H499" s="382"/>
      <c r="I499" s="382"/>
      <c r="J499" s="382"/>
      <c r="K499" s="382"/>
      <c r="L499" s="382"/>
      <c r="M499" s="382"/>
      <c r="N499" s="382"/>
      <c r="O499" s="382"/>
      <c r="P499" s="382"/>
      <c r="Q499" s="382"/>
      <c r="R499" s="382"/>
      <c r="S499" s="382"/>
      <c r="T499" s="382"/>
      <c r="U499" s="382"/>
      <c r="V499" s="383"/>
      <c r="W499" s="383"/>
      <c r="X499" s="383"/>
      <c r="Y499" s="383"/>
    </row>
    <row r="500">
      <c r="A500" s="382"/>
      <c r="B500" s="382"/>
      <c r="C500" s="382"/>
      <c r="D500" s="382"/>
      <c r="E500" s="382"/>
      <c r="F500" s="382"/>
      <c r="G500" s="382"/>
      <c r="H500" s="382"/>
      <c r="I500" s="382"/>
      <c r="J500" s="382"/>
      <c r="K500" s="382"/>
      <c r="L500" s="382"/>
      <c r="M500" s="382"/>
      <c r="N500" s="382"/>
      <c r="O500" s="382"/>
      <c r="P500" s="382"/>
      <c r="Q500" s="382"/>
      <c r="R500" s="382"/>
      <c r="S500" s="382"/>
      <c r="T500" s="382"/>
      <c r="U500" s="382"/>
      <c r="V500" s="383"/>
      <c r="W500" s="383"/>
      <c r="X500" s="383"/>
      <c r="Y500" s="383"/>
    </row>
    <row r="501">
      <c r="A501" s="382"/>
      <c r="B501" s="382"/>
      <c r="C501" s="382"/>
      <c r="D501" s="382"/>
      <c r="E501" s="382"/>
      <c r="F501" s="382"/>
      <c r="G501" s="382"/>
      <c r="H501" s="382"/>
      <c r="I501" s="382"/>
      <c r="J501" s="382"/>
      <c r="K501" s="382"/>
      <c r="L501" s="382"/>
      <c r="M501" s="382"/>
      <c r="N501" s="382"/>
      <c r="O501" s="382"/>
      <c r="P501" s="382"/>
      <c r="Q501" s="382"/>
      <c r="R501" s="382"/>
      <c r="S501" s="382"/>
      <c r="T501" s="382"/>
      <c r="U501" s="382"/>
      <c r="V501" s="383"/>
      <c r="W501" s="383"/>
      <c r="X501" s="383"/>
      <c r="Y501" s="383"/>
    </row>
    <row r="502">
      <c r="A502" s="382"/>
      <c r="B502" s="382"/>
      <c r="C502" s="382"/>
      <c r="D502" s="382"/>
      <c r="E502" s="382"/>
      <c r="F502" s="382"/>
      <c r="G502" s="382"/>
      <c r="H502" s="382"/>
      <c r="I502" s="382"/>
      <c r="J502" s="382"/>
      <c r="K502" s="382"/>
      <c r="L502" s="382"/>
      <c r="M502" s="382"/>
      <c r="N502" s="382"/>
      <c r="O502" s="382"/>
      <c r="P502" s="382"/>
      <c r="Q502" s="382"/>
      <c r="R502" s="382"/>
      <c r="S502" s="382"/>
      <c r="T502" s="382"/>
      <c r="U502" s="382"/>
      <c r="V502" s="383"/>
      <c r="W502" s="383"/>
      <c r="X502" s="383"/>
      <c r="Y502" s="383"/>
    </row>
    <row r="503">
      <c r="A503" s="382"/>
      <c r="B503" s="382"/>
      <c r="C503" s="382"/>
      <c r="D503" s="382"/>
      <c r="E503" s="382"/>
      <c r="F503" s="382"/>
      <c r="G503" s="382"/>
      <c r="H503" s="382"/>
      <c r="I503" s="382"/>
      <c r="J503" s="382"/>
      <c r="K503" s="382"/>
      <c r="L503" s="382"/>
      <c r="M503" s="382"/>
      <c r="N503" s="382"/>
      <c r="O503" s="382"/>
      <c r="P503" s="382"/>
      <c r="Q503" s="382"/>
      <c r="R503" s="382"/>
      <c r="S503" s="382"/>
      <c r="T503" s="382"/>
      <c r="U503" s="382"/>
      <c r="V503" s="383"/>
      <c r="W503" s="383"/>
      <c r="X503" s="383"/>
      <c r="Y503" s="383"/>
    </row>
    <row r="504">
      <c r="A504" s="382"/>
      <c r="B504" s="382"/>
      <c r="C504" s="382"/>
      <c r="D504" s="382"/>
      <c r="E504" s="382"/>
      <c r="F504" s="382"/>
      <c r="G504" s="382"/>
      <c r="H504" s="382"/>
      <c r="I504" s="382"/>
      <c r="J504" s="382"/>
      <c r="K504" s="382"/>
      <c r="L504" s="382"/>
      <c r="M504" s="382"/>
      <c r="N504" s="382"/>
      <c r="O504" s="382"/>
      <c r="P504" s="382"/>
      <c r="Q504" s="382"/>
      <c r="R504" s="382"/>
      <c r="S504" s="382"/>
      <c r="T504" s="382"/>
      <c r="U504" s="382"/>
      <c r="V504" s="383"/>
      <c r="W504" s="383"/>
      <c r="X504" s="383"/>
      <c r="Y504" s="383"/>
    </row>
    <row r="505">
      <c r="A505" s="382"/>
      <c r="B505" s="382"/>
      <c r="C505" s="382"/>
      <c r="D505" s="382"/>
      <c r="E505" s="382"/>
      <c r="F505" s="382"/>
      <c r="G505" s="382"/>
      <c r="H505" s="382"/>
      <c r="I505" s="382"/>
      <c r="J505" s="382"/>
      <c r="K505" s="382"/>
      <c r="L505" s="382"/>
      <c r="M505" s="382"/>
      <c r="N505" s="382"/>
      <c r="O505" s="382"/>
      <c r="P505" s="382"/>
      <c r="Q505" s="382"/>
      <c r="R505" s="382"/>
      <c r="S505" s="382"/>
      <c r="T505" s="382"/>
      <c r="U505" s="382"/>
      <c r="V505" s="383"/>
      <c r="W505" s="383"/>
      <c r="X505" s="383"/>
      <c r="Y505" s="383"/>
    </row>
    <row r="506">
      <c r="A506" s="382"/>
      <c r="B506" s="382"/>
      <c r="C506" s="382"/>
      <c r="D506" s="382"/>
      <c r="E506" s="382"/>
      <c r="F506" s="382"/>
      <c r="G506" s="382"/>
      <c r="H506" s="382"/>
      <c r="I506" s="382"/>
      <c r="J506" s="382"/>
      <c r="K506" s="382"/>
      <c r="L506" s="382"/>
      <c r="M506" s="382"/>
      <c r="N506" s="382"/>
      <c r="O506" s="382"/>
      <c r="P506" s="382"/>
      <c r="Q506" s="382"/>
      <c r="R506" s="382"/>
      <c r="S506" s="382"/>
      <c r="T506" s="382"/>
      <c r="U506" s="382"/>
      <c r="V506" s="383"/>
      <c r="W506" s="383"/>
      <c r="X506" s="383"/>
      <c r="Y506" s="383"/>
    </row>
    <row r="507">
      <c r="A507" s="382"/>
      <c r="B507" s="382"/>
      <c r="C507" s="382"/>
      <c r="D507" s="382"/>
      <c r="E507" s="382"/>
      <c r="F507" s="382"/>
      <c r="G507" s="382"/>
      <c r="H507" s="382"/>
      <c r="I507" s="382"/>
      <c r="J507" s="382"/>
      <c r="K507" s="382"/>
      <c r="L507" s="382"/>
      <c r="M507" s="382"/>
      <c r="N507" s="382"/>
      <c r="O507" s="382"/>
      <c r="P507" s="382"/>
      <c r="Q507" s="382"/>
      <c r="R507" s="382"/>
      <c r="S507" s="382"/>
      <c r="T507" s="382"/>
      <c r="U507" s="382"/>
      <c r="V507" s="383"/>
      <c r="W507" s="383"/>
      <c r="X507" s="383"/>
      <c r="Y507" s="383"/>
    </row>
    <row r="508">
      <c r="A508" s="382"/>
      <c r="B508" s="382"/>
      <c r="C508" s="382"/>
      <c r="D508" s="382"/>
      <c r="E508" s="382"/>
      <c r="F508" s="382"/>
      <c r="G508" s="382"/>
      <c r="H508" s="382"/>
      <c r="I508" s="382"/>
      <c r="J508" s="382"/>
      <c r="K508" s="382"/>
      <c r="L508" s="382"/>
      <c r="M508" s="382"/>
      <c r="N508" s="382"/>
      <c r="O508" s="382"/>
      <c r="P508" s="382"/>
      <c r="Q508" s="382"/>
      <c r="R508" s="382"/>
      <c r="S508" s="382"/>
      <c r="T508" s="382"/>
      <c r="U508" s="382"/>
      <c r="V508" s="383"/>
      <c r="W508" s="383"/>
      <c r="X508" s="383"/>
      <c r="Y508" s="383"/>
    </row>
    <row r="509">
      <c r="A509" s="382"/>
      <c r="B509" s="382"/>
      <c r="C509" s="382"/>
      <c r="D509" s="382"/>
      <c r="E509" s="382"/>
      <c r="F509" s="382"/>
      <c r="G509" s="382"/>
      <c r="H509" s="382"/>
      <c r="I509" s="382"/>
      <c r="J509" s="382"/>
      <c r="K509" s="382"/>
      <c r="L509" s="382"/>
      <c r="M509" s="382"/>
      <c r="N509" s="382"/>
      <c r="O509" s="382"/>
      <c r="P509" s="382"/>
      <c r="Q509" s="382"/>
      <c r="R509" s="382"/>
      <c r="S509" s="382"/>
      <c r="T509" s="382"/>
      <c r="U509" s="382"/>
      <c r="V509" s="383"/>
      <c r="W509" s="383"/>
      <c r="X509" s="383"/>
      <c r="Y509" s="383"/>
    </row>
    <row r="510">
      <c r="A510" s="382"/>
      <c r="B510" s="382"/>
      <c r="C510" s="382"/>
      <c r="D510" s="382"/>
      <c r="E510" s="382"/>
      <c r="F510" s="382"/>
      <c r="G510" s="382"/>
      <c r="H510" s="382"/>
      <c r="I510" s="382"/>
      <c r="J510" s="382"/>
      <c r="K510" s="382"/>
      <c r="L510" s="382"/>
      <c r="M510" s="382"/>
      <c r="N510" s="382"/>
      <c r="O510" s="382"/>
      <c r="P510" s="382"/>
      <c r="Q510" s="382"/>
      <c r="R510" s="382"/>
      <c r="S510" s="382"/>
      <c r="T510" s="382"/>
      <c r="U510" s="382"/>
      <c r="V510" s="383"/>
      <c r="W510" s="383"/>
      <c r="X510" s="383"/>
      <c r="Y510" s="383"/>
    </row>
    <row r="511">
      <c r="A511" s="382"/>
      <c r="B511" s="382"/>
      <c r="C511" s="382"/>
      <c r="D511" s="382"/>
      <c r="E511" s="382"/>
      <c r="F511" s="382"/>
      <c r="G511" s="382"/>
      <c r="H511" s="382"/>
      <c r="I511" s="382"/>
      <c r="J511" s="382"/>
      <c r="K511" s="382"/>
      <c r="L511" s="382"/>
      <c r="M511" s="382"/>
      <c r="N511" s="382"/>
      <c r="O511" s="382"/>
      <c r="P511" s="382"/>
      <c r="Q511" s="382"/>
      <c r="R511" s="382"/>
      <c r="S511" s="382"/>
      <c r="T511" s="382"/>
      <c r="U511" s="382"/>
      <c r="V511" s="383"/>
      <c r="W511" s="383"/>
      <c r="X511" s="383"/>
      <c r="Y511" s="383"/>
    </row>
    <row r="512">
      <c r="A512" s="382"/>
      <c r="B512" s="382"/>
      <c r="C512" s="382"/>
      <c r="D512" s="382"/>
      <c r="E512" s="382"/>
      <c r="F512" s="382"/>
      <c r="G512" s="382"/>
      <c r="H512" s="382"/>
      <c r="I512" s="382"/>
      <c r="J512" s="382"/>
      <c r="K512" s="382"/>
      <c r="L512" s="382"/>
      <c r="M512" s="382"/>
      <c r="N512" s="382"/>
      <c r="O512" s="382"/>
      <c r="P512" s="382"/>
      <c r="Q512" s="382"/>
      <c r="R512" s="382"/>
      <c r="S512" s="382"/>
      <c r="T512" s="382"/>
      <c r="U512" s="382"/>
      <c r="V512" s="383"/>
      <c r="W512" s="383"/>
      <c r="X512" s="383"/>
      <c r="Y512" s="383"/>
    </row>
    <row r="513">
      <c r="A513" s="382"/>
      <c r="B513" s="382"/>
      <c r="C513" s="382"/>
      <c r="D513" s="382"/>
      <c r="E513" s="382"/>
      <c r="F513" s="382"/>
      <c r="G513" s="382"/>
      <c r="H513" s="382"/>
      <c r="I513" s="382"/>
      <c r="J513" s="382"/>
      <c r="K513" s="382"/>
      <c r="L513" s="382"/>
      <c r="M513" s="382"/>
      <c r="N513" s="382"/>
      <c r="O513" s="382"/>
      <c r="P513" s="382"/>
      <c r="Q513" s="382"/>
      <c r="R513" s="382"/>
      <c r="S513" s="382"/>
      <c r="T513" s="382"/>
      <c r="U513" s="382"/>
      <c r="V513" s="383"/>
      <c r="W513" s="383"/>
      <c r="X513" s="383"/>
      <c r="Y513" s="383"/>
    </row>
    <row r="514">
      <c r="A514" s="382"/>
      <c r="B514" s="382"/>
      <c r="C514" s="382"/>
      <c r="D514" s="382"/>
      <c r="E514" s="382"/>
      <c r="F514" s="382"/>
      <c r="G514" s="382"/>
      <c r="H514" s="382"/>
      <c r="I514" s="382"/>
      <c r="J514" s="382"/>
      <c r="K514" s="382"/>
      <c r="L514" s="382"/>
      <c r="M514" s="382"/>
      <c r="N514" s="382"/>
      <c r="O514" s="382"/>
      <c r="P514" s="382"/>
      <c r="Q514" s="382"/>
      <c r="R514" s="382"/>
      <c r="S514" s="382"/>
      <c r="T514" s="382"/>
      <c r="U514" s="382"/>
      <c r="V514" s="383"/>
      <c r="W514" s="383"/>
      <c r="X514" s="383"/>
      <c r="Y514" s="383"/>
    </row>
    <row r="515">
      <c r="A515" s="382"/>
      <c r="B515" s="382"/>
      <c r="C515" s="382"/>
      <c r="D515" s="382"/>
      <c r="E515" s="382"/>
      <c r="F515" s="382"/>
      <c r="G515" s="382"/>
      <c r="H515" s="382"/>
      <c r="I515" s="382"/>
      <c r="J515" s="382"/>
      <c r="K515" s="382"/>
      <c r="L515" s="382"/>
      <c r="M515" s="382"/>
      <c r="N515" s="382"/>
      <c r="O515" s="382"/>
      <c r="P515" s="382"/>
      <c r="Q515" s="382"/>
      <c r="R515" s="382"/>
      <c r="S515" s="382"/>
      <c r="T515" s="382"/>
      <c r="U515" s="382"/>
      <c r="V515" s="383"/>
      <c r="W515" s="383"/>
      <c r="X515" s="383"/>
      <c r="Y515" s="383"/>
    </row>
    <row r="516">
      <c r="A516" s="382"/>
      <c r="B516" s="382"/>
      <c r="C516" s="382"/>
      <c r="D516" s="382"/>
      <c r="E516" s="382"/>
      <c r="F516" s="382"/>
      <c r="G516" s="382"/>
      <c r="H516" s="382"/>
      <c r="I516" s="382"/>
      <c r="J516" s="382"/>
      <c r="K516" s="382"/>
      <c r="L516" s="382"/>
      <c r="M516" s="382"/>
      <c r="N516" s="382"/>
      <c r="O516" s="382"/>
      <c r="P516" s="382"/>
      <c r="Q516" s="382"/>
      <c r="R516" s="382"/>
      <c r="S516" s="382"/>
      <c r="T516" s="382"/>
      <c r="U516" s="382"/>
      <c r="V516" s="383"/>
      <c r="W516" s="383"/>
      <c r="X516" s="383"/>
      <c r="Y516" s="383"/>
    </row>
    <row r="517">
      <c r="A517" s="382"/>
      <c r="B517" s="382"/>
      <c r="C517" s="382"/>
      <c r="D517" s="382"/>
      <c r="E517" s="382"/>
      <c r="F517" s="382"/>
      <c r="G517" s="382"/>
      <c r="H517" s="382"/>
      <c r="I517" s="382"/>
      <c r="J517" s="382"/>
      <c r="K517" s="382"/>
      <c r="L517" s="382"/>
      <c r="M517" s="382"/>
      <c r="N517" s="382"/>
      <c r="O517" s="382"/>
      <c r="P517" s="382"/>
      <c r="Q517" s="382"/>
      <c r="R517" s="382"/>
      <c r="S517" s="382"/>
      <c r="T517" s="382"/>
      <c r="U517" s="382"/>
      <c r="V517" s="383"/>
      <c r="W517" s="383"/>
      <c r="X517" s="383"/>
      <c r="Y517" s="383"/>
    </row>
    <row r="518">
      <c r="A518" s="382"/>
      <c r="B518" s="382"/>
      <c r="C518" s="382"/>
      <c r="D518" s="382"/>
      <c r="E518" s="382"/>
      <c r="F518" s="382"/>
      <c r="G518" s="382"/>
      <c r="H518" s="382"/>
      <c r="I518" s="382"/>
      <c r="J518" s="382"/>
      <c r="K518" s="382"/>
      <c r="L518" s="382"/>
      <c r="M518" s="382"/>
      <c r="N518" s="382"/>
      <c r="O518" s="382"/>
      <c r="P518" s="382"/>
      <c r="Q518" s="382"/>
      <c r="R518" s="382"/>
      <c r="S518" s="382"/>
      <c r="T518" s="382"/>
      <c r="U518" s="382"/>
      <c r="V518" s="383"/>
      <c r="W518" s="383"/>
      <c r="X518" s="383"/>
      <c r="Y518" s="383"/>
    </row>
    <row r="519">
      <c r="A519" s="382"/>
      <c r="B519" s="382"/>
      <c r="C519" s="382"/>
      <c r="D519" s="382"/>
      <c r="E519" s="382"/>
      <c r="F519" s="382"/>
      <c r="G519" s="382"/>
      <c r="H519" s="382"/>
      <c r="I519" s="382"/>
      <c r="J519" s="382"/>
      <c r="K519" s="382"/>
      <c r="L519" s="382"/>
      <c r="M519" s="382"/>
      <c r="N519" s="382"/>
      <c r="O519" s="382"/>
      <c r="P519" s="382"/>
      <c r="Q519" s="382"/>
      <c r="R519" s="382"/>
      <c r="S519" s="382"/>
      <c r="T519" s="382"/>
      <c r="U519" s="382"/>
      <c r="V519" s="383"/>
      <c r="W519" s="383"/>
      <c r="X519" s="383"/>
      <c r="Y519" s="383"/>
    </row>
    <row r="520">
      <c r="A520" s="382"/>
      <c r="B520" s="382"/>
      <c r="C520" s="382"/>
      <c r="D520" s="382"/>
      <c r="E520" s="382"/>
      <c r="F520" s="382"/>
      <c r="G520" s="382"/>
      <c r="H520" s="382"/>
      <c r="I520" s="382"/>
      <c r="J520" s="382"/>
      <c r="K520" s="382"/>
      <c r="L520" s="382"/>
      <c r="M520" s="382"/>
      <c r="N520" s="382"/>
      <c r="O520" s="382"/>
      <c r="P520" s="382"/>
      <c r="Q520" s="382"/>
      <c r="R520" s="382"/>
      <c r="S520" s="382"/>
      <c r="T520" s="382"/>
      <c r="U520" s="382"/>
      <c r="V520" s="383"/>
      <c r="W520" s="383"/>
      <c r="X520" s="383"/>
      <c r="Y520" s="383"/>
    </row>
    <row r="521">
      <c r="A521" s="382"/>
      <c r="B521" s="382"/>
      <c r="C521" s="382"/>
      <c r="D521" s="382"/>
      <c r="E521" s="382"/>
      <c r="F521" s="382"/>
      <c r="G521" s="382"/>
      <c r="H521" s="382"/>
      <c r="I521" s="382"/>
      <c r="J521" s="382"/>
      <c r="K521" s="382"/>
      <c r="L521" s="382"/>
      <c r="M521" s="382"/>
      <c r="N521" s="382"/>
      <c r="O521" s="382"/>
      <c r="P521" s="382"/>
      <c r="Q521" s="382"/>
      <c r="R521" s="382"/>
      <c r="S521" s="382"/>
      <c r="T521" s="382"/>
      <c r="U521" s="382"/>
      <c r="V521" s="383"/>
      <c r="W521" s="383"/>
      <c r="X521" s="383"/>
      <c r="Y521" s="383"/>
    </row>
    <row r="522">
      <c r="A522" s="382"/>
      <c r="B522" s="382"/>
      <c r="C522" s="382"/>
      <c r="D522" s="382"/>
      <c r="E522" s="382"/>
      <c r="F522" s="382"/>
      <c r="G522" s="382"/>
      <c r="H522" s="382"/>
      <c r="I522" s="382"/>
      <c r="J522" s="382"/>
      <c r="K522" s="382"/>
      <c r="L522" s="382"/>
      <c r="M522" s="382"/>
      <c r="N522" s="382"/>
      <c r="O522" s="382"/>
      <c r="P522" s="382"/>
      <c r="Q522" s="382"/>
      <c r="R522" s="382"/>
      <c r="S522" s="382"/>
      <c r="T522" s="382"/>
      <c r="U522" s="382"/>
      <c r="V522" s="383"/>
      <c r="W522" s="383"/>
      <c r="X522" s="383"/>
      <c r="Y522" s="383"/>
    </row>
    <row r="523">
      <c r="A523" s="382"/>
      <c r="B523" s="382"/>
      <c r="C523" s="382"/>
      <c r="D523" s="382"/>
      <c r="E523" s="382"/>
      <c r="F523" s="382"/>
      <c r="G523" s="382"/>
      <c r="H523" s="382"/>
      <c r="I523" s="382"/>
      <c r="J523" s="382"/>
      <c r="K523" s="382"/>
      <c r="L523" s="382"/>
      <c r="M523" s="382"/>
      <c r="N523" s="382"/>
      <c r="O523" s="382"/>
      <c r="P523" s="382"/>
      <c r="Q523" s="382"/>
      <c r="R523" s="382"/>
      <c r="S523" s="382"/>
      <c r="T523" s="382"/>
      <c r="U523" s="382"/>
      <c r="V523" s="383"/>
      <c r="W523" s="383"/>
      <c r="X523" s="383"/>
      <c r="Y523" s="383"/>
    </row>
    <row r="524">
      <c r="A524" s="382"/>
      <c r="B524" s="382"/>
      <c r="C524" s="382"/>
      <c r="D524" s="382"/>
      <c r="E524" s="382"/>
      <c r="F524" s="382"/>
      <c r="G524" s="382"/>
      <c r="H524" s="382"/>
      <c r="I524" s="382"/>
      <c r="J524" s="382"/>
      <c r="K524" s="382"/>
      <c r="L524" s="382"/>
      <c r="M524" s="382"/>
      <c r="N524" s="382"/>
      <c r="O524" s="382"/>
      <c r="P524" s="382"/>
      <c r="Q524" s="382"/>
      <c r="R524" s="382"/>
      <c r="S524" s="382"/>
      <c r="T524" s="382"/>
      <c r="U524" s="382"/>
      <c r="V524" s="383"/>
      <c r="W524" s="383"/>
      <c r="X524" s="383"/>
      <c r="Y524" s="383"/>
    </row>
    <row r="525">
      <c r="A525" s="382"/>
      <c r="B525" s="382"/>
      <c r="C525" s="382"/>
      <c r="D525" s="382"/>
      <c r="E525" s="382"/>
      <c r="F525" s="382"/>
      <c r="G525" s="382"/>
      <c r="H525" s="382"/>
      <c r="I525" s="382"/>
      <c r="J525" s="382"/>
      <c r="K525" s="382"/>
      <c r="L525" s="382"/>
      <c r="M525" s="382"/>
      <c r="N525" s="382"/>
      <c r="O525" s="382"/>
      <c r="P525" s="382"/>
      <c r="Q525" s="382"/>
      <c r="R525" s="382"/>
      <c r="S525" s="382"/>
      <c r="T525" s="382"/>
      <c r="U525" s="382"/>
      <c r="V525" s="383"/>
      <c r="W525" s="383"/>
      <c r="X525" s="383"/>
      <c r="Y525" s="383"/>
    </row>
    <row r="526">
      <c r="A526" s="382"/>
      <c r="B526" s="382"/>
      <c r="C526" s="382"/>
      <c r="D526" s="382"/>
      <c r="E526" s="382"/>
      <c r="F526" s="382"/>
      <c r="G526" s="382"/>
      <c r="H526" s="382"/>
      <c r="I526" s="382"/>
      <c r="J526" s="382"/>
      <c r="K526" s="382"/>
      <c r="L526" s="382"/>
      <c r="M526" s="382"/>
      <c r="N526" s="382"/>
      <c r="O526" s="382"/>
      <c r="P526" s="382"/>
      <c r="Q526" s="382"/>
      <c r="R526" s="382"/>
      <c r="S526" s="382"/>
      <c r="T526" s="382"/>
      <c r="U526" s="382"/>
      <c r="V526" s="383"/>
      <c r="W526" s="383"/>
      <c r="X526" s="383"/>
      <c r="Y526" s="383"/>
    </row>
    <row r="527">
      <c r="A527" s="382"/>
      <c r="B527" s="382"/>
      <c r="C527" s="382"/>
      <c r="D527" s="382"/>
      <c r="E527" s="382"/>
      <c r="F527" s="382"/>
      <c r="G527" s="382"/>
      <c r="H527" s="382"/>
      <c r="I527" s="382"/>
      <c r="J527" s="382"/>
      <c r="K527" s="382"/>
      <c r="L527" s="382"/>
      <c r="M527" s="382"/>
      <c r="N527" s="382"/>
      <c r="O527" s="382"/>
      <c r="P527" s="382"/>
      <c r="Q527" s="382"/>
      <c r="R527" s="382"/>
      <c r="S527" s="382"/>
      <c r="T527" s="382"/>
      <c r="U527" s="382"/>
      <c r="V527" s="383"/>
      <c r="W527" s="383"/>
      <c r="X527" s="383"/>
      <c r="Y527" s="383"/>
    </row>
    <row r="528">
      <c r="A528" s="382"/>
      <c r="B528" s="382"/>
      <c r="C528" s="382"/>
      <c r="D528" s="382"/>
      <c r="E528" s="382"/>
      <c r="F528" s="382"/>
      <c r="G528" s="382"/>
      <c r="H528" s="382"/>
      <c r="I528" s="382"/>
      <c r="J528" s="382"/>
      <c r="K528" s="382"/>
      <c r="L528" s="382"/>
      <c r="M528" s="382"/>
      <c r="N528" s="382"/>
      <c r="O528" s="382"/>
      <c r="P528" s="382"/>
      <c r="Q528" s="382"/>
      <c r="R528" s="382"/>
      <c r="S528" s="382"/>
      <c r="T528" s="382"/>
      <c r="U528" s="382"/>
      <c r="V528" s="383"/>
      <c r="W528" s="383"/>
      <c r="X528" s="383"/>
      <c r="Y528" s="383"/>
    </row>
    <row r="529">
      <c r="A529" s="382"/>
      <c r="B529" s="382"/>
      <c r="C529" s="382"/>
      <c r="D529" s="382"/>
      <c r="E529" s="382"/>
      <c r="F529" s="382"/>
      <c r="G529" s="382"/>
      <c r="H529" s="382"/>
      <c r="I529" s="382"/>
      <c r="J529" s="382"/>
      <c r="K529" s="382"/>
      <c r="L529" s="382"/>
      <c r="M529" s="382"/>
      <c r="N529" s="382"/>
      <c r="O529" s="382"/>
      <c r="P529" s="382"/>
      <c r="Q529" s="382"/>
      <c r="R529" s="382"/>
      <c r="S529" s="382"/>
      <c r="T529" s="382"/>
      <c r="U529" s="382"/>
      <c r="V529" s="383"/>
      <c r="W529" s="383"/>
      <c r="X529" s="383"/>
      <c r="Y529" s="383"/>
    </row>
    <row r="530">
      <c r="A530" s="382"/>
      <c r="B530" s="382"/>
      <c r="C530" s="382"/>
      <c r="D530" s="382"/>
      <c r="E530" s="382"/>
      <c r="F530" s="382"/>
      <c r="G530" s="382"/>
      <c r="H530" s="382"/>
      <c r="I530" s="382"/>
      <c r="J530" s="382"/>
      <c r="K530" s="382"/>
      <c r="L530" s="382"/>
      <c r="M530" s="382"/>
      <c r="N530" s="382"/>
      <c r="O530" s="382"/>
      <c r="P530" s="382"/>
      <c r="Q530" s="382"/>
      <c r="R530" s="382"/>
      <c r="S530" s="382"/>
      <c r="T530" s="382"/>
      <c r="U530" s="382"/>
      <c r="V530" s="383"/>
      <c r="W530" s="383"/>
      <c r="X530" s="383"/>
      <c r="Y530" s="383"/>
    </row>
    <row r="531">
      <c r="A531" s="382"/>
      <c r="B531" s="382"/>
      <c r="C531" s="382"/>
      <c r="D531" s="382"/>
      <c r="E531" s="382"/>
      <c r="F531" s="382"/>
      <c r="G531" s="382"/>
      <c r="H531" s="382"/>
      <c r="I531" s="382"/>
      <c r="J531" s="382"/>
      <c r="K531" s="382"/>
      <c r="L531" s="382"/>
      <c r="M531" s="382"/>
      <c r="N531" s="382"/>
      <c r="O531" s="382"/>
      <c r="P531" s="382"/>
      <c r="Q531" s="382"/>
      <c r="R531" s="382"/>
      <c r="S531" s="382"/>
      <c r="T531" s="382"/>
      <c r="U531" s="382"/>
      <c r="V531" s="383"/>
      <c r="W531" s="383"/>
      <c r="X531" s="383"/>
      <c r="Y531" s="383"/>
    </row>
    <row r="532">
      <c r="A532" s="382"/>
      <c r="B532" s="382"/>
      <c r="C532" s="382"/>
      <c r="D532" s="382"/>
      <c r="E532" s="382"/>
      <c r="F532" s="382"/>
      <c r="G532" s="382"/>
      <c r="H532" s="382"/>
      <c r="I532" s="382"/>
      <c r="J532" s="382"/>
      <c r="K532" s="382"/>
      <c r="L532" s="382"/>
      <c r="M532" s="382"/>
      <c r="N532" s="382"/>
      <c r="O532" s="382"/>
      <c r="P532" s="382"/>
      <c r="Q532" s="382"/>
      <c r="R532" s="382"/>
      <c r="S532" s="382"/>
      <c r="T532" s="382"/>
      <c r="U532" s="382"/>
      <c r="V532" s="383"/>
      <c r="W532" s="383"/>
      <c r="X532" s="383"/>
      <c r="Y532" s="383"/>
    </row>
    <row r="533">
      <c r="A533" s="382"/>
      <c r="B533" s="382"/>
      <c r="C533" s="382"/>
      <c r="D533" s="382"/>
      <c r="E533" s="382"/>
      <c r="F533" s="382"/>
      <c r="G533" s="382"/>
      <c r="H533" s="382"/>
      <c r="I533" s="382"/>
      <c r="J533" s="382"/>
      <c r="K533" s="382"/>
      <c r="L533" s="382"/>
      <c r="M533" s="382"/>
      <c r="N533" s="382"/>
      <c r="O533" s="382"/>
      <c r="P533" s="382"/>
      <c r="Q533" s="382"/>
      <c r="R533" s="382"/>
      <c r="S533" s="382"/>
      <c r="T533" s="382"/>
      <c r="U533" s="382"/>
      <c r="V533" s="383"/>
      <c r="W533" s="383"/>
      <c r="X533" s="383"/>
      <c r="Y533" s="383"/>
    </row>
    <row r="534">
      <c r="A534" s="382"/>
      <c r="B534" s="382"/>
      <c r="C534" s="382"/>
      <c r="D534" s="382"/>
      <c r="E534" s="382"/>
      <c r="F534" s="382"/>
      <c r="G534" s="382"/>
      <c r="H534" s="382"/>
      <c r="I534" s="382"/>
      <c r="J534" s="382"/>
      <c r="K534" s="382"/>
      <c r="L534" s="382"/>
      <c r="M534" s="382"/>
      <c r="N534" s="382"/>
      <c r="O534" s="382"/>
      <c r="P534" s="382"/>
      <c r="Q534" s="382"/>
      <c r="R534" s="382"/>
      <c r="S534" s="382"/>
      <c r="T534" s="382"/>
      <c r="U534" s="382"/>
      <c r="V534" s="383"/>
      <c r="W534" s="383"/>
      <c r="X534" s="383"/>
      <c r="Y534" s="383"/>
    </row>
    <row r="535">
      <c r="A535" s="382"/>
      <c r="B535" s="382"/>
      <c r="C535" s="382"/>
      <c r="D535" s="382"/>
      <c r="E535" s="382"/>
      <c r="F535" s="382"/>
      <c r="G535" s="382"/>
      <c r="H535" s="382"/>
      <c r="I535" s="382"/>
      <c r="J535" s="382"/>
      <c r="K535" s="382"/>
      <c r="L535" s="382"/>
      <c r="M535" s="382"/>
      <c r="N535" s="382"/>
      <c r="O535" s="382"/>
      <c r="P535" s="382"/>
      <c r="Q535" s="382"/>
      <c r="R535" s="382"/>
      <c r="S535" s="382"/>
      <c r="T535" s="382"/>
      <c r="U535" s="382"/>
      <c r="V535" s="383"/>
      <c r="W535" s="383"/>
      <c r="X535" s="383"/>
      <c r="Y535" s="383"/>
    </row>
    <row r="536">
      <c r="A536" s="382"/>
      <c r="B536" s="382"/>
      <c r="C536" s="382"/>
      <c r="D536" s="382"/>
      <c r="E536" s="382"/>
      <c r="F536" s="382"/>
      <c r="G536" s="382"/>
      <c r="H536" s="382"/>
      <c r="I536" s="382"/>
      <c r="J536" s="382"/>
      <c r="K536" s="382"/>
      <c r="L536" s="382"/>
      <c r="M536" s="382"/>
      <c r="N536" s="382"/>
      <c r="O536" s="382"/>
      <c r="P536" s="382"/>
      <c r="Q536" s="382"/>
      <c r="R536" s="382"/>
      <c r="S536" s="382"/>
      <c r="T536" s="382"/>
      <c r="U536" s="382"/>
      <c r="V536" s="383"/>
      <c r="W536" s="383"/>
      <c r="X536" s="383"/>
      <c r="Y536" s="383"/>
    </row>
    <row r="537">
      <c r="A537" s="382"/>
      <c r="B537" s="382"/>
      <c r="C537" s="382"/>
      <c r="D537" s="382"/>
      <c r="E537" s="382"/>
      <c r="F537" s="382"/>
      <c r="G537" s="382"/>
      <c r="H537" s="382"/>
      <c r="I537" s="382"/>
      <c r="J537" s="382"/>
      <c r="K537" s="382"/>
      <c r="L537" s="382"/>
      <c r="M537" s="382"/>
      <c r="N537" s="382"/>
      <c r="O537" s="382"/>
      <c r="P537" s="382"/>
      <c r="Q537" s="382"/>
      <c r="R537" s="382"/>
      <c r="S537" s="382"/>
      <c r="T537" s="382"/>
      <c r="U537" s="382"/>
      <c r="V537" s="383"/>
      <c r="W537" s="383"/>
      <c r="X537" s="383"/>
      <c r="Y537" s="383"/>
    </row>
    <row r="538">
      <c r="A538" s="382"/>
      <c r="B538" s="382"/>
      <c r="C538" s="382"/>
      <c r="D538" s="382"/>
      <c r="E538" s="382"/>
      <c r="F538" s="382"/>
      <c r="G538" s="382"/>
      <c r="H538" s="382"/>
      <c r="I538" s="382"/>
      <c r="J538" s="382"/>
      <c r="K538" s="382"/>
      <c r="L538" s="382"/>
      <c r="M538" s="382"/>
      <c r="N538" s="382"/>
      <c r="O538" s="382"/>
      <c r="P538" s="382"/>
      <c r="Q538" s="382"/>
      <c r="R538" s="382"/>
      <c r="S538" s="382"/>
      <c r="T538" s="382"/>
      <c r="U538" s="382"/>
      <c r="V538" s="383"/>
      <c r="W538" s="383"/>
      <c r="X538" s="383"/>
      <c r="Y538" s="383"/>
    </row>
    <row r="539">
      <c r="A539" s="382"/>
      <c r="B539" s="382"/>
      <c r="C539" s="382"/>
      <c r="D539" s="382"/>
      <c r="E539" s="382"/>
      <c r="F539" s="382"/>
      <c r="G539" s="382"/>
      <c r="H539" s="382"/>
      <c r="I539" s="382"/>
      <c r="J539" s="382"/>
      <c r="K539" s="382"/>
      <c r="L539" s="382"/>
      <c r="M539" s="382"/>
      <c r="N539" s="382"/>
      <c r="O539" s="382"/>
      <c r="P539" s="382"/>
      <c r="Q539" s="382"/>
      <c r="R539" s="382"/>
      <c r="S539" s="382"/>
      <c r="T539" s="382"/>
      <c r="U539" s="382"/>
      <c r="V539" s="383"/>
      <c r="W539" s="383"/>
      <c r="X539" s="383"/>
      <c r="Y539" s="383"/>
    </row>
    <row r="540">
      <c r="A540" s="382"/>
      <c r="B540" s="382"/>
      <c r="C540" s="382"/>
      <c r="D540" s="382"/>
      <c r="E540" s="382"/>
      <c r="F540" s="382"/>
      <c r="G540" s="382"/>
      <c r="H540" s="382"/>
      <c r="I540" s="382"/>
      <c r="J540" s="382"/>
      <c r="K540" s="382"/>
      <c r="L540" s="382"/>
      <c r="M540" s="382"/>
      <c r="N540" s="382"/>
      <c r="O540" s="382"/>
      <c r="P540" s="382"/>
      <c r="Q540" s="382"/>
      <c r="R540" s="382"/>
      <c r="S540" s="382"/>
      <c r="T540" s="382"/>
      <c r="U540" s="382"/>
      <c r="V540" s="383"/>
      <c r="W540" s="383"/>
      <c r="X540" s="383"/>
      <c r="Y540" s="383"/>
    </row>
    <row r="541">
      <c r="A541" s="382"/>
      <c r="B541" s="382"/>
      <c r="C541" s="382"/>
      <c r="D541" s="382"/>
      <c r="E541" s="382"/>
      <c r="F541" s="382"/>
      <c r="G541" s="382"/>
      <c r="H541" s="382"/>
      <c r="I541" s="382"/>
      <c r="J541" s="382"/>
      <c r="K541" s="382"/>
      <c r="L541" s="382"/>
      <c r="M541" s="382"/>
      <c r="N541" s="382"/>
      <c r="O541" s="382"/>
      <c r="P541" s="382"/>
      <c r="Q541" s="382"/>
      <c r="R541" s="382"/>
      <c r="S541" s="382"/>
      <c r="T541" s="382"/>
      <c r="U541" s="382"/>
      <c r="V541" s="383"/>
      <c r="W541" s="383"/>
      <c r="X541" s="383"/>
      <c r="Y541" s="383"/>
    </row>
    <row r="542">
      <c r="A542" s="382"/>
      <c r="B542" s="382"/>
      <c r="C542" s="382"/>
      <c r="D542" s="382"/>
      <c r="E542" s="382"/>
      <c r="F542" s="382"/>
      <c r="G542" s="382"/>
      <c r="H542" s="382"/>
      <c r="I542" s="382"/>
      <c r="J542" s="382"/>
      <c r="K542" s="382"/>
      <c r="L542" s="382"/>
      <c r="M542" s="382"/>
      <c r="N542" s="382"/>
      <c r="O542" s="382"/>
      <c r="P542" s="382"/>
      <c r="Q542" s="382"/>
      <c r="R542" s="382"/>
      <c r="S542" s="382"/>
      <c r="T542" s="382"/>
      <c r="U542" s="382"/>
      <c r="V542" s="383"/>
      <c r="W542" s="383"/>
      <c r="X542" s="383"/>
      <c r="Y542" s="383"/>
    </row>
    <row r="543">
      <c r="A543" s="382"/>
      <c r="B543" s="382"/>
      <c r="C543" s="382"/>
      <c r="D543" s="382"/>
      <c r="E543" s="382"/>
      <c r="F543" s="382"/>
      <c r="G543" s="382"/>
      <c r="H543" s="382"/>
      <c r="I543" s="382"/>
      <c r="J543" s="382"/>
      <c r="K543" s="382"/>
      <c r="L543" s="382"/>
      <c r="M543" s="382"/>
      <c r="N543" s="382"/>
      <c r="O543" s="382"/>
      <c r="P543" s="382"/>
      <c r="Q543" s="382"/>
      <c r="R543" s="382"/>
      <c r="S543" s="382"/>
      <c r="T543" s="382"/>
      <c r="U543" s="382"/>
      <c r="V543" s="383"/>
      <c r="W543" s="383"/>
      <c r="X543" s="383"/>
      <c r="Y543" s="383"/>
    </row>
    <row r="544">
      <c r="A544" s="382"/>
      <c r="B544" s="382"/>
      <c r="C544" s="382"/>
      <c r="D544" s="382"/>
      <c r="E544" s="382"/>
      <c r="F544" s="382"/>
      <c r="G544" s="382"/>
      <c r="H544" s="382"/>
      <c r="I544" s="382"/>
      <c r="J544" s="382"/>
      <c r="K544" s="382"/>
      <c r="L544" s="382"/>
      <c r="M544" s="382"/>
      <c r="N544" s="382"/>
      <c r="O544" s="382"/>
      <c r="P544" s="382"/>
      <c r="Q544" s="382"/>
      <c r="R544" s="382"/>
      <c r="S544" s="382"/>
      <c r="T544" s="382"/>
      <c r="U544" s="382"/>
      <c r="V544" s="383"/>
      <c r="W544" s="383"/>
      <c r="X544" s="383"/>
      <c r="Y544" s="383"/>
    </row>
    <row r="545">
      <c r="A545" s="382"/>
      <c r="B545" s="382"/>
      <c r="C545" s="382"/>
      <c r="D545" s="382"/>
      <c r="E545" s="382"/>
      <c r="F545" s="382"/>
      <c r="G545" s="382"/>
      <c r="H545" s="382"/>
      <c r="I545" s="382"/>
      <c r="J545" s="382"/>
      <c r="K545" s="382"/>
      <c r="L545" s="382"/>
      <c r="M545" s="382"/>
      <c r="N545" s="382"/>
      <c r="O545" s="382"/>
      <c r="P545" s="382"/>
      <c r="Q545" s="382"/>
      <c r="R545" s="382"/>
      <c r="S545" s="382"/>
      <c r="T545" s="382"/>
      <c r="U545" s="382"/>
      <c r="V545" s="383"/>
      <c r="W545" s="383"/>
      <c r="X545" s="383"/>
      <c r="Y545" s="383"/>
    </row>
    <row r="546">
      <c r="A546" s="382"/>
      <c r="B546" s="382"/>
      <c r="C546" s="382"/>
      <c r="D546" s="382"/>
      <c r="E546" s="382"/>
      <c r="F546" s="382"/>
      <c r="G546" s="382"/>
      <c r="H546" s="382"/>
      <c r="I546" s="382"/>
      <c r="J546" s="382"/>
      <c r="K546" s="382"/>
      <c r="L546" s="382"/>
      <c r="M546" s="382"/>
      <c r="N546" s="382"/>
      <c r="O546" s="382"/>
      <c r="P546" s="382"/>
      <c r="Q546" s="382"/>
      <c r="R546" s="382"/>
      <c r="S546" s="382"/>
      <c r="T546" s="382"/>
      <c r="U546" s="382"/>
      <c r="V546" s="383"/>
      <c r="W546" s="383"/>
      <c r="X546" s="383"/>
      <c r="Y546" s="383"/>
    </row>
    <row r="547">
      <c r="A547" s="382"/>
      <c r="B547" s="382"/>
      <c r="C547" s="382"/>
      <c r="D547" s="382"/>
      <c r="E547" s="382"/>
      <c r="F547" s="382"/>
      <c r="G547" s="382"/>
      <c r="H547" s="382"/>
      <c r="I547" s="382"/>
      <c r="J547" s="382"/>
      <c r="K547" s="382"/>
      <c r="L547" s="382"/>
      <c r="M547" s="382"/>
      <c r="N547" s="382"/>
      <c r="O547" s="382"/>
      <c r="P547" s="382"/>
      <c r="Q547" s="382"/>
      <c r="R547" s="382"/>
      <c r="S547" s="382"/>
      <c r="T547" s="382"/>
      <c r="U547" s="382"/>
      <c r="V547" s="383"/>
      <c r="W547" s="383"/>
      <c r="X547" s="383"/>
      <c r="Y547" s="383"/>
    </row>
    <row r="548">
      <c r="A548" s="382"/>
      <c r="B548" s="382"/>
      <c r="C548" s="382"/>
      <c r="D548" s="382"/>
      <c r="E548" s="382"/>
      <c r="F548" s="382"/>
      <c r="G548" s="382"/>
      <c r="H548" s="382"/>
      <c r="I548" s="382"/>
      <c r="J548" s="382"/>
      <c r="K548" s="382"/>
      <c r="L548" s="382"/>
      <c r="M548" s="382"/>
      <c r="N548" s="382"/>
      <c r="O548" s="382"/>
      <c r="P548" s="382"/>
      <c r="Q548" s="382"/>
      <c r="R548" s="382"/>
      <c r="S548" s="382"/>
      <c r="T548" s="382"/>
      <c r="U548" s="382"/>
      <c r="V548" s="383"/>
      <c r="W548" s="383"/>
      <c r="X548" s="383"/>
      <c r="Y548" s="383"/>
    </row>
    <row r="549">
      <c r="A549" s="382"/>
      <c r="B549" s="382"/>
      <c r="C549" s="382"/>
      <c r="D549" s="382"/>
      <c r="E549" s="382"/>
      <c r="F549" s="382"/>
      <c r="G549" s="382"/>
      <c r="H549" s="382"/>
      <c r="I549" s="382"/>
      <c r="J549" s="382"/>
      <c r="K549" s="382"/>
      <c r="L549" s="382"/>
      <c r="M549" s="382"/>
      <c r="N549" s="382"/>
      <c r="O549" s="382"/>
      <c r="P549" s="382"/>
      <c r="Q549" s="382"/>
      <c r="R549" s="382"/>
      <c r="S549" s="382"/>
      <c r="T549" s="382"/>
      <c r="U549" s="382"/>
      <c r="V549" s="383"/>
      <c r="W549" s="383"/>
      <c r="X549" s="383"/>
      <c r="Y549" s="383"/>
    </row>
    <row r="550">
      <c r="A550" s="382"/>
      <c r="B550" s="382"/>
      <c r="C550" s="382"/>
      <c r="D550" s="382"/>
      <c r="E550" s="382"/>
      <c r="F550" s="382"/>
      <c r="G550" s="382"/>
      <c r="H550" s="382"/>
      <c r="I550" s="382"/>
      <c r="J550" s="382"/>
      <c r="K550" s="382"/>
      <c r="L550" s="382"/>
      <c r="M550" s="382"/>
      <c r="N550" s="382"/>
      <c r="O550" s="382"/>
      <c r="P550" s="382"/>
      <c r="Q550" s="382"/>
      <c r="R550" s="382"/>
      <c r="S550" s="382"/>
      <c r="T550" s="382"/>
      <c r="U550" s="382"/>
      <c r="V550" s="383"/>
      <c r="W550" s="383"/>
      <c r="X550" s="383"/>
      <c r="Y550" s="383"/>
    </row>
    <row r="551">
      <c r="A551" s="382"/>
      <c r="B551" s="382"/>
      <c r="C551" s="382"/>
      <c r="D551" s="382"/>
      <c r="E551" s="382"/>
      <c r="F551" s="382"/>
      <c r="G551" s="382"/>
      <c r="H551" s="382"/>
      <c r="I551" s="382"/>
      <c r="J551" s="382"/>
      <c r="K551" s="382"/>
      <c r="L551" s="382"/>
      <c r="M551" s="382"/>
      <c r="N551" s="382"/>
      <c r="O551" s="382"/>
      <c r="P551" s="382"/>
      <c r="Q551" s="382"/>
      <c r="R551" s="382"/>
      <c r="S551" s="382"/>
      <c r="T551" s="382"/>
      <c r="U551" s="382"/>
      <c r="V551" s="383"/>
      <c r="W551" s="383"/>
      <c r="X551" s="383"/>
      <c r="Y551" s="383"/>
    </row>
    <row r="552">
      <c r="A552" s="382"/>
      <c r="B552" s="382"/>
      <c r="C552" s="382"/>
      <c r="D552" s="382"/>
      <c r="E552" s="382"/>
      <c r="F552" s="382"/>
      <c r="G552" s="382"/>
      <c r="H552" s="382"/>
      <c r="I552" s="382"/>
      <c r="J552" s="382"/>
      <c r="K552" s="382"/>
      <c r="L552" s="382"/>
      <c r="M552" s="382"/>
      <c r="N552" s="382"/>
      <c r="O552" s="382"/>
      <c r="P552" s="382"/>
      <c r="Q552" s="382"/>
      <c r="R552" s="382"/>
      <c r="S552" s="382"/>
      <c r="T552" s="382"/>
      <c r="U552" s="382"/>
      <c r="V552" s="383"/>
      <c r="W552" s="383"/>
      <c r="X552" s="383"/>
      <c r="Y552" s="383"/>
    </row>
    <row r="553">
      <c r="A553" s="382"/>
      <c r="B553" s="382"/>
      <c r="C553" s="382"/>
      <c r="D553" s="382"/>
      <c r="E553" s="382"/>
      <c r="F553" s="382"/>
      <c r="G553" s="382"/>
      <c r="H553" s="382"/>
      <c r="I553" s="382"/>
      <c r="J553" s="382"/>
      <c r="K553" s="382"/>
      <c r="L553" s="382"/>
      <c r="M553" s="382"/>
      <c r="N553" s="382"/>
      <c r="O553" s="382"/>
      <c r="P553" s="382"/>
      <c r="Q553" s="382"/>
      <c r="R553" s="382"/>
      <c r="S553" s="382"/>
      <c r="T553" s="382"/>
      <c r="U553" s="382"/>
      <c r="V553" s="383"/>
      <c r="W553" s="383"/>
      <c r="X553" s="383"/>
      <c r="Y553" s="383"/>
    </row>
    <row r="554">
      <c r="A554" s="382"/>
      <c r="B554" s="382"/>
      <c r="C554" s="382"/>
      <c r="D554" s="382"/>
      <c r="E554" s="382"/>
      <c r="F554" s="382"/>
      <c r="G554" s="382"/>
      <c r="H554" s="382"/>
      <c r="I554" s="382"/>
      <c r="J554" s="382"/>
      <c r="K554" s="382"/>
      <c r="L554" s="382"/>
      <c r="M554" s="382"/>
      <c r="N554" s="382"/>
      <c r="O554" s="382"/>
      <c r="P554" s="382"/>
      <c r="Q554" s="382"/>
      <c r="R554" s="382"/>
      <c r="S554" s="382"/>
      <c r="T554" s="382"/>
      <c r="U554" s="382"/>
      <c r="V554" s="383"/>
      <c r="W554" s="383"/>
      <c r="X554" s="383"/>
      <c r="Y554" s="383"/>
    </row>
    <row r="555">
      <c r="A555" s="382"/>
      <c r="B555" s="382"/>
      <c r="C555" s="382"/>
      <c r="D555" s="382"/>
      <c r="E555" s="382"/>
      <c r="F555" s="382"/>
      <c r="G555" s="382"/>
      <c r="H555" s="382"/>
      <c r="I555" s="382"/>
      <c r="J555" s="382"/>
      <c r="K555" s="382"/>
      <c r="L555" s="382"/>
      <c r="M555" s="382"/>
      <c r="N555" s="382"/>
      <c r="O555" s="382"/>
      <c r="P555" s="382"/>
      <c r="Q555" s="382"/>
      <c r="R555" s="382"/>
      <c r="S555" s="382"/>
      <c r="T555" s="382"/>
      <c r="U555" s="382"/>
      <c r="V555" s="383"/>
      <c r="W555" s="383"/>
      <c r="X555" s="383"/>
      <c r="Y555" s="383"/>
    </row>
    <row r="556">
      <c r="A556" s="382"/>
      <c r="B556" s="382"/>
      <c r="C556" s="382"/>
      <c r="D556" s="382"/>
      <c r="E556" s="382"/>
      <c r="F556" s="382"/>
      <c r="G556" s="382"/>
      <c r="H556" s="382"/>
      <c r="I556" s="382"/>
      <c r="J556" s="382"/>
      <c r="K556" s="382"/>
      <c r="L556" s="382"/>
      <c r="M556" s="382"/>
      <c r="N556" s="382"/>
      <c r="O556" s="382"/>
      <c r="P556" s="382"/>
      <c r="Q556" s="382"/>
      <c r="R556" s="382"/>
      <c r="S556" s="382"/>
      <c r="T556" s="382"/>
      <c r="U556" s="382"/>
      <c r="V556" s="383"/>
      <c r="W556" s="383"/>
      <c r="X556" s="383"/>
      <c r="Y556" s="383"/>
    </row>
    <row r="557">
      <c r="A557" s="382"/>
      <c r="B557" s="382"/>
      <c r="C557" s="382"/>
      <c r="D557" s="382"/>
      <c r="E557" s="382"/>
      <c r="F557" s="382"/>
      <c r="G557" s="382"/>
      <c r="H557" s="382"/>
      <c r="I557" s="382"/>
      <c r="J557" s="382"/>
      <c r="K557" s="382"/>
      <c r="L557" s="382"/>
      <c r="M557" s="382"/>
      <c r="N557" s="382"/>
      <c r="O557" s="382"/>
      <c r="P557" s="382"/>
      <c r="Q557" s="382"/>
      <c r="R557" s="382"/>
      <c r="S557" s="382"/>
      <c r="T557" s="382"/>
      <c r="U557" s="382"/>
      <c r="V557" s="383"/>
      <c r="W557" s="383"/>
      <c r="X557" s="383"/>
      <c r="Y557" s="383"/>
    </row>
    <row r="558">
      <c r="A558" s="382"/>
      <c r="B558" s="382"/>
      <c r="C558" s="382"/>
      <c r="D558" s="382"/>
      <c r="E558" s="382"/>
      <c r="F558" s="382"/>
      <c r="G558" s="382"/>
      <c r="H558" s="382"/>
      <c r="I558" s="382"/>
      <c r="J558" s="382"/>
      <c r="K558" s="382"/>
      <c r="L558" s="382"/>
      <c r="M558" s="382"/>
      <c r="N558" s="382"/>
      <c r="O558" s="382"/>
      <c r="P558" s="382"/>
      <c r="Q558" s="382"/>
      <c r="R558" s="382"/>
      <c r="S558" s="382"/>
      <c r="T558" s="382"/>
      <c r="U558" s="382"/>
      <c r="V558" s="383"/>
      <c r="W558" s="383"/>
      <c r="X558" s="383"/>
      <c r="Y558" s="383"/>
    </row>
    <row r="559">
      <c r="A559" s="382"/>
      <c r="B559" s="382"/>
      <c r="C559" s="382"/>
      <c r="D559" s="382"/>
      <c r="E559" s="382"/>
      <c r="F559" s="382"/>
      <c r="G559" s="382"/>
      <c r="H559" s="382"/>
      <c r="I559" s="382"/>
      <c r="J559" s="382"/>
      <c r="K559" s="382"/>
      <c r="L559" s="382"/>
      <c r="M559" s="382"/>
      <c r="N559" s="382"/>
      <c r="O559" s="382"/>
      <c r="P559" s="382"/>
      <c r="Q559" s="382"/>
      <c r="R559" s="382"/>
      <c r="S559" s="382"/>
      <c r="T559" s="382"/>
      <c r="U559" s="382"/>
      <c r="V559" s="383"/>
      <c r="W559" s="383"/>
      <c r="X559" s="383"/>
      <c r="Y559" s="383"/>
    </row>
    <row r="560">
      <c r="A560" s="382"/>
      <c r="B560" s="382"/>
      <c r="C560" s="382"/>
      <c r="D560" s="382"/>
      <c r="E560" s="382"/>
      <c r="F560" s="382"/>
      <c r="G560" s="382"/>
      <c r="H560" s="382"/>
      <c r="I560" s="382"/>
      <c r="J560" s="382"/>
      <c r="K560" s="382"/>
      <c r="L560" s="382"/>
      <c r="M560" s="382"/>
      <c r="N560" s="382"/>
      <c r="O560" s="382"/>
      <c r="P560" s="382"/>
      <c r="Q560" s="382"/>
      <c r="R560" s="382"/>
      <c r="S560" s="382"/>
      <c r="T560" s="382"/>
      <c r="U560" s="382"/>
      <c r="V560" s="383"/>
      <c r="W560" s="383"/>
      <c r="X560" s="383"/>
      <c r="Y560" s="383"/>
    </row>
    <row r="561">
      <c r="A561" s="382"/>
      <c r="B561" s="382"/>
      <c r="C561" s="382"/>
      <c r="D561" s="382"/>
      <c r="E561" s="382"/>
      <c r="F561" s="382"/>
      <c r="G561" s="382"/>
      <c r="H561" s="382"/>
      <c r="I561" s="382"/>
      <c r="J561" s="382"/>
      <c r="K561" s="382"/>
      <c r="L561" s="382"/>
      <c r="M561" s="382"/>
      <c r="N561" s="382"/>
      <c r="O561" s="382"/>
      <c r="P561" s="382"/>
      <c r="Q561" s="382"/>
      <c r="R561" s="382"/>
      <c r="S561" s="382"/>
      <c r="T561" s="382"/>
      <c r="U561" s="382"/>
      <c r="V561" s="383"/>
      <c r="W561" s="383"/>
      <c r="X561" s="383"/>
      <c r="Y561" s="383"/>
    </row>
    <row r="562">
      <c r="A562" s="382"/>
      <c r="B562" s="382"/>
      <c r="C562" s="382"/>
      <c r="D562" s="382"/>
      <c r="E562" s="382"/>
      <c r="F562" s="382"/>
      <c r="G562" s="382"/>
      <c r="H562" s="382"/>
      <c r="I562" s="382"/>
      <c r="J562" s="382"/>
      <c r="K562" s="382"/>
      <c r="L562" s="382"/>
      <c r="M562" s="382"/>
      <c r="N562" s="382"/>
      <c r="O562" s="382"/>
      <c r="P562" s="382"/>
      <c r="Q562" s="382"/>
      <c r="R562" s="382"/>
      <c r="S562" s="382"/>
      <c r="T562" s="382"/>
      <c r="U562" s="382"/>
      <c r="V562" s="383"/>
      <c r="W562" s="383"/>
      <c r="X562" s="383"/>
      <c r="Y562" s="383"/>
    </row>
    <row r="563">
      <c r="A563" s="382"/>
      <c r="B563" s="382"/>
      <c r="C563" s="382"/>
      <c r="D563" s="382"/>
      <c r="E563" s="382"/>
      <c r="F563" s="382"/>
      <c r="G563" s="382"/>
      <c r="H563" s="382"/>
      <c r="I563" s="382"/>
      <c r="J563" s="382"/>
      <c r="K563" s="382"/>
      <c r="L563" s="382"/>
      <c r="M563" s="382"/>
      <c r="N563" s="382"/>
      <c r="O563" s="382"/>
      <c r="P563" s="382"/>
      <c r="Q563" s="382"/>
      <c r="R563" s="382"/>
      <c r="S563" s="382"/>
      <c r="T563" s="382"/>
      <c r="U563" s="382"/>
      <c r="V563" s="383"/>
      <c r="W563" s="383"/>
      <c r="X563" s="383"/>
      <c r="Y563" s="383"/>
    </row>
    <row r="564">
      <c r="A564" s="382"/>
      <c r="B564" s="382"/>
      <c r="C564" s="382"/>
      <c r="D564" s="382"/>
      <c r="E564" s="382"/>
      <c r="F564" s="382"/>
      <c r="G564" s="382"/>
      <c r="H564" s="382"/>
      <c r="I564" s="382"/>
      <c r="J564" s="382"/>
      <c r="K564" s="382"/>
      <c r="L564" s="382"/>
      <c r="M564" s="382"/>
      <c r="N564" s="382"/>
      <c r="O564" s="382"/>
      <c r="P564" s="382"/>
      <c r="Q564" s="382"/>
      <c r="R564" s="382"/>
      <c r="S564" s="382"/>
      <c r="T564" s="382"/>
      <c r="U564" s="382"/>
      <c r="V564" s="383"/>
      <c r="W564" s="383"/>
      <c r="X564" s="383"/>
      <c r="Y564" s="383"/>
    </row>
    <row r="565">
      <c r="A565" s="382"/>
      <c r="B565" s="382"/>
      <c r="C565" s="382"/>
      <c r="D565" s="382"/>
      <c r="E565" s="382"/>
      <c r="F565" s="382"/>
      <c r="G565" s="382"/>
      <c r="H565" s="382"/>
      <c r="I565" s="382"/>
      <c r="J565" s="382"/>
      <c r="K565" s="382"/>
      <c r="L565" s="382"/>
      <c r="M565" s="382"/>
      <c r="N565" s="382"/>
      <c r="O565" s="382"/>
      <c r="P565" s="382"/>
      <c r="Q565" s="382"/>
      <c r="R565" s="382"/>
      <c r="S565" s="382"/>
      <c r="T565" s="382"/>
      <c r="U565" s="382"/>
      <c r="V565" s="383"/>
      <c r="W565" s="383"/>
      <c r="X565" s="383"/>
      <c r="Y565" s="383"/>
    </row>
    <row r="566">
      <c r="A566" s="382"/>
      <c r="B566" s="382"/>
      <c r="C566" s="382"/>
      <c r="D566" s="382"/>
      <c r="E566" s="382"/>
      <c r="F566" s="382"/>
      <c r="G566" s="382"/>
      <c r="H566" s="382"/>
      <c r="I566" s="382"/>
      <c r="J566" s="382"/>
      <c r="K566" s="382"/>
      <c r="L566" s="382"/>
      <c r="M566" s="382"/>
      <c r="N566" s="382"/>
      <c r="O566" s="382"/>
      <c r="P566" s="382"/>
      <c r="Q566" s="382"/>
      <c r="R566" s="382"/>
      <c r="S566" s="382"/>
      <c r="T566" s="382"/>
      <c r="U566" s="382"/>
      <c r="V566" s="383"/>
      <c r="W566" s="383"/>
      <c r="X566" s="383"/>
      <c r="Y566" s="383"/>
    </row>
    <row r="567">
      <c r="A567" s="382"/>
      <c r="B567" s="382"/>
      <c r="C567" s="382"/>
      <c r="D567" s="382"/>
      <c r="E567" s="382"/>
      <c r="F567" s="382"/>
      <c r="G567" s="382"/>
      <c r="H567" s="382"/>
      <c r="I567" s="382"/>
      <c r="J567" s="382"/>
      <c r="K567" s="382"/>
      <c r="L567" s="382"/>
      <c r="M567" s="382"/>
      <c r="N567" s="382"/>
      <c r="O567" s="382"/>
      <c r="P567" s="382"/>
      <c r="Q567" s="382"/>
      <c r="R567" s="382"/>
      <c r="S567" s="382"/>
      <c r="T567" s="382"/>
      <c r="U567" s="382"/>
      <c r="V567" s="383"/>
      <c r="W567" s="383"/>
      <c r="X567" s="383"/>
      <c r="Y567" s="383"/>
    </row>
    <row r="568">
      <c r="A568" s="382"/>
      <c r="B568" s="382"/>
      <c r="C568" s="382"/>
      <c r="D568" s="382"/>
      <c r="E568" s="382"/>
      <c r="F568" s="382"/>
      <c r="G568" s="382"/>
      <c r="H568" s="382"/>
      <c r="I568" s="382"/>
      <c r="J568" s="382"/>
      <c r="K568" s="382"/>
      <c r="L568" s="382"/>
      <c r="M568" s="382"/>
      <c r="N568" s="382"/>
      <c r="O568" s="382"/>
      <c r="P568" s="382"/>
      <c r="Q568" s="382"/>
      <c r="R568" s="382"/>
      <c r="S568" s="382"/>
      <c r="T568" s="382"/>
      <c r="U568" s="382"/>
      <c r="V568" s="383"/>
      <c r="W568" s="383"/>
      <c r="X568" s="383"/>
      <c r="Y568" s="383"/>
    </row>
    <row r="569">
      <c r="A569" s="382"/>
      <c r="B569" s="382"/>
      <c r="C569" s="382"/>
      <c r="D569" s="382"/>
      <c r="E569" s="382"/>
      <c r="F569" s="382"/>
      <c r="G569" s="382"/>
      <c r="H569" s="382"/>
      <c r="I569" s="382"/>
      <c r="J569" s="382"/>
      <c r="K569" s="382"/>
      <c r="L569" s="382"/>
      <c r="M569" s="382"/>
      <c r="N569" s="382"/>
      <c r="O569" s="382"/>
      <c r="P569" s="382"/>
      <c r="Q569" s="382"/>
      <c r="R569" s="382"/>
      <c r="S569" s="382"/>
      <c r="T569" s="382"/>
      <c r="U569" s="382"/>
      <c r="V569" s="383"/>
      <c r="W569" s="383"/>
      <c r="X569" s="383"/>
      <c r="Y569" s="383"/>
    </row>
    <row r="570">
      <c r="A570" s="382"/>
      <c r="B570" s="382"/>
      <c r="C570" s="382"/>
      <c r="D570" s="382"/>
      <c r="E570" s="382"/>
      <c r="F570" s="382"/>
      <c r="G570" s="382"/>
      <c r="H570" s="382"/>
      <c r="I570" s="382"/>
      <c r="J570" s="382"/>
      <c r="K570" s="382"/>
      <c r="L570" s="382"/>
      <c r="M570" s="382"/>
      <c r="N570" s="382"/>
      <c r="O570" s="382"/>
      <c r="P570" s="382"/>
      <c r="Q570" s="382"/>
      <c r="R570" s="382"/>
      <c r="S570" s="382"/>
      <c r="T570" s="382"/>
      <c r="U570" s="382"/>
      <c r="V570" s="383"/>
      <c r="W570" s="383"/>
      <c r="X570" s="383"/>
      <c r="Y570" s="383"/>
    </row>
    <row r="571">
      <c r="A571" s="382"/>
      <c r="B571" s="382"/>
      <c r="C571" s="382"/>
      <c r="D571" s="382"/>
      <c r="E571" s="382"/>
      <c r="F571" s="382"/>
      <c r="G571" s="382"/>
      <c r="H571" s="382"/>
      <c r="I571" s="382"/>
      <c r="J571" s="382"/>
      <c r="K571" s="382"/>
      <c r="L571" s="382"/>
      <c r="M571" s="382"/>
      <c r="N571" s="382"/>
      <c r="O571" s="382"/>
      <c r="P571" s="382"/>
      <c r="Q571" s="382"/>
      <c r="R571" s="382"/>
      <c r="S571" s="382"/>
      <c r="T571" s="382"/>
      <c r="U571" s="382"/>
      <c r="V571" s="383"/>
      <c r="W571" s="383"/>
      <c r="X571" s="383"/>
      <c r="Y571" s="383"/>
    </row>
    <row r="572">
      <c r="A572" s="382"/>
      <c r="B572" s="382"/>
      <c r="C572" s="382"/>
      <c r="D572" s="382"/>
      <c r="E572" s="382"/>
      <c r="F572" s="382"/>
      <c r="G572" s="382"/>
      <c r="H572" s="382"/>
      <c r="I572" s="382"/>
      <c r="J572" s="382"/>
      <c r="K572" s="382"/>
      <c r="L572" s="382"/>
      <c r="M572" s="382"/>
      <c r="N572" s="382"/>
      <c r="O572" s="382"/>
      <c r="P572" s="382"/>
      <c r="Q572" s="382"/>
      <c r="R572" s="382"/>
      <c r="S572" s="382"/>
      <c r="T572" s="382"/>
      <c r="U572" s="382"/>
      <c r="V572" s="383"/>
      <c r="W572" s="383"/>
      <c r="X572" s="383"/>
      <c r="Y572" s="383"/>
    </row>
    <row r="573">
      <c r="A573" s="382"/>
      <c r="B573" s="382"/>
      <c r="C573" s="382"/>
      <c r="D573" s="382"/>
      <c r="E573" s="382"/>
      <c r="F573" s="382"/>
      <c r="G573" s="382"/>
      <c r="H573" s="382"/>
      <c r="I573" s="382"/>
      <c r="J573" s="382"/>
      <c r="K573" s="382"/>
      <c r="L573" s="382"/>
      <c r="M573" s="382"/>
      <c r="N573" s="382"/>
      <c r="O573" s="382"/>
      <c r="P573" s="382"/>
      <c r="Q573" s="382"/>
      <c r="R573" s="382"/>
      <c r="S573" s="382"/>
      <c r="T573" s="382"/>
      <c r="U573" s="382"/>
      <c r="V573" s="383"/>
      <c r="W573" s="383"/>
      <c r="X573" s="383"/>
      <c r="Y573" s="383"/>
    </row>
    <row r="574">
      <c r="A574" s="382"/>
      <c r="B574" s="382"/>
      <c r="C574" s="382"/>
      <c r="D574" s="382"/>
      <c r="E574" s="382"/>
      <c r="F574" s="382"/>
      <c r="G574" s="382"/>
      <c r="H574" s="382"/>
      <c r="I574" s="382"/>
      <c r="J574" s="382"/>
      <c r="K574" s="382"/>
      <c r="L574" s="382"/>
      <c r="M574" s="382"/>
      <c r="N574" s="382"/>
      <c r="O574" s="382"/>
      <c r="P574" s="382"/>
      <c r="Q574" s="382"/>
      <c r="R574" s="382"/>
      <c r="S574" s="382"/>
      <c r="T574" s="382"/>
      <c r="U574" s="382"/>
      <c r="V574" s="383"/>
      <c r="W574" s="383"/>
      <c r="X574" s="383"/>
      <c r="Y574" s="383"/>
    </row>
    <row r="575">
      <c r="A575" s="382"/>
      <c r="B575" s="382"/>
      <c r="C575" s="382"/>
      <c r="D575" s="382"/>
      <c r="E575" s="382"/>
      <c r="F575" s="382"/>
      <c r="G575" s="382"/>
      <c r="H575" s="382"/>
      <c r="I575" s="382"/>
      <c r="J575" s="382"/>
      <c r="K575" s="382"/>
      <c r="L575" s="382"/>
      <c r="M575" s="382"/>
      <c r="N575" s="382"/>
      <c r="O575" s="382"/>
      <c r="P575" s="382"/>
      <c r="Q575" s="382"/>
      <c r="R575" s="382"/>
      <c r="S575" s="382"/>
      <c r="T575" s="382"/>
      <c r="U575" s="382"/>
      <c r="V575" s="383"/>
      <c r="W575" s="383"/>
      <c r="X575" s="383"/>
      <c r="Y575" s="383"/>
    </row>
    <row r="576">
      <c r="A576" s="382"/>
      <c r="B576" s="382"/>
      <c r="C576" s="382"/>
      <c r="D576" s="382"/>
      <c r="E576" s="382"/>
      <c r="F576" s="382"/>
      <c r="G576" s="382"/>
      <c r="H576" s="382"/>
      <c r="I576" s="382"/>
      <c r="J576" s="382"/>
      <c r="K576" s="382"/>
      <c r="L576" s="382"/>
      <c r="M576" s="382"/>
      <c r="N576" s="382"/>
      <c r="O576" s="382"/>
      <c r="P576" s="382"/>
      <c r="Q576" s="382"/>
      <c r="R576" s="382"/>
      <c r="S576" s="382"/>
      <c r="T576" s="382"/>
      <c r="U576" s="382"/>
      <c r="V576" s="383"/>
      <c r="W576" s="383"/>
      <c r="X576" s="383"/>
      <c r="Y576" s="383"/>
    </row>
    <row r="577">
      <c r="A577" s="382"/>
      <c r="B577" s="382"/>
      <c r="C577" s="382"/>
      <c r="D577" s="382"/>
      <c r="E577" s="382"/>
      <c r="F577" s="382"/>
      <c r="G577" s="382"/>
      <c r="H577" s="382"/>
      <c r="I577" s="382"/>
      <c r="J577" s="382"/>
      <c r="K577" s="382"/>
      <c r="L577" s="382"/>
      <c r="M577" s="382"/>
      <c r="N577" s="382"/>
      <c r="O577" s="382"/>
      <c r="P577" s="382"/>
      <c r="Q577" s="382"/>
      <c r="R577" s="382"/>
      <c r="S577" s="382"/>
      <c r="T577" s="382"/>
      <c r="U577" s="382"/>
      <c r="V577" s="383"/>
      <c r="W577" s="383"/>
      <c r="X577" s="383"/>
      <c r="Y577" s="383"/>
    </row>
    <row r="578">
      <c r="A578" s="382"/>
      <c r="B578" s="382"/>
      <c r="C578" s="382"/>
      <c r="D578" s="382"/>
      <c r="E578" s="382"/>
      <c r="F578" s="382"/>
      <c r="G578" s="382"/>
      <c r="H578" s="382"/>
      <c r="I578" s="382"/>
      <c r="J578" s="382"/>
      <c r="K578" s="382"/>
      <c r="L578" s="382"/>
      <c r="M578" s="382"/>
      <c r="N578" s="382"/>
      <c r="O578" s="382"/>
      <c r="P578" s="382"/>
      <c r="Q578" s="382"/>
      <c r="R578" s="382"/>
      <c r="S578" s="382"/>
      <c r="T578" s="382"/>
      <c r="U578" s="382"/>
      <c r="V578" s="383"/>
      <c r="W578" s="383"/>
      <c r="X578" s="383"/>
      <c r="Y578" s="383"/>
    </row>
    <row r="579">
      <c r="A579" s="382"/>
      <c r="B579" s="382"/>
      <c r="C579" s="382"/>
      <c r="D579" s="382"/>
      <c r="E579" s="382"/>
      <c r="F579" s="382"/>
      <c r="G579" s="382"/>
      <c r="H579" s="382"/>
      <c r="I579" s="382"/>
      <c r="J579" s="382"/>
      <c r="K579" s="382"/>
      <c r="L579" s="382"/>
      <c r="M579" s="382"/>
      <c r="N579" s="382"/>
      <c r="O579" s="382"/>
      <c r="P579" s="382"/>
      <c r="Q579" s="382"/>
      <c r="R579" s="382"/>
      <c r="S579" s="382"/>
      <c r="T579" s="382"/>
      <c r="U579" s="382"/>
      <c r="V579" s="383"/>
      <c r="W579" s="383"/>
      <c r="X579" s="383"/>
      <c r="Y579" s="383"/>
    </row>
    <row r="580">
      <c r="A580" s="382"/>
      <c r="B580" s="382"/>
      <c r="C580" s="382"/>
      <c r="D580" s="382"/>
      <c r="E580" s="382"/>
      <c r="F580" s="382"/>
      <c r="G580" s="382"/>
      <c r="H580" s="382"/>
      <c r="I580" s="382"/>
      <c r="J580" s="382"/>
      <c r="K580" s="382"/>
      <c r="L580" s="382"/>
      <c r="M580" s="382"/>
      <c r="N580" s="382"/>
      <c r="O580" s="382"/>
      <c r="P580" s="382"/>
      <c r="Q580" s="382"/>
      <c r="R580" s="382"/>
      <c r="S580" s="382"/>
      <c r="T580" s="382"/>
      <c r="U580" s="382"/>
      <c r="V580" s="383"/>
      <c r="W580" s="383"/>
      <c r="X580" s="383"/>
      <c r="Y580" s="383"/>
    </row>
    <row r="581">
      <c r="A581" s="382"/>
      <c r="B581" s="382"/>
      <c r="C581" s="382"/>
      <c r="D581" s="382"/>
      <c r="E581" s="382"/>
      <c r="F581" s="382"/>
      <c r="G581" s="382"/>
      <c r="H581" s="382"/>
      <c r="I581" s="382"/>
      <c r="J581" s="382"/>
      <c r="K581" s="382"/>
      <c r="L581" s="382"/>
      <c r="M581" s="382"/>
      <c r="N581" s="382"/>
      <c r="O581" s="382"/>
      <c r="P581" s="382"/>
      <c r="Q581" s="382"/>
      <c r="R581" s="382"/>
      <c r="S581" s="382"/>
      <c r="T581" s="382"/>
      <c r="U581" s="382"/>
      <c r="V581" s="383"/>
      <c r="W581" s="383"/>
      <c r="X581" s="383"/>
      <c r="Y581" s="383"/>
    </row>
    <row r="582">
      <c r="A582" s="382"/>
      <c r="B582" s="382"/>
      <c r="C582" s="382"/>
      <c r="D582" s="382"/>
      <c r="E582" s="382"/>
      <c r="F582" s="382"/>
      <c r="G582" s="382"/>
      <c r="H582" s="382"/>
      <c r="I582" s="382"/>
      <c r="J582" s="382"/>
      <c r="K582" s="382"/>
      <c r="L582" s="382"/>
      <c r="M582" s="382"/>
      <c r="N582" s="382"/>
      <c r="O582" s="382"/>
      <c r="P582" s="382"/>
      <c r="Q582" s="382"/>
      <c r="R582" s="382"/>
      <c r="S582" s="382"/>
      <c r="T582" s="382"/>
      <c r="U582" s="382"/>
      <c r="V582" s="383"/>
      <c r="W582" s="383"/>
      <c r="X582" s="383"/>
      <c r="Y582" s="383"/>
    </row>
    <row r="583">
      <c r="A583" s="382"/>
      <c r="B583" s="382"/>
      <c r="C583" s="382"/>
      <c r="D583" s="382"/>
      <c r="E583" s="382"/>
      <c r="F583" s="382"/>
      <c r="G583" s="382"/>
      <c r="H583" s="382"/>
      <c r="I583" s="382"/>
      <c r="J583" s="382"/>
      <c r="K583" s="382"/>
      <c r="L583" s="382"/>
      <c r="M583" s="382"/>
      <c r="N583" s="382"/>
      <c r="O583" s="382"/>
      <c r="P583" s="382"/>
      <c r="Q583" s="382"/>
      <c r="R583" s="382"/>
      <c r="S583" s="382"/>
      <c r="T583" s="382"/>
      <c r="U583" s="382"/>
      <c r="V583" s="383"/>
      <c r="W583" s="383"/>
      <c r="X583" s="383"/>
      <c r="Y583" s="383"/>
    </row>
    <row r="584">
      <c r="A584" s="382"/>
      <c r="B584" s="382"/>
      <c r="C584" s="382"/>
      <c r="D584" s="382"/>
      <c r="E584" s="382"/>
      <c r="F584" s="382"/>
      <c r="G584" s="382"/>
      <c r="H584" s="382"/>
      <c r="I584" s="382"/>
      <c r="J584" s="382"/>
      <c r="K584" s="382"/>
      <c r="L584" s="382"/>
      <c r="M584" s="382"/>
      <c r="N584" s="382"/>
      <c r="O584" s="382"/>
      <c r="P584" s="382"/>
      <c r="Q584" s="382"/>
      <c r="R584" s="382"/>
      <c r="S584" s="382"/>
      <c r="T584" s="382"/>
      <c r="U584" s="382"/>
      <c r="V584" s="383"/>
      <c r="W584" s="383"/>
      <c r="X584" s="383"/>
      <c r="Y584" s="383"/>
    </row>
    <row r="585">
      <c r="A585" s="382"/>
      <c r="B585" s="382"/>
      <c r="C585" s="382"/>
      <c r="D585" s="382"/>
      <c r="E585" s="382"/>
      <c r="F585" s="382"/>
      <c r="G585" s="382"/>
      <c r="H585" s="382"/>
      <c r="I585" s="382"/>
      <c r="J585" s="382"/>
      <c r="K585" s="382"/>
      <c r="L585" s="382"/>
      <c r="M585" s="382"/>
      <c r="N585" s="382"/>
      <c r="O585" s="382"/>
      <c r="P585" s="382"/>
      <c r="Q585" s="382"/>
      <c r="R585" s="382"/>
      <c r="S585" s="382"/>
      <c r="T585" s="382"/>
      <c r="U585" s="382"/>
      <c r="V585" s="383"/>
      <c r="W585" s="383"/>
      <c r="X585" s="383"/>
      <c r="Y585" s="383"/>
    </row>
    <row r="586">
      <c r="A586" s="382"/>
      <c r="B586" s="382"/>
      <c r="C586" s="382"/>
      <c r="D586" s="382"/>
      <c r="E586" s="382"/>
      <c r="F586" s="382"/>
      <c r="G586" s="382"/>
      <c r="H586" s="382"/>
      <c r="I586" s="382"/>
      <c r="J586" s="382"/>
      <c r="K586" s="382"/>
      <c r="L586" s="382"/>
      <c r="M586" s="382"/>
      <c r="N586" s="382"/>
      <c r="O586" s="382"/>
      <c r="P586" s="382"/>
      <c r="Q586" s="382"/>
      <c r="R586" s="382"/>
      <c r="S586" s="382"/>
      <c r="T586" s="382"/>
      <c r="U586" s="382"/>
      <c r="V586" s="383"/>
      <c r="W586" s="383"/>
      <c r="X586" s="383"/>
      <c r="Y586" s="383"/>
    </row>
    <row r="587">
      <c r="A587" s="382"/>
      <c r="B587" s="382"/>
      <c r="C587" s="382"/>
      <c r="D587" s="382"/>
      <c r="E587" s="382"/>
      <c r="F587" s="382"/>
      <c r="G587" s="382"/>
      <c r="H587" s="382"/>
      <c r="I587" s="382"/>
      <c r="J587" s="382"/>
      <c r="K587" s="382"/>
      <c r="L587" s="382"/>
      <c r="M587" s="382"/>
      <c r="N587" s="382"/>
      <c r="O587" s="382"/>
      <c r="P587" s="382"/>
      <c r="Q587" s="382"/>
      <c r="R587" s="382"/>
      <c r="S587" s="382"/>
      <c r="T587" s="382"/>
      <c r="U587" s="382"/>
      <c r="V587" s="383"/>
      <c r="W587" s="383"/>
      <c r="X587" s="383"/>
      <c r="Y587" s="383"/>
    </row>
    <row r="588">
      <c r="A588" s="382"/>
      <c r="B588" s="382"/>
      <c r="C588" s="382"/>
      <c r="D588" s="382"/>
      <c r="E588" s="382"/>
      <c r="F588" s="382"/>
      <c r="G588" s="382"/>
      <c r="H588" s="382"/>
      <c r="I588" s="382"/>
      <c r="J588" s="382"/>
      <c r="K588" s="382"/>
      <c r="L588" s="382"/>
      <c r="M588" s="382"/>
      <c r="N588" s="382"/>
      <c r="O588" s="382"/>
      <c r="P588" s="382"/>
      <c r="Q588" s="382"/>
      <c r="R588" s="382"/>
      <c r="S588" s="382"/>
      <c r="T588" s="382"/>
      <c r="U588" s="382"/>
      <c r="V588" s="383"/>
      <c r="W588" s="383"/>
      <c r="X588" s="383"/>
      <c r="Y588" s="383"/>
    </row>
    <row r="589">
      <c r="A589" s="382"/>
      <c r="B589" s="382"/>
      <c r="C589" s="382"/>
      <c r="D589" s="382"/>
      <c r="E589" s="382"/>
      <c r="F589" s="382"/>
      <c r="G589" s="382"/>
      <c r="H589" s="382"/>
      <c r="I589" s="382"/>
      <c r="J589" s="382"/>
      <c r="K589" s="382"/>
      <c r="L589" s="382"/>
      <c r="M589" s="382"/>
      <c r="N589" s="382"/>
      <c r="O589" s="382"/>
      <c r="P589" s="382"/>
      <c r="Q589" s="382"/>
      <c r="R589" s="382"/>
      <c r="S589" s="382"/>
      <c r="T589" s="382"/>
      <c r="U589" s="382"/>
      <c r="V589" s="383"/>
      <c r="W589" s="383"/>
      <c r="X589" s="383"/>
      <c r="Y589" s="383"/>
    </row>
    <row r="590">
      <c r="A590" s="382"/>
      <c r="B590" s="382"/>
      <c r="C590" s="382"/>
      <c r="D590" s="382"/>
      <c r="E590" s="382"/>
      <c r="F590" s="382"/>
      <c r="G590" s="382"/>
      <c r="H590" s="382"/>
      <c r="I590" s="382"/>
      <c r="J590" s="382"/>
      <c r="K590" s="382"/>
      <c r="L590" s="382"/>
      <c r="M590" s="382"/>
      <c r="N590" s="382"/>
      <c r="O590" s="382"/>
      <c r="P590" s="382"/>
      <c r="Q590" s="382"/>
      <c r="R590" s="382"/>
      <c r="S590" s="382"/>
      <c r="T590" s="382"/>
      <c r="U590" s="382"/>
      <c r="V590" s="383"/>
      <c r="W590" s="383"/>
      <c r="X590" s="383"/>
      <c r="Y590" s="383"/>
    </row>
    <row r="591">
      <c r="A591" s="382"/>
      <c r="B591" s="382"/>
      <c r="C591" s="382"/>
      <c r="D591" s="382"/>
      <c r="E591" s="382"/>
      <c r="F591" s="382"/>
      <c r="G591" s="382"/>
      <c r="H591" s="382"/>
      <c r="I591" s="382"/>
      <c r="J591" s="382"/>
      <c r="K591" s="382"/>
      <c r="L591" s="382"/>
      <c r="M591" s="382"/>
      <c r="N591" s="382"/>
      <c r="O591" s="382"/>
      <c r="P591" s="382"/>
      <c r="Q591" s="382"/>
      <c r="R591" s="382"/>
      <c r="S591" s="382"/>
      <c r="T591" s="382"/>
      <c r="U591" s="382"/>
      <c r="V591" s="383"/>
      <c r="W591" s="383"/>
      <c r="X591" s="383"/>
      <c r="Y591" s="383"/>
    </row>
    <row r="592">
      <c r="A592" s="382"/>
      <c r="B592" s="382"/>
      <c r="C592" s="382"/>
      <c r="D592" s="382"/>
      <c r="E592" s="382"/>
      <c r="F592" s="382"/>
      <c r="G592" s="382"/>
      <c r="H592" s="382"/>
      <c r="I592" s="382"/>
      <c r="J592" s="382"/>
      <c r="K592" s="382"/>
      <c r="L592" s="382"/>
      <c r="M592" s="382"/>
      <c r="N592" s="382"/>
      <c r="O592" s="382"/>
      <c r="P592" s="382"/>
      <c r="Q592" s="382"/>
      <c r="R592" s="382"/>
      <c r="S592" s="382"/>
      <c r="T592" s="382"/>
      <c r="U592" s="382"/>
      <c r="V592" s="383"/>
      <c r="W592" s="383"/>
      <c r="X592" s="383"/>
      <c r="Y592" s="383"/>
    </row>
    <row r="593">
      <c r="A593" s="382"/>
      <c r="B593" s="382"/>
      <c r="C593" s="382"/>
      <c r="D593" s="382"/>
      <c r="E593" s="382"/>
      <c r="F593" s="382"/>
      <c r="G593" s="382"/>
      <c r="H593" s="382"/>
      <c r="I593" s="382"/>
      <c r="J593" s="382"/>
      <c r="K593" s="382"/>
      <c r="L593" s="382"/>
      <c r="M593" s="382"/>
      <c r="N593" s="382"/>
      <c r="O593" s="382"/>
      <c r="P593" s="382"/>
      <c r="Q593" s="382"/>
      <c r="R593" s="382"/>
      <c r="S593" s="382"/>
      <c r="T593" s="382"/>
      <c r="U593" s="382"/>
      <c r="V593" s="383"/>
      <c r="W593" s="383"/>
      <c r="X593" s="383"/>
      <c r="Y593" s="383"/>
    </row>
    <row r="594">
      <c r="A594" s="382"/>
      <c r="B594" s="382"/>
      <c r="C594" s="382"/>
      <c r="D594" s="382"/>
      <c r="E594" s="382"/>
      <c r="F594" s="382"/>
      <c r="G594" s="382"/>
      <c r="H594" s="382"/>
      <c r="I594" s="382"/>
      <c r="J594" s="382"/>
      <c r="K594" s="382"/>
      <c r="L594" s="382"/>
      <c r="M594" s="382"/>
      <c r="N594" s="382"/>
      <c r="O594" s="382"/>
      <c r="P594" s="382"/>
      <c r="Q594" s="382"/>
      <c r="R594" s="382"/>
      <c r="S594" s="382"/>
      <c r="T594" s="382"/>
      <c r="U594" s="382"/>
      <c r="V594" s="383"/>
      <c r="W594" s="383"/>
      <c r="X594" s="383"/>
      <c r="Y594" s="383"/>
    </row>
    <row r="595">
      <c r="A595" s="382"/>
      <c r="B595" s="382"/>
      <c r="C595" s="382"/>
      <c r="D595" s="382"/>
      <c r="E595" s="382"/>
      <c r="F595" s="382"/>
      <c r="G595" s="382"/>
      <c r="H595" s="382"/>
      <c r="I595" s="382"/>
      <c r="J595" s="382"/>
      <c r="K595" s="382"/>
      <c r="L595" s="382"/>
      <c r="M595" s="382"/>
      <c r="N595" s="382"/>
      <c r="O595" s="382"/>
      <c r="P595" s="382"/>
      <c r="Q595" s="382"/>
      <c r="R595" s="382"/>
      <c r="S595" s="382"/>
      <c r="T595" s="382"/>
      <c r="U595" s="382"/>
      <c r="V595" s="383"/>
      <c r="W595" s="383"/>
      <c r="X595" s="383"/>
      <c r="Y595" s="383"/>
    </row>
    <row r="596">
      <c r="A596" s="382"/>
      <c r="B596" s="382"/>
      <c r="C596" s="382"/>
      <c r="D596" s="382"/>
      <c r="E596" s="382"/>
      <c r="F596" s="382"/>
      <c r="G596" s="382"/>
      <c r="H596" s="382"/>
      <c r="I596" s="382"/>
      <c r="J596" s="382"/>
      <c r="K596" s="382"/>
      <c r="L596" s="382"/>
      <c r="M596" s="382"/>
      <c r="N596" s="382"/>
      <c r="O596" s="382"/>
      <c r="P596" s="382"/>
      <c r="Q596" s="382"/>
      <c r="R596" s="382"/>
      <c r="S596" s="382"/>
      <c r="T596" s="382"/>
      <c r="U596" s="382"/>
      <c r="V596" s="383"/>
      <c r="W596" s="383"/>
      <c r="X596" s="383"/>
      <c r="Y596" s="383"/>
    </row>
    <row r="597">
      <c r="A597" s="382"/>
      <c r="B597" s="382"/>
      <c r="C597" s="382"/>
      <c r="D597" s="382"/>
      <c r="E597" s="382"/>
      <c r="F597" s="382"/>
      <c r="G597" s="382"/>
      <c r="H597" s="382"/>
      <c r="I597" s="382"/>
      <c r="J597" s="382"/>
      <c r="K597" s="382"/>
      <c r="L597" s="382"/>
      <c r="M597" s="382"/>
      <c r="N597" s="382"/>
      <c r="O597" s="382"/>
      <c r="P597" s="382"/>
      <c r="Q597" s="382"/>
      <c r="R597" s="382"/>
      <c r="S597" s="382"/>
      <c r="T597" s="382"/>
      <c r="U597" s="382"/>
      <c r="V597" s="383"/>
      <c r="W597" s="383"/>
      <c r="X597" s="383"/>
      <c r="Y597" s="383"/>
    </row>
    <row r="598">
      <c r="A598" s="382"/>
      <c r="B598" s="382"/>
      <c r="C598" s="382"/>
      <c r="D598" s="382"/>
      <c r="E598" s="382"/>
      <c r="F598" s="382"/>
      <c r="G598" s="382"/>
      <c r="H598" s="382"/>
      <c r="I598" s="382"/>
      <c r="J598" s="382"/>
      <c r="K598" s="382"/>
      <c r="L598" s="382"/>
      <c r="M598" s="382"/>
      <c r="N598" s="382"/>
      <c r="O598" s="382"/>
      <c r="P598" s="382"/>
      <c r="Q598" s="382"/>
      <c r="R598" s="382"/>
      <c r="S598" s="382"/>
      <c r="T598" s="382"/>
      <c r="U598" s="382"/>
      <c r="V598" s="383"/>
      <c r="W598" s="383"/>
      <c r="X598" s="383"/>
      <c r="Y598" s="383"/>
    </row>
    <row r="599">
      <c r="A599" s="382"/>
      <c r="B599" s="382"/>
      <c r="C599" s="382"/>
      <c r="D599" s="382"/>
      <c r="E599" s="382"/>
      <c r="F599" s="382"/>
      <c r="G599" s="382"/>
      <c r="H599" s="382"/>
      <c r="I599" s="382"/>
      <c r="J599" s="382"/>
      <c r="K599" s="382"/>
      <c r="L599" s="382"/>
      <c r="M599" s="382"/>
      <c r="N599" s="382"/>
      <c r="O599" s="382"/>
      <c r="P599" s="382"/>
      <c r="Q599" s="382"/>
      <c r="R599" s="382"/>
      <c r="S599" s="382"/>
      <c r="T599" s="382"/>
      <c r="U599" s="382"/>
      <c r="V599" s="383"/>
      <c r="W599" s="383"/>
      <c r="X599" s="383"/>
      <c r="Y599" s="383"/>
    </row>
    <row r="600">
      <c r="A600" s="382"/>
      <c r="B600" s="382"/>
      <c r="C600" s="382"/>
      <c r="D600" s="382"/>
      <c r="E600" s="382"/>
      <c r="F600" s="382"/>
      <c r="G600" s="382"/>
      <c r="H600" s="382"/>
      <c r="I600" s="382"/>
      <c r="J600" s="382"/>
      <c r="K600" s="382"/>
      <c r="L600" s="382"/>
      <c r="M600" s="382"/>
      <c r="N600" s="382"/>
      <c r="O600" s="382"/>
      <c r="P600" s="382"/>
      <c r="Q600" s="382"/>
      <c r="R600" s="382"/>
      <c r="S600" s="382"/>
      <c r="T600" s="382"/>
      <c r="U600" s="382"/>
      <c r="V600" s="383"/>
      <c r="W600" s="383"/>
      <c r="X600" s="383"/>
      <c r="Y600" s="383"/>
    </row>
    <row r="601">
      <c r="A601" s="382"/>
      <c r="B601" s="382"/>
      <c r="C601" s="382"/>
      <c r="D601" s="382"/>
      <c r="E601" s="382"/>
      <c r="F601" s="382"/>
      <c r="G601" s="382"/>
      <c r="H601" s="382"/>
      <c r="I601" s="382"/>
      <c r="J601" s="382"/>
      <c r="K601" s="382"/>
      <c r="L601" s="382"/>
      <c r="M601" s="382"/>
      <c r="N601" s="382"/>
      <c r="O601" s="382"/>
      <c r="P601" s="382"/>
      <c r="Q601" s="382"/>
      <c r="R601" s="382"/>
      <c r="S601" s="382"/>
      <c r="T601" s="382"/>
      <c r="U601" s="382"/>
      <c r="V601" s="383"/>
      <c r="W601" s="383"/>
      <c r="X601" s="383"/>
      <c r="Y601" s="383"/>
    </row>
    <row r="602">
      <c r="A602" s="382"/>
      <c r="B602" s="382"/>
      <c r="C602" s="382"/>
      <c r="D602" s="382"/>
      <c r="E602" s="382"/>
      <c r="F602" s="382"/>
      <c r="G602" s="382"/>
      <c r="H602" s="382"/>
      <c r="I602" s="382"/>
      <c r="J602" s="382"/>
      <c r="K602" s="382"/>
      <c r="L602" s="382"/>
      <c r="M602" s="382"/>
      <c r="N602" s="382"/>
      <c r="O602" s="382"/>
      <c r="P602" s="382"/>
      <c r="Q602" s="382"/>
      <c r="R602" s="382"/>
      <c r="S602" s="382"/>
      <c r="T602" s="382"/>
      <c r="U602" s="382"/>
      <c r="V602" s="383"/>
      <c r="W602" s="383"/>
      <c r="X602" s="383"/>
      <c r="Y602" s="383"/>
    </row>
    <row r="603">
      <c r="A603" s="382"/>
      <c r="B603" s="382"/>
      <c r="C603" s="382"/>
      <c r="D603" s="382"/>
      <c r="E603" s="382"/>
      <c r="F603" s="382"/>
      <c r="G603" s="382"/>
      <c r="H603" s="382"/>
      <c r="I603" s="382"/>
      <c r="J603" s="382"/>
      <c r="K603" s="382"/>
      <c r="L603" s="382"/>
      <c r="M603" s="382"/>
      <c r="N603" s="382"/>
      <c r="O603" s="382"/>
      <c r="P603" s="382"/>
      <c r="Q603" s="382"/>
      <c r="R603" s="382"/>
      <c r="S603" s="382"/>
      <c r="T603" s="382"/>
      <c r="U603" s="382"/>
      <c r="V603" s="383"/>
      <c r="W603" s="383"/>
      <c r="X603" s="383"/>
      <c r="Y603" s="383"/>
    </row>
    <row r="604">
      <c r="A604" s="382"/>
      <c r="B604" s="382"/>
      <c r="C604" s="382"/>
      <c r="D604" s="382"/>
      <c r="E604" s="382"/>
      <c r="F604" s="382"/>
      <c r="G604" s="382"/>
      <c r="H604" s="382"/>
      <c r="I604" s="382"/>
      <c r="J604" s="382"/>
      <c r="K604" s="382"/>
      <c r="L604" s="382"/>
      <c r="M604" s="382"/>
      <c r="N604" s="382"/>
      <c r="O604" s="382"/>
      <c r="P604" s="382"/>
      <c r="Q604" s="382"/>
      <c r="R604" s="382"/>
      <c r="S604" s="382"/>
      <c r="T604" s="382"/>
      <c r="U604" s="382"/>
      <c r="V604" s="383"/>
      <c r="W604" s="383"/>
      <c r="X604" s="383"/>
      <c r="Y604" s="383"/>
    </row>
    <row r="605">
      <c r="A605" s="382"/>
      <c r="B605" s="382"/>
      <c r="C605" s="382"/>
      <c r="D605" s="382"/>
      <c r="E605" s="382"/>
      <c r="F605" s="382"/>
      <c r="G605" s="382"/>
      <c r="H605" s="382"/>
      <c r="I605" s="382"/>
      <c r="J605" s="382"/>
      <c r="K605" s="382"/>
      <c r="L605" s="382"/>
      <c r="M605" s="382"/>
      <c r="N605" s="382"/>
      <c r="O605" s="382"/>
      <c r="P605" s="382"/>
      <c r="Q605" s="382"/>
      <c r="R605" s="382"/>
      <c r="S605" s="382"/>
      <c r="T605" s="382"/>
      <c r="U605" s="382"/>
      <c r="V605" s="383"/>
      <c r="W605" s="383"/>
      <c r="X605" s="383"/>
      <c r="Y605" s="383"/>
    </row>
    <row r="606">
      <c r="A606" s="382"/>
      <c r="B606" s="382"/>
      <c r="C606" s="382"/>
      <c r="D606" s="382"/>
      <c r="E606" s="382"/>
      <c r="F606" s="382"/>
      <c r="G606" s="382"/>
      <c r="H606" s="382"/>
      <c r="I606" s="382"/>
      <c r="J606" s="382"/>
      <c r="K606" s="382"/>
      <c r="L606" s="382"/>
      <c r="M606" s="382"/>
      <c r="N606" s="382"/>
      <c r="O606" s="382"/>
      <c r="P606" s="382"/>
      <c r="Q606" s="382"/>
      <c r="R606" s="382"/>
      <c r="S606" s="382"/>
      <c r="T606" s="382"/>
      <c r="U606" s="382"/>
      <c r="V606" s="383"/>
      <c r="W606" s="383"/>
      <c r="X606" s="383"/>
      <c r="Y606" s="383"/>
    </row>
    <row r="607">
      <c r="A607" s="382"/>
      <c r="B607" s="382"/>
      <c r="C607" s="382"/>
      <c r="D607" s="382"/>
      <c r="E607" s="382"/>
      <c r="F607" s="382"/>
      <c r="G607" s="382"/>
      <c r="H607" s="382"/>
      <c r="I607" s="382"/>
      <c r="J607" s="382"/>
      <c r="K607" s="382"/>
      <c r="L607" s="382"/>
      <c r="M607" s="382"/>
      <c r="N607" s="382"/>
      <c r="O607" s="382"/>
      <c r="P607" s="382"/>
      <c r="Q607" s="382"/>
      <c r="R607" s="382"/>
      <c r="S607" s="382"/>
      <c r="T607" s="382"/>
      <c r="U607" s="382"/>
      <c r="V607" s="383"/>
      <c r="W607" s="383"/>
      <c r="X607" s="383"/>
      <c r="Y607" s="383"/>
    </row>
    <row r="608">
      <c r="A608" s="382"/>
      <c r="B608" s="382"/>
      <c r="C608" s="382"/>
      <c r="D608" s="382"/>
      <c r="E608" s="382"/>
      <c r="F608" s="382"/>
      <c r="G608" s="382"/>
      <c r="H608" s="382"/>
      <c r="I608" s="382"/>
      <c r="J608" s="382"/>
      <c r="K608" s="382"/>
      <c r="L608" s="382"/>
      <c r="M608" s="382"/>
      <c r="N608" s="382"/>
      <c r="O608" s="382"/>
      <c r="P608" s="382"/>
      <c r="Q608" s="382"/>
      <c r="R608" s="382"/>
      <c r="S608" s="382"/>
      <c r="T608" s="382"/>
      <c r="U608" s="382"/>
      <c r="V608" s="383"/>
      <c r="W608" s="383"/>
      <c r="X608" s="383"/>
      <c r="Y608" s="383"/>
    </row>
    <row r="609">
      <c r="A609" s="382"/>
      <c r="B609" s="382"/>
      <c r="C609" s="382"/>
      <c r="D609" s="382"/>
      <c r="E609" s="382"/>
      <c r="F609" s="382"/>
      <c r="G609" s="382"/>
      <c r="H609" s="382"/>
      <c r="I609" s="382"/>
      <c r="J609" s="382"/>
      <c r="K609" s="382"/>
      <c r="L609" s="382"/>
      <c r="M609" s="382"/>
      <c r="N609" s="382"/>
      <c r="O609" s="382"/>
      <c r="P609" s="382"/>
      <c r="Q609" s="382"/>
      <c r="R609" s="382"/>
      <c r="S609" s="382"/>
      <c r="T609" s="382"/>
      <c r="U609" s="382"/>
      <c r="V609" s="383"/>
      <c r="W609" s="383"/>
      <c r="X609" s="383"/>
      <c r="Y609" s="383"/>
    </row>
    <row r="610">
      <c r="A610" s="382"/>
      <c r="B610" s="382"/>
      <c r="C610" s="382"/>
      <c r="D610" s="382"/>
      <c r="E610" s="382"/>
      <c r="F610" s="382"/>
      <c r="G610" s="382"/>
      <c r="H610" s="382"/>
      <c r="I610" s="382"/>
      <c r="J610" s="382"/>
      <c r="K610" s="382"/>
      <c r="L610" s="382"/>
      <c r="M610" s="382"/>
      <c r="N610" s="382"/>
      <c r="O610" s="382"/>
      <c r="P610" s="382"/>
      <c r="Q610" s="382"/>
      <c r="R610" s="382"/>
      <c r="S610" s="382"/>
      <c r="T610" s="382"/>
      <c r="U610" s="382"/>
      <c r="V610" s="383"/>
      <c r="W610" s="383"/>
      <c r="X610" s="383"/>
      <c r="Y610" s="383"/>
    </row>
    <row r="611">
      <c r="A611" s="382"/>
      <c r="B611" s="382"/>
      <c r="C611" s="382"/>
      <c r="D611" s="382"/>
      <c r="E611" s="382"/>
      <c r="F611" s="382"/>
      <c r="G611" s="382"/>
      <c r="H611" s="382"/>
      <c r="I611" s="382"/>
      <c r="J611" s="382"/>
      <c r="K611" s="382"/>
      <c r="L611" s="382"/>
      <c r="M611" s="382"/>
      <c r="N611" s="382"/>
      <c r="O611" s="382"/>
      <c r="P611" s="382"/>
      <c r="Q611" s="382"/>
      <c r="R611" s="382"/>
      <c r="S611" s="382"/>
      <c r="T611" s="382"/>
      <c r="U611" s="382"/>
      <c r="V611" s="383"/>
      <c r="W611" s="383"/>
      <c r="X611" s="383"/>
      <c r="Y611" s="383"/>
    </row>
    <row r="612">
      <c r="A612" s="382"/>
      <c r="B612" s="382"/>
      <c r="C612" s="382"/>
      <c r="D612" s="382"/>
      <c r="E612" s="382"/>
      <c r="F612" s="382"/>
      <c r="G612" s="382"/>
      <c r="H612" s="382"/>
      <c r="I612" s="382"/>
      <c r="J612" s="382"/>
      <c r="K612" s="382"/>
      <c r="L612" s="382"/>
      <c r="M612" s="382"/>
      <c r="N612" s="382"/>
      <c r="O612" s="382"/>
      <c r="P612" s="382"/>
      <c r="Q612" s="382"/>
      <c r="R612" s="382"/>
      <c r="S612" s="382"/>
      <c r="T612" s="382"/>
      <c r="U612" s="382"/>
      <c r="V612" s="383"/>
      <c r="W612" s="383"/>
      <c r="X612" s="383"/>
      <c r="Y612" s="383"/>
    </row>
    <row r="613">
      <c r="A613" s="382"/>
      <c r="B613" s="382"/>
      <c r="C613" s="382"/>
      <c r="D613" s="382"/>
      <c r="E613" s="382"/>
      <c r="F613" s="382"/>
      <c r="G613" s="382"/>
      <c r="H613" s="382"/>
      <c r="I613" s="382"/>
      <c r="J613" s="382"/>
      <c r="K613" s="382"/>
      <c r="L613" s="382"/>
      <c r="M613" s="382"/>
      <c r="N613" s="382"/>
      <c r="O613" s="382"/>
      <c r="P613" s="382"/>
      <c r="Q613" s="382"/>
      <c r="R613" s="382"/>
      <c r="S613" s="382"/>
      <c r="T613" s="382"/>
      <c r="U613" s="382"/>
      <c r="V613" s="383"/>
      <c r="W613" s="383"/>
      <c r="X613" s="383"/>
      <c r="Y613" s="383"/>
    </row>
    <row r="614">
      <c r="A614" s="382"/>
      <c r="B614" s="382"/>
      <c r="C614" s="382"/>
      <c r="D614" s="382"/>
      <c r="E614" s="382"/>
      <c r="F614" s="382"/>
      <c r="G614" s="382"/>
      <c r="H614" s="382"/>
      <c r="I614" s="382"/>
      <c r="J614" s="382"/>
      <c r="K614" s="382"/>
      <c r="L614" s="382"/>
      <c r="M614" s="382"/>
      <c r="N614" s="382"/>
      <c r="O614" s="382"/>
      <c r="P614" s="382"/>
      <c r="Q614" s="382"/>
      <c r="R614" s="382"/>
      <c r="S614" s="382"/>
      <c r="T614" s="382"/>
      <c r="U614" s="382"/>
      <c r="V614" s="383"/>
      <c r="W614" s="383"/>
      <c r="X614" s="383"/>
      <c r="Y614" s="383"/>
    </row>
    <row r="615">
      <c r="A615" s="382"/>
      <c r="B615" s="382"/>
      <c r="C615" s="382"/>
      <c r="D615" s="382"/>
      <c r="E615" s="382"/>
      <c r="F615" s="382"/>
      <c r="G615" s="382"/>
      <c r="H615" s="382"/>
      <c r="I615" s="382"/>
      <c r="J615" s="382"/>
      <c r="K615" s="382"/>
      <c r="L615" s="382"/>
      <c r="M615" s="382"/>
      <c r="N615" s="382"/>
      <c r="O615" s="382"/>
      <c r="P615" s="382"/>
      <c r="Q615" s="382"/>
      <c r="R615" s="382"/>
      <c r="S615" s="382"/>
      <c r="T615" s="382"/>
      <c r="U615" s="382"/>
      <c r="V615" s="383"/>
      <c r="W615" s="383"/>
      <c r="X615" s="383"/>
      <c r="Y615" s="383"/>
    </row>
    <row r="616">
      <c r="A616" s="382"/>
      <c r="B616" s="382"/>
      <c r="C616" s="382"/>
      <c r="D616" s="382"/>
      <c r="E616" s="382"/>
      <c r="F616" s="382"/>
      <c r="G616" s="382"/>
      <c r="H616" s="382"/>
      <c r="I616" s="382"/>
      <c r="J616" s="382"/>
      <c r="K616" s="382"/>
      <c r="L616" s="382"/>
      <c r="M616" s="382"/>
      <c r="N616" s="382"/>
      <c r="O616" s="382"/>
      <c r="P616" s="382"/>
      <c r="Q616" s="382"/>
      <c r="R616" s="382"/>
      <c r="S616" s="382"/>
      <c r="T616" s="382"/>
      <c r="U616" s="382"/>
      <c r="V616" s="383"/>
      <c r="W616" s="383"/>
      <c r="X616" s="383"/>
      <c r="Y616" s="383"/>
    </row>
    <row r="617">
      <c r="A617" s="382"/>
      <c r="B617" s="382"/>
      <c r="C617" s="382"/>
      <c r="D617" s="382"/>
      <c r="E617" s="382"/>
      <c r="F617" s="382"/>
      <c r="G617" s="382"/>
      <c r="H617" s="382"/>
      <c r="I617" s="382"/>
      <c r="J617" s="382"/>
      <c r="K617" s="382"/>
      <c r="L617" s="382"/>
      <c r="M617" s="382"/>
      <c r="N617" s="382"/>
      <c r="O617" s="382"/>
      <c r="P617" s="382"/>
      <c r="Q617" s="382"/>
      <c r="R617" s="382"/>
      <c r="S617" s="382"/>
      <c r="T617" s="382"/>
      <c r="U617" s="382"/>
      <c r="V617" s="383"/>
      <c r="W617" s="383"/>
      <c r="X617" s="383"/>
      <c r="Y617" s="383"/>
    </row>
    <row r="618">
      <c r="A618" s="382"/>
      <c r="B618" s="382"/>
      <c r="C618" s="382"/>
      <c r="D618" s="382"/>
      <c r="E618" s="382"/>
      <c r="F618" s="382"/>
      <c r="G618" s="382"/>
      <c r="H618" s="382"/>
      <c r="I618" s="382"/>
      <c r="J618" s="382"/>
      <c r="K618" s="382"/>
      <c r="L618" s="382"/>
      <c r="M618" s="382"/>
      <c r="N618" s="382"/>
      <c r="O618" s="382"/>
      <c r="P618" s="382"/>
      <c r="Q618" s="382"/>
      <c r="R618" s="382"/>
      <c r="S618" s="382"/>
      <c r="T618" s="382"/>
      <c r="U618" s="382"/>
      <c r="V618" s="383"/>
      <c r="W618" s="383"/>
      <c r="X618" s="383"/>
      <c r="Y618" s="383"/>
    </row>
    <row r="619">
      <c r="A619" s="382"/>
      <c r="B619" s="382"/>
      <c r="C619" s="382"/>
      <c r="D619" s="382"/>
      <c r="E619" s="382"/>
      <c r="F619" s="382"/>
      <c r="G619" s="382"/>
      <c r="H619" s="382"/>
      <c r="I619" s="382"/>
      <c r="J619" s="382"/>
      <c r="K619" s="382"/>
      <c r="L619" s="382"/>
      <c r="M619" s="382"/>
      <c r="N619" s="382"/>
      <c r="O619" s="382"/>
      <c r="P619" s="382"/>
      <c r="Q619" s="382"/>
      <c r="R619" s="382"/>
      <c r="S619" s="382"/>
      <c r="T619" s="382"/>
      <c r="U619" s="382"/>
      <c r="V619" s="383"/>
      <c r="W619" s="383"/>
      <c r="X619" s="383"/>
      <c r="Y619" s="383"/>
    </row>
    <row r="620">
      <c r="A620" s="382"/>
      <c r="B620" s="382"/>
      <c r="C620" s="382"/>
      <c r="D620" s="382"/>
      <c r="E620" s="382"/>
      <c r="F620" s="382"/>
      <c r="G620" s="382"/>
      <c r="H620" s="382"/>
      <c r="I620" s="382"/>
      <c r="J620" s="382"/>
      <c r="K620" s="382"/>
      <c r="L620" s="382"/>
      <c r="M620" s="382"/>
      <c r="N620" s="382"/>
      <c r="O620" s="382"/>
      <c r="P620" s="382"/>
      <c r="Q620" s="382"/>
      <c r="R620" s="382"/>
      <c r="S620" s="382"/>
      <c r="T620" s="382"/>
      <c r="U620" s="382"/>
      <c r="V620" s="383"/>
      <c r="W620" s="383"/>
      <c r="X620" s="383"/>
      <c r="Y620" s="383"/>
    </row>
    <row r="621">
      <c r="A621" s="382"/>
      <c r="B621" s="382"/>
      <c r="C621" s="382"/>
      <c r="D621" s="382"/>
      <c r="E621" s="382"/>
      <c r="F621" s="382"/>
      <c r="G621" s="382"/>
      <c r="H621" s="382"/>
      <c r="I621" s="382"/>
      <c r="J621" s="382"/>
      <c r="K621" s="382"/>
      <c r="L621" s="382"/>
      <c r="M621" s="382"/>
      <c r="N621" s="382"/>
      <c r="O621" s="382"/>
      <c r="P621" s="382"/>
      <c r="Q621" s="382"/>
      <c r="R621" s="382"/>
      <c r="S621" s="382"/>
      <c r="T621" s="382"/>
      <c r="U621" s="382"/>
      <c r="V621" s="383"/>
      <c r="W621" s="383"/>
      <c r="X621" s="383"/>
      <c r="Y621" s="383"/>
    </row>
    <row r="622">
      <c r="A622" s="382"/>
      <c r="B622" s="382"/>
      <c r="C622" s="382"/>
      <c r="D622" s="382"/>
      <c r="E622" s="382"/>
      <c r="F622" s="382"/>
      <c r="G622" s="382"/>
      <c r="H622" s="382"/>
      <c r="I622" s="382"/>
      <c r="J622" s="382"/>
      <c r="K622" s="382"/>
      <c r="L622" s="382"/>
      <c r="M622" s="382"/>
      <c r="N622" s="382"/>
      <c r="O622" s="382"/>
      <c r="P622" s="382"/>
      <c r="Q622" s="382"/>
      <c r="R622" s="382"/>
      <c r="S622" s="382"/>
      <c r="T622" s="382"/>
      <c r="U622" s="382"/>
      <c r="V622" s="383"/>
      <c r="W622" s="383"/>
      <c r="X622" s="383"/>
      <c r="Y622" s="383"/>
    </row>
    <row r="623">
      <c r="A623" s="382"/>
      <c r="B623" s="382"/>
      <c r="C623" s="382"/>
      <c r="D623" s="382"/>
      <c r="E623" s="382"/>
      <c r="F623" s="382"/>
      <c r="G623" s="382"/>
      <c r="H623" s="382"/>
      <c r="I623" s="382"/>
      <c r="J623" s="382"/>
      <c r="K623" s="382"/>
      <c r="L623" s="382"/>
      <c r="M623" s="382"/>
      <c r="N623" s="382"/>
      <c r="O623" s="382"/>
      <c r="P623" s="382"/>
      <c r="Q623" s="382"/>
      <c r="R623" s="382"/>
      <c r="S623" s="382"/>
      <c r="T623" s="382"/>
      <c r="U623" s="382"/>
      <c r="V623" s="383"/>
      <c r="W623" s="383"/>
      <c r="X623" s="383"/>
      <c r="Y623" s="383"/>
    </row>
    <row r="624">
      <c r="A624" s="382"/>
      <c r="B624" s="382"/>
      <c r="C624" s="382"/>
      <c r="D624" s="382"/>
      <c r="E624" s="382"/>
      <c r="F624" s="382"/>
      <c r="G624" s="382"/>
      <c r="H624" s="382"/>
      <c r="I624" s="382"/>
      <c r="J624" s="382"/>
      <c r="K624" s="382"/>
      <c r="L624" s="382"/>
      <c r="M624" s="382"/>
      <c r="N624" s="382"/>
      <c r="O624" s="382"/>
      <c r="P624" s="382"/>
      <c r="Q624" s="382"/>
      <c r="R624" s="382"/>
      <c r="S624" s="382"/>
      <c r="T624" s="382"/>
      <c r="U624" s="382"/>
      <c r="V624" s="383"/>
      <c r="W624" s="383"/>
      <c r="X624" s="383"/>
      <c r="Y624" s="383"/>
    </row>
    <row r="625">
      <c r="A625" s="382"/>
      <c r="B625" s="382"/>
      <c r="C625" s="382"/>
      <c r="D625" s="382"/>
      <c r="E625" s="382"/>
      <c r="F625" s="382"/>
      <c r="G625" s="382"/>
      <c r="H625" s="382"/>
      <c r="I625" s="382"/>
      <c r="J625" s="382"/>
      <c r="K625" s="382"/>
      <c r="L625" s="382"/>
      <c r="M625" s="382"/>
      <c r="N625" s="382"/>
      <c r="O625" s="382"/>
      <c r="P625" s="382"/>
      <c r="Q625" s="382"/>
      <c r="R625" s="382"/>
      <c r="S625" s="382"/>
      <c r="T625" s="382"/>
      <c r="U625" s="382"/>
      <c r="V625" s="383"/>
      <c r="W625" s="383"/>
      <c r="X625" s="383"/>
      <c r="Y625" s="383"/>
    </row>
    <row r="626">
      <c r="A626" s="382"/>
      <c r="B626" s="382"/>
      <c r="C626" s="382"/>
      <c r="D626" s="382"/>
      <c r="E626" s="382"/>
      <c r="F626" s="382"/>
      <c r="G626" s="382"/>
      <c r="H626" s="382"/>
      <c r="I626" s="382"/>
      <c r="J626" s="382"/>
      <c r="K626" s="382"/>
      <c r="L626" s="382"/>
      <c r="M626" s="382"/>
      <c r="N626" s="382"/>
      <c r="O626" s="382"/>
      <c r="P626" s="382"/>
      <c r="Q626" s="382"/>
      <c r="R626" s="382"/>
      <c r="S626" s="382"/>
      <c r="T626" s="382"/>
      <c r="U626" s="382"/>
      <c r="V626" s="383"/>
      <c r="W626" s="383"/>
      <c r="X626" s="383"/>
      <c r="Y626" s="383"/>
    </row>
    <row r="627">
      <c r="A627" s="382"/>
      <c r="B627" s="382"/>
      <c r="C627" s="382"/>
      <c r="D627" s="382"/>
      <c r="E627" s="382"/>
      <c r="F627" s="382"/>
      <c r="G627" s="382"/>
      <c r="H627" s="382"/>
      <c r="I627" s="382"/>
      <c r="J627" s="382"/>
      <c r="K627" s="382"/>
      <c r="L627" s="382"/>
      <c r="M627" s="382"/>
      <c r="N627" s="382"/>
      <c r="O627" s="382"/>
      <c r="P627" s="382"/>
      <c r="Q627" s="382"/>
      <c r="R627" s="382"/>
      <c r="S627" s="382"/>
      <c r="T627" s="382"/>
      <c r="U627" s="382"/>
      <c r="V627" s="383"/>
      <c r="W627" s="383"/>
      <c r="X627" s="383"/>
      <c r="Y627" s="383"/>
    </row>
    <row r="628">
      <c r="A628" s="382"/>
      <c r="B628" s="382"/>
      <c r="C628" s="382"/>
      <c r="D628" s="382"/>
      <c r="E628" s="382"/>
      <c r="F628" s="382"/>
      <c r="G628" s="382"/>
      <c r="H628" s="382"/>
      <c r="I628" s="382"/>
      <c r="J628" s="382"/>
      <c r="K628" s="382"/>
      <c r="L628" s="382"/>
      <c r="M628" s="382"/>
      <c r="N628" s="382"/>
      <c r="O628" s="382"/>
      <c r="P628" s="382"/>
      <c r="Q628" s="382"/>
      <c r="R628" s="382"/>
      <c r="S628" s="382"/>
      <c r="T628" s="382"/>
      <c r="U628" s="382"/>
      <c r="V628" s="383"/>
      <c r="W628" s="383"/>
      <c r="X628" s="383"/>
      <c r="Y628" s="383"/>
    </row>
    <row r="629">
      <c r="A629" s="382"/>
      <c r="B629" s="382"/>
      <c r="C629" s="382"/>
      <c r="D629" s="382"/>
      <c r="E629" s="382"/>
      <c r="F629" s="382"/>
      <c r="G629" s="382"/>
      <c r="H629" s="382"/>
      <c r="I629" s="382"/>
      <c r="J629" s="382"/>
      <c r="K629" s="382"/>
      <c r="L629" s="382"/>
      <c r="M629" s="382"/>
      <c r="N629" s="382"/>
      <c r="O629" s="382"/>
      <c r="P629" s="382"/>
      <c r="Q629" s="382"/>
      <c r="R629" s="382"/>
      <c r="S629" s="382"/>
      <c r="T629" s="382"/>
      <c r="U629" s="382"/>
      <c r="V629" s="383"/>
      <c r="W629" s="383"/>
      <c r="X629" s="383"/>
      <c r="Y629" s="383"/>
    </row>
    <row r="630">
      <c r="A630" s="382"/>
      <c r="B630" s="382"/>
      <c r="C630" s="382"/>
      <c r="D630" s="382"/>
      <c r="E630" s="382"/>
      <c r="F630" s="382"/>
      <c r="G630" s="382"/>
      <c r="H630" s="382"/>
      <c r="I630" s="382"/>
      <c r="J630" s="382"/>
      <c r="K630" s="382"/>
      <c r="L630" s="382"/>
      <c r="M630" s="382"/>
      <c r="N630" s="382"/>
      <c r="O630" s="382"/>
      <c r="P630" s="382"/>
      <c r="Q630" s="382"/>
      <c r="R630" s="382"/>
      <c r="S630" s="382"/>
      <c r="T630" s="382"/>
      <c r="U630" s="382"/>
      <c r="V630" s="383"/>
      <c r="W630" s="383"/>
      <c r="X630" s="383"/>
      <c r="Y630" s="383"/>
    </row>
    <row r="631">
      <c r="A631" s="382"/>
      <c r="B631" s="382"/>
      <c r="C631" s="382"/>
      <c r="D631" s="382"/>
      <c r="E631" s="382"/>
      <c r="F631" s="382"/>
      <c r="G631" s="382"/>
      <c r="H631" s="382"/>
      <c r="I631" s="382"/>
      <c r="J631" s="382"/>
      <c r="K631" s="382"/>
      <c r="L631" s="382"/>
      <c r="M631" s="382"/>
      <c r="N631" s="382"/>
      <c r="O631" s="382"/>
      <c r="P631" s="382"/>
      <c r="Q631" s="382"/>
      <c r="R631" s="382"/>
      <c r="S631" s="382"/>
      <c r="T631" s="382"/>
      <c r="U631" s="382"/>
      <c r="V631" s="383"/>
      <c r="W631" s="383"/>
      <c r="X631" s="383"/>
      <c r="Y631" s="383"/>
    </row>
    <row r="632">
      <c r="A632" s="382"/>
      <c r="B632" s="382"/>
      <c r="C632" s="382"/>
      <c r="D632" s="382"/>
      <c r="E632" s="382"/>
      <c r="F632" s="382"/>
      <c r="G632" s="382"/>
      <c r="H632" s="382"/>
      <c r="I632" s="382"/>
      <c r="J632" s="382"/>
      <c r="K632" s="382"/>
      <c r="L632" s="382"/>
      <c r="M632" s="382"/>
      <c r="N632" s="382"/>
      <c r="O632" s="382"/>
      <c r="P632" s="382"/>
      <c r="Q632" s="382"/>
      <c r="R632" s="382"/>
      <c r="S632" s="382"/>
      <c r="T632" s="382"/>
      <c r="U632" s="382"/>
      <c r="V632" s="383"/>
      <c r="W632" s="383"/>
      <c r="X632" s="383"/>
      <c r="Y632" s="383"/>
    </row>
    <row r="633">
      <c r="A633" s="382"/>
      <c r="B633" s="382"/>
      <c r="C633" s="382"/>
      <c r="D633" s="382"/>
      <c r="E633" s="382"/>
      <c r="F633" s="382"/>
      <c r="G633" s="382"/>
      <c r="H633" s="382"/>
      <c r="I633" s="382"/>
      <c r="J633" s="382"/>
      <c r="K633" s="382"/>
      <c r="L633" s="382"/>
      <c r="M633" s="382"/>
      <c r="N633" s="382"/>
      <c r="O633" s="382"/>
      <c r="P633" s="382"/>
      <c r="Q633" s="382"/>
      <c r="R633" s="382"/>
      <c r="S633" s="382"/>
      <c r="T633" s="382"/>
      <c r="U633" s="382"/>
      <c r="V633" s="383"/>
      <c r="W633" s="383"/>
      <c r="X633" s="383"/>
      <c r="Y633" s="383"/>
    </row>
    <row r="634">
      <c r="A634" s="382"/>
      <c r="B634" s="382"/>
      <c r="C634" s="382"/>
      <c r="D634" s="382"/>
      <c r="E634" s="382"/>
      <c r="F634" s="382"/>
      <c r="G634" s="382"/>
      <c r="H634" s="382"/>
      <c r="I634" s="382"/>
      <c r="J634" s="382"/>
      <c r="K634" s="382"/>
      <c r="L634" s="382"/>
      <c r="M634" s="382"/>
      <c r="N634" s="382"/>
      <c r="O634" s="382"/>
      <c r="P634" s="382"/>
      <c r="Q634" s="382"/>
      <c r="R634" s="382"/>
      <c r="S634" s="382"/>
      <c r="T634" s="382"/>
      <c r="U634" s="382"/>
      <c r="V634" s="383"/>
      <c r="W634" s="383"/>
      <c r="X634" s="383"/>
      <c r="Y634" s="383"/>
    </row>
    <row r="635">
      <c r="A635" s="382"/>
      <c r="B635" s="382"/>
      <c r="C635" s="382"/>
      <c r="D635" s="382"/>
      <c r="E635" s="382"/>
      <c r="F635" s="382"/>
      <c r="G635" s="382"/>
      <c r="H635" s="382"/>
      <c r="I635" s="382"/>
      <c r="J635" s="382"/>
      <c r="K635" s="382"/>
      <c r="L635" s="382"/>
      <c r="M635" s="382"/>
      <c r="N635" s="382"/>
      <c r="O635" s="382"/>
      <c r="P635" s="382"/>
      <c r="Q635" s="382"/>
      <c r="R635" s="382"/>
      <c r="S635" s="382"/>
      <c r="T635" s="382"/>
      <c r="U635" s="382"/>
      <c r="V635" s="383"/>
      <c r="W635" s="383"/>
      <c r="X635" s="383"/>
      <c r="Y635" s="383"/>
    </row>
    <row r="636">
      <c r="A636" s="382"/>
      <c r="B636" s="382"/>
      <c r="C636" s="382"/>
      <c r="D636" s="382"/>
      <c r="E636" s="382"/>
      <c r="F636" s="382"/>
      <c r="G636" s="382"/>
      <c r="H636" s="382"/>
      <c r="I636" s="382"/>
      <c r="J636" s="382"/>
      <c r="K636" s="382"/>
      <c r="L636" s="382"/>
      <c r="M636" s="382"/>
      <c r="N636" s="382"/>
      <c r="O636" s="382"/>
      <c r="P636" s="382"/>
      <c r="Q636" s="382"/>
      <c r="R636" s="382"/>
      <c r="S636" s="382"/>
      <c r="T636" s="382"/>
      <c r="U636" s="382"/>
      <c r="V636" s="383"/>
      <c r="W636" s="383"/>
      <c r="X636" s="383"/>
      <c r="Y636" s="383"/>
    </row>
    <row r="637">
      <c r="A637" s="382"/>
      <c r="B637" s="382"/>
      <c r="C637" s="382"/>
      <c r="D637" s="382"/>
      <c r="E637" s="382"/>
      <c r="F637" s="382"/>
      <c r="G637" s="382"/>
      <c r="H637" s="382"/>
      <c r="I637" s="382"/>
      <c r="J637" s="382"/>
      <c r="K637" s="382"/>
      <c r="L637" s="382"/>
      <c r="M637" s="382"/>
      <c r="N637" s="382"/>
      <c r="O637" s="382"/>
      <c r="P637" s="382"/>
      <c r="Q637" s="382"/>
      <c r="R637" s="382"/>
      <c r="S637" s="382"/>
      <c r="T637" s="382"/>
      <c r="U637" s="382"/>
      <c r="V637" s="383"/>
      <c r="W637" s="383"/>
      <c r="X637" s="383"/>
      <c r="Y637" s="383"/>
    </row>
    <row r="638">
      <c r="A638" s="382"/>
      <c r="B638" s="382"/>
      <c r="C638" s="382"/>
      <c r="D638" s="382"/>
      <c r="E638" s="382"/>
      <c r="F638" s="382"/>
      <c r="G638" s="382"/>
      <c r="H638" s="382"/>
      <c r="I638" s="382"/>
      <c r="J638" s="382"/>
      <c r="K638" s="382"/>
      <c r="L638" s="382"/>
      <c r="M638" s="382"/>
      <c r="N638" s="382"/>
      <c r="O638" s="382"/>
      <c r="P638" s="382"/>
      <c r="Q638" s="382"/>
      <c r="R638" s="382"/>
      <c r="S638" s="382"/>
      <c r="T638" s="382"/>
      <c r="U638" s="382"/>
      <c r="V638" s="383"/>
      <c r="W638" s="383"/>
      <c r="X638" s="383"/>
      <c r="Y638" s="383"/>
    </row>
    <row r="639">
      <c r="A639" s="382"/>
      <c r="B639" s="382"/>
      <c r="C639" s="382"/>
      <c r="D639" s="382"/>
      <c r="E639" s="382"/>
      <c r="F639" s="382"/>
      <c r="G639" s="382"/>
      <c r="H639" s="382"/>
      <c r="I639" s="382"/>
      <c r="J639" s="382"/>
      <c r="K639" s="382"/>
      <c r="L639" s="382"/>
      <c r="M639" s="382"/>
      <c r="N639" s="382"/>
      <c r="O639" s="382"/>
      <c r="P639" s="382"/>
      <c r="Q639" s="382"/>
      <c r="R639" s="382"/>
      <c r="S639" s="382"/>
      <c r="T639" s="382"/>
      <c r="U639" s="382"/>
      <c r="V639" s="383"/>
      <c r="W639" s="383"/>
      <c r="X639" s="383"/>
      <c r="Y639" s="383"/>
    </row>
    <row r="640">
      <c r="A640" s="382"/>
      <c r="B640" s="382"/>
      <c r="C640" s="382"/>
      <c r="D640" s="382"/>
      <c r="E640" s="382"/>
      <c r="F640" s="382"/>
      <c r="G640" s="382"/>
      <c r="H640" s="382"/>
      <c r="I640" s="382"/>
      <c r="J640" s="382"/>
      <c r="K640" s="382"/>
      <c r="L640" s="382"/>
      <c r="M640" s="382"/>
      <c r="N640" s="382"/>
      <c r="O640" s="382"/>
      <c r="P640" s="382"/>
      <c r="Q640" s="382"/>
      <c r="R640" s="382"/>
      <c r="S640" s="382"/>
      <c r="T640" s="382"/>
      <c r="U640" s="382"/>
      <c r="V640" s="383"/>
      <c r="W640" s="383"/>
      <c r="X640" s="383"/>
      <c r="Y640" s="383"/>
    </row>
    <row r="641">
      <c r="A641" s="382"/>
      <c r="B641" s="382"/>
      <c r="C641" s="382"/>
      <c r="D641" s="382"/>
      <c r="E641" s="382"/>
      <c r="F641" s="382"/>
      <c r="G641" s="382"/>
      <c r="H641" s="382"/>
      <c r="I641" s="382"/>
      <c r="J641" s="382"/>
      <c r="K641" s="382"/>
      <c r="L641" s="382"/>
      <c r="M641" s="382"/>
      <c r="N641" s="382"/>
      <c r="O641" s="382"/>
      <c r="P641" s="382"/>
      <c r="Q641" s="382"/>
      <c r="R641" s="382"/>
      <c r="S641" s="382"/>
      <c r="T641" s="382"/>
      <c r="U641" s="382"/>
      <c r="V641" s="383"/>
      <c r="W641" s="383"/>
      <c r="X641" s="383"/>
      <c r="Y641" s="383"/>
    </row>
    <row r="642">
      <c r="A642" s="382"/>
      <c r="B642" s="382"/>
      <c r="C642" s="382"/>
      <c r="D642" s="382"/>
      <c r="E642" s="382"/>
      <c r="F642" s="382"/>
      <c r="G642" s="382"/>
      <c r="H642" s="382"/>
      <c r="I642" s="382"/>
      <c r="J642" s="382"/>
      <c r="K642" s="382"/>
      <c r="L642" s="382"/>
      <c r="M642" s="382"/>
      <c r="N642" s="382"/>
      <c r="O642" s="382"/>
      <c r="P642" s="382"/>
      <c r="Q642" s="382"/>
      <c r="R642" s="382"/>
      <c r="S642" s="382"/>
      <c r="T642" s="382"/>
      <c r="U642" s="382"/>
      <c r="V642" s="383"/>
      <c r="W642" s="383"/>
      <c r="X642" s="383"/>
      <c r="Y642" s="383"/>
    </row>
    <row r="643">
      <c r="A643" s="382"/>
      <c r="B643" s="382"/>
      <c r="C643" s="382"/>
      <c r="D643" s="382"/>
      <c r="E643" s="382"/>
      <c r="F643" s="382"/>
      <c r="G643" s="382"/>
      <c r="H643" s="382"/>
      <c r="I643" s="382"/>
      <c r="J643" s="382"/>
      <c r="K643" s="382"/>
      <c r="L643" s="382"/>
      <c r="M643" s="382"/>
      <c r="N643" s="382"/>
      <c r="O643" s="382"/>
      <c r="P643" s="382"/>
      <c r="Q643" s="382"/>
      <c r="R643" s="382"/>
      <c r="S643" s="382"/>
      <c r="T643" s="382"/>
      <c r="U643" s="382"/>
      <c r="V643" s="383"/>
      <c r="W643" s="383"/>
      <c r="X643" s="383"/>
      <c r="Y643" s="383"/>
    </row>
    <row r="644">
      <c r="A644" s="382"/>
      <c r="B644" s="382"/>
      <c r="C644" s="382"/>
      <c r="D644" s="382"/>
      <c r="E644" s="382"/>
      <c r="F644" s="382"/>
      <c r="G644" s="382"/>
      <c r="H644" s="382"/>
      <c r="I644" s="382"/>
      <c r="J644" s="382"/>
      <c r="K644" s="382"/>
      <c r="L644" s="382"/>
      <c r="M644" s="382"/>
      <c r="N644" s="382"/>
      <c r="O644" s="382"/>
      <c r="P644" s="382"/>
      <c r="Q644" s="382"/>
      <c r="R644" s="382"/>
      <c r="S644" s="382"/>
      <c r="T644" s="382"/>
      <c r="U644" s="382"/>
      <c r="V644" s="383"/>
      <c r="W644" s="383"/>
      <c r="X644" s="383"/>
      <c r="Y644" s="383"/>
    </row>
    <row r="645">
      <c r="A645" s="382"/>
      <c r="B645" s="382"/>
      <c r="C645" s="382"/>
      <c r="D645" s="382"/>
      <c r="E645" s="382"/>
      <c r="F645" s="382"/>
      <c r="G645" s="382"/>
      <c r="H645" s="382"/>
      <c r="I645" s="382"/>
      <c r="J645" s="382"/>
      <c r="K645" s="382"/>
      <c r="L645" s="382"/>
      <c r="M645" s="382"/>
      <c r="N645" s="382"/>
      <c r="O645" s="382"/>
      <c r="P645" s="382"/>
      <c r="Q645" s="382"/>
      <c r="R645" s="382"/>
      <c r="S645" s="382"/>
      <c r="T645" s="382"/>
      <c r="U645" s="382"/>
      <c r="V645" s="383"/>
      <c r="W645" s="383"/>
      <c r="X645" s="383"/>
      <c r="Y645" s="383"/>
    </row>
    <row r="646">
      <c r="A646" s="382"/>
      <c r="B646" s="382"/>
      <c r="C646" s="382"/>
      <c r="D646" s="382"/>
      <c r="E646" s="382"/>
      <c r="F646" s="382"/>
      <c r="G646" s="382"/>
      <c r="H646" s="382"/>
      <c r="I646" s="382"/>
      <c r="J646" s="382"/>
      <c r="K646" s="382"/>
      <c r="L646" s="382"/>
      <c r="M646" s="382"/>
      <c r="N646" s="382"/>
      <c r="O646" s="382"/>
      <c r="P646" s="382"/>
      <c r="Q646" s="382"/>
      <c r="R646" s="382"/>
      <c r="S646" s="382"/>
      <c r="T646" s="382"/>
      <c r="U646" s="382"/>
      <c r="V646" s="383"/>
      <c r="W646" s="383"/>
      <c r="X646" s="383"/>
      <c r="Y646" s="383"/>
    </row>
    <row r="647">
      <c r="A647" s="382"/>
      <c r="B647" s="382"/>
      <c r="C647" s="382"/>
      <c r="D647" s="382"/>
      <c r="E647" s="382"/>
      <c r="F647" s="382"/>
      <c r="G647" s="382"/>
      <c r="H647" s="382"/>
      <c r="I647" s="382"/>
      <c r="J647" s="382"/>
      <c r="K647" s="382"/>
      <c r="L647" s="382"/>
      <c r="M647" s="382"/>
      <c r="N647" s="382"/>
      <c r="O647" s="382"/>
      <c r="P647" s="382"/>
      <c r="Q647" s="382"/>
      <c r="R647" s="382"/>
      <c r="S647" s="382"/>
      <c r="T647" s="382"/>
      <c r="U647" s="382"/>
      <c r="V647" s="383"/>
      <c r="W647" s="383"/>
      <c r="X647" s="383"/>
      <c r="Y647" s="383"/>
    </row>
    <row r="648">
      <c r="A648" s="382"/>
      <c r="B648" s="382"/>
      <c r="C648" s="382"/>
      <c r="D648" s="382"/>
      <c r="E648" s="382"/>
      <c r="F648" s="382"/>
      <c r="G648" s="382"/>
      <c r="H648" s="382"/>
      <c r="I648" s="382"/>
      <c r="J648" s="382"/>
      <c r="K648" s="382"/>
      <c r="L648" s="382"/>
      <c r="M648" s="382"/>
      <c r="N648" s="382"/>
      <c r="O648" s="382"/>
      <c r="P648" s="382"/>
      <c r="Q648" s="382"/>
      <c r="R648" s="382"/>
      <c r="S648" s="382"/>
      <c r="T648" s="382"/>
      <c r="U648" s="382"/>
      <c r="V648" s="383"/>
      <c r="W648" s="383"/>
      <c r="X648" s="383"/>
      <c r="Y648" s="383"/>
    </row>
    <row r="649">
      <c r="A649" s="382"/>
      <c r="B649" s="382"/>
      <c r="C649" s="382"/>
      <c r="D649" s="382"/>
      <c r="E649" s="382"/>
      <c r="F649" s="382"/>
      <c r="G649" s="382"/>
      <c r="H649" s="382"/>
      <c r="I649" s="382"/>
      <c r="J649" s="382"/>
      <c r="K649" s="382"/>
      <c r="L649" s="382"/>
      <c r="M649" s="382"/>
      <c r="N649" s="382"/>
      <c r="O649" s="382"/>
      <c r="P649" s="382"/>
      <c r="Q649" s="382"/>
      <c r="R649" s="382"/>
      <c r="S649" s="382"/>
      <c r="T649" s="382"/>
      <c r="U649" s="382"/>
      <c r="V649" s="383"/>
      <c r="W649" s="383"/>
      <c r="X649" s="383"/>
      <c r="Y649" s="383"/>
    </row>
    <row r="650">
      <c r="A650" s="382"/>
      <c r="B650" s="382"/>
      <c r="C650" s="382"/>
      <c r="D650" s="382"/>
      <c r="E650" s="382"/>
      <c r="F650" s="382"/>
      <c r="G650" s="382"/>
      <c r="H650" s="382"/>
      <c r="I650" s="382"/>
      <c r="J650" s="382"/>
      <c r="K650" s="382"/>
      <c r="L650" s="382"/>
      <c r="M650" s="382"/>
      <c r="N650" s="382"/>
      <c r="O650" s="382"/>
      <c r="P650" s="382"/>
      <c r="Q650" s="382"/>
      <c r="R650" s="382"/>
      <c r="S650" s="382"/>
      <c r="T650" s="382"/>
      <c r="U650" s="382"/>
      <c r="V650" s="383"/>
      <c r="W650" s="383"/>
      <c r="X650" s="383"/>
      <c r="Y650" s="383"/>
    </row>
    <row r="651">
      <c r="A651" s="382"/>
      <c r="B651" s="382"/>
      <c r="C651" s="382"/>
      <c r="D651" s="382"/>
      <c r="E651" s="382"/>
      <c r="F651" s="382"/>
      <c r="G651" s="382"/>
      <c r="H651" s="382"/>
      <c r="I651" s="382"/>
      <c r="J651" s="382"/>
      <c r="K651" s="382"/>
      <c r="L651" s="382"/>
      <c r="M651" s="382"/>
      <c r="N651" s="382"/>
      <c r="O651" s="382"/>
      <c r="P651" s="382"/>
      <c r="Q651" s="382"/>
      <c r="R651" s="382"/>
      <c r="S651" s="382"/>
      <c r="T651" s="382"/>
      <c r="U651" s="382"/>
      <c r="V651" s="383"/>
      <c r="W651" s="383"/>
      <c r="X651" s="383"/>
      <c r="Y651" s="383"/>
    </row>
    <row r="652">
      <c r="A652" s="382"/>
      <c r="B652" s="382"/>
      <c r="C652" s="382"/>
      <c r="D652" s="382"/>
      <c r="E652" s="382"/>
      <c r="F652" s="382"/>
      <c r="G652" s="382"/>
      <c r="H652" s="382"/>
      <c r="I652" s="382"/>
      <c r="J652" s="382"/>
      <c r="K652" s="382"/>
      <c r="L652" s="382"/>
      <c r="M652" s="382"/>
      <c r="N652" s="382"/>
      <c r="O652" s="382"/>
      <c r="P652" s="382"/>
      <c r="Q652" s="382"/>
      <c r="R652" s="382"/>
      <c r="S652" s="382"/>
      <c r="T652" s="382"/>
      <c r="U652" s="382"/>
      <c r="V652" s="383"/>
      <c r="W652" s="383"/>
      <c r="X652" s="383"/>
      <c r="Y652" s="383"/>
    </row>
    <row r="653">
      <c r="A653" s="382"/>
      <c r="B653" s="382"/>
      <c r="C653" s="382"/>
      <c r="D653" s="382"/>
      <c r="E653" s="382"/>
      <c r="F653" s="382"/>
      <c r="G653" s="382"/>
      <c r="H653" s="382"/>
      <c r="I653" s="382"/>
      <c r="J653" s="382"/>
      <c r="K653" s="382"/>
      <c r="L653" s="382"/>
      <c r="M653" s="382"/>
      <c r="N653" s="382"/>
      <c r="O653" s="382"/>
      <c r="P653" s="382"/>
      <c r="Q653" s="382"/>
      <c r="R653" s="382"/>
      <c r="S653" s="382"/>
      <c r="T653" s="382"/>
      <c r="U653" s="382"/>
      <c r="V653" s="383"/>
      <c r="W653" s="383"/>
      <c r="X653" s="383"/>
      <c r="Y653" s="383"/>
    </row>
    <row r="654">
      <c r="A654" s="382"/>
      <c r="B654" s="382"/>
      <c r="C654" s="382"/>
      <c r="D654" s="382"/>
      <c r="E654" s="382"/>
      <c r="F654" s="382"/>
      <c r="G654" s="382"/>
      <c r="H654" s="382"/>
      <c r="I654" s="382"/>
      <c r="J654" s="382"/>
      <c r="K654" s="382"/>
      <c r="L654" s="382"/>
      <c r="M654" s="382"/>
      <c r="N654" s="382"/>
      <c r="O654" s="382"/>
      <c r="P654" s="382"/>
      <c r="Q654" s="382"/>
      <c r="R654" s="382"/>
      <c r="S654" s="382"/>
      <c r="T654" s="382"/>
      <c r="U654" s="382"/>
      <c r="V654" s="383"/>
      <c r="W654" s="383"/>
      <c r="X654" s="383"/>
      <c r="Y654" s="383"/>
    </row>
    <row r="655">
      <c r="A655" s="382"/>
      <c r="B655" s="382"/>
      <c r="C655" s="382"/>
      <c r="D655" s="382"/>
      <c r="E655" s="382"/>
      <c r="F655" s="382"/>
      <c r="G655" s="382"/>
      <c r="H655" s="382"/>
      <c r="I655" s="382"/>
      <c r="J655" s="382"/>
      <c r="K655" s="382"/>
      <c r="L655" s="382"/>
      <c r="M655" s="382"/>
      <c r="N655" s="382"/>
      <c r="O655" s="382"/>
      <c r="P655" s="382"/>
      <c r="Q655" s="382"/>
      <c r="R655" s="382"/>
      <c r="S655" s="382"/>
      <c r="T655" s="382"/>
      <c r="U655" s="382"/>
      <c r="V655" s="383"/>
      <c r="W655" s="383"/>
      <c r="X655" s="383"/>
      <c r="Y655" s="383"/>
    </row>
    <row r="656">
      <c r="A656" s="382"/>
      <c r="B656" s="382"/>
      <c r="C656" s="382"/>
      <c r="D656" s="382"/>
      <c r="E656" s="382"/>
      <c r="F656" s="382"/>
      <c r="G656" s="382"/>
      <c r="H656" s="382"/>
      <c r="I656" s="382"/>
      <c r="J656" s="382"/>
      <c r="K656" s="382"/>
      <c r="L656" s="382"/>
      <c r="M656" s="382"/>
      <c r="N656" s="382"/>
      <c r="O656" s="382"/>
      <c r="P656" s="382"/>
      <c r="Q656" s="382"/>
      <c r="R656" s="382"/>
      <c r="S656" s="382"/>
      <c r="T656" s="382"/>
      <c r="U656" s="382"/>
      <c r="V656" s="383"/>
      <c r="W656" s="383"/>
      <c r="X656" s="383"/>
      <c r="Y656" s="383"/>
    </row>
    <row r="657">
      <c r="A657" s="382"/>
      <c r="B657" s="382"/>
      <c r="C657" s="382"/>
      <c r="D657" s="382"/>
      <c r="E657" s="382"/>
      <c r="F657" s="382"/>
      <c r="G657" s="382"/>
      <c r="H657" s="382"/>
      <c r="I657" s="382"/>
      <c r="J657" s="382"/>
      <c r="K657" s="382"/>
      <c r="L657" s="382"/>
      <c r="M657" s="382"/>
      <c r="N657" s="382"/>
      <c r="O657" s="382"/>
      <c r="P657" s="382"/>
      <c r="Q657" s="382"/>
      <c r="R657" s="382"/>
      <c r="S657" s="382"/>
      <c r="T657" s="382"/>
      <c r="U657" s="382"/>
      <c r="V657" s="383"/>
      <c r="W657" s="383"/>
      <c r="X657" s="383"/>
      <c r="Y657" s="383"/>
    </row>
    <row r="658">
      <c r="A658" s="382"/>
      <c r="B658" s="382"/>
      <c r="C658" s="382"/>
      <c r="D658" s="382"/>
      <c r="E658" s="382"/>
      <c r="F658" s="382"/>
      <c r="G658" s="382"/>
      <c r="H658" s="382"/>
      <c r="I658" s="382"/>
      <c r="J658" s="382"/>
      <c r="K658" s="382"/>
      <c r="L658" s="382"/>
      <c r="M658" s="382"/>
      <c r="N658" s="382"/>
      <c r="O658" s="382"/>
      <c r="P658" s="382"/>
      <c r="Q658" s="382"/>
      <c r="R658" s="382"/>
      <c r="S658" s="382"/>
      <c r="T658" s="382"/>
      <c r="U658" s="382"/>
      <c r="V658" s="383"/>
      <c r="W658" s="383"/>
      <c r="X658" s="383"/>
      <c r="Y658" s="383"/>
    </row>
    <row r="659">
      <c r="A659" s="382"/>
      <c r="B659" s="382"/>
      <c r="C659" s="382"/>
      <c r="D659" s="382"/>
      <c r="E659" s="382"/>
      <c r="F659" s="382"/>
      <c r="G659" s="382"/>
      <c r="H659" s="382"/>
      <c r="I659" s="382"/>
      <c r="J659" s="382"/>
      <c r="K659" s="382"/>
      <c r="L659" s="382"/>
      <c r="M659" s="382"/>
      <c r="N659" s="382"/>
      <c r="O659" s="382"/>
      <c r="P659" s="382"/>
      <c r="Q659" s="382"/>
      <c r="R659" s="382"/>
      <c r="S659" s="382"/>
      <c r="T659" s="382"/>
      <c r="U659" s="382"/>
      <c r="V659" s="383"/>
      <c r="W659" s="383"/>
      <c r="X659" s="383"/>
      <c r="Y659" s="383"/>
    </row>
    <row r="660">
      <c r="A660" s="382"/>
      <c r="B660" s="382"/>
      <c r="C660" s="382"/>
      <c r="D660" s="382"/>
      <c r="E660" s="382"/>
      <c r="F660" s="382"/>
      <c r="G660" s="382"/>
      <c r="H660" s="382"/>
      <c r="I660" s="382"/>
      <c r="J660" s="382"/>
      <c r="K660" s="382"/>
      <c r="L660" s="382"/>
      <c r="M660" s="382"/>
      <c r="N660" s="382"/>
      <c r="O660" s="382"/>
      <c r="P660" s="382"/>
      <c r="Q660" s="382"/>
      <c r="R660" s="382"/>
      <c r="S660" s="382"/>
      <c r="T660" s="382"/>
      <c r="U660" s="382"/>
      <c r="V660" s="383"/>
      <c r="W660" s="383"/>
      <c r="X660" s="383"/>
      <c r="Y660" s="383"/>
    </row>
    <row r="661">
      <c r="A661" s="382"/>
      <c r="B661" s="382"/>
      <c r="C661" s="382"/>
      <c r="D661" s="382"/>
      <c r="E661" s="382"/>
      <c r="F661" s="382"/>
      <c r="G661" s="382"/>
      <c r="H661" s="382"/>
      <c r="I661" s="382"/>
      <c r="J661" s="382"/>
      <c r="K661" s="382"/>
      <c r="L661" s="382"/>
      <c r="M661" s="382"/>
      <c r="N661" s="382"/>
      <c r="O661" s="382"/>
      <c r="P661" s="382"/>
      <c r="Q661" s="382"/>
      <c r="R661" s="382"/>
      <c r="S661" s="382"/>
      <c r="T661" s="382"/>
      <c r="U661" s="382"/>
      <c r="V661" s="383"/>
      <c r="W661" s="383"/>
      <c r="X661" s="383"/>
      <c r="Y661" s="383"/>
    </row>
    <row r="662">
      <c r="A662" s="382"/>
      <c r="B662" s="382"/>
      <c r="C662" s="382"/>
      <c r="D662" s="382"/>
      <c r="E662" s="382"/>
      <c r="F662" s="382"/>
      <c r="G662" s="382"/>
      <c r="H662" s="382"/>
      <c r="I662" s="382"/>
      <c r="J662" s="382"/>
      <c r="K662" s="382"/>
      <c r="L662" s="382"/>
      <c r="M662" s="382"/>
      <c r="N662" s="382"/>
      <c r="O662" s="382"/>
      <c r="P662" s="382"/>
      <c r="Q662" s="382"/>
      <c r="R662" s="382"/>
      <c r="S662" s="382"/>
      <c r="T662" s="382"/>
      <c r="U662" s="382"/>
      <c r="V662" s="383"/>
      <c r="W662" s="383"/>
      <c r="X662" s="383"/>
      <c r="Y662" s="383"/>
    </row>
    <row r="663">
      <c r="A663" s="382"/>
      <c r="B663" s="382"/>
      <c r="C663" s="382"/>
      <c r="D663" s="382"/>
      <c r="E663" s="382"/>
      <c r="F663" s="382"/>
      <c r="G663" s="382"/>
      <c r="H663" s="382"/>
      <c r="I663" s="382"/>
      <c r="J663" s="382"/>
      <c r="K663" s="382"/>
      <c r="L663" s="382"/>
      <c r="M663" s="382"/>
      <c r="N663" s="382"/>
      <c r="O663" s="382"/>
      <c r="P663" s="382"/>
      <c r="Q663" s="382"/>
      <c r="R663" s="382"/>
      <c r="S663" s="382"/>
      <c r="T663" s="382"/>
      <c r="U663" s="382"/>
      <c r="V663" s="383"/>
      <c r="W663" s="383"/>
      <c r="X663" s="383"/>
      <c r="Y663" s="383"/>
    </row>
    <row r="664">
      <c r="A664" s="382"/>
      <c r="B664" s="382"/>
      <c r="C664" s="382"/>
      <c r="D664" s="382"/>
      <c r="E664" s="382"/>
      <c r="F664" s="382"/>
      <c r="G664" s="382"/>
      <c r="H664" s="382"/>
      <c r="I664" s="382"/>
      <c r="J664" s="382"/>
      <c r="K664" s="382"/>
      <c r="L664" s="382"/>
      <c r="M664" s="382"/>
      <c r="N664" s="382"/>
      <c r="O664" s="382"/>
      <c r="P664" s="382"/>
      <c r="Q664" s="382"/>
      <c r="R664" s="382"/>
      <c r="S664" s="382"/>
      <c r="T664" s="382"/>
      <c r="U664" s="382"/>
      <c r="V664" s="383"/>
      <c r="W664" s="383"/>
      <c r="X664" s="383"/>
      <c r="Y664" s="383"/>
    </row>
    <row r="665">
      <c r="A665" s="382"/>
      <c r="B665" s="382"/>
      <c r="C665" s="382"/>
      <c r="D665" s="382"/>
      <c r="E665" s="382"/>
      <c r="F665" s="382"/>
      <c r="G665" s="382"/>
      <c r="H665" s="382"/>
      <c r="I665" s="382"/>
      <c r="J665" s="382"/>
      <c r="K665" s="382"/>
      <c r="L665" s="382"/>
      <c r="M665" s="382"/>
      <c r="N665" s="382"/>
      <c r="O665" s="382"/>
      <c r="P665" s="382"/>
      <c r="Q665" s="382"/>
      <c r="R665" s="382"/>
      <c r="S665" s="382"/>
      <c r="T665" s="382"/>
      <c r="U665" s="382"/>
      <c r="V665" s="383"/>
      <c r="W665" s="383"/>
      <c r="X665" s="383"/>
      <c r="Y665" s="383"/>
    </row>
    <row r="666">
      <c r="A666" s="382"/>
      <c r="B666" s="382"/>
      <c r="C666" s="382"/>
      <c r="D666" s="382"/>
      <c r="E666" s="382"/>
      <c r="F666" s="382"/>
      <c r="G666" s="382"/>
      <c r="H666" s="382"/>
      <c r="I666" s="382"/>
      <c r="J666" s="382"/>
      <c r="K666" s="382"/>
      <c r="L666" s="382"/>
      <c r="M666" s="382"/>
      <c r="N666" s="382"/>
      <c r="O666" s="382"/>
      <c r="P666" s="382"/>
      <c r="Q666" s="382"/>
      <c r="R666" s="382"/>
      <c r="S666" s="382"/>
      <c r="T666" s="382"/>
      <c r="U666" s="382"/>
      <c r="V666" s="383"/>
      <c r="W666" s="383"/>
      <c r="X666" s="383"/>
      <c r="Y666" s="383"/>
    </row>
    <row r="667">
      <c r="A667" s="382"/>
      <c r="B667" s="382"/>
      <c r="C667" s="382"/>
      <c r="D667" s="382"/>
      <c r="E667" s="382"/>
      <c r="F667" s="382"/>
      <c r="G667" s="382"/>
      <c r="H667" s="382"/>
      <c r="I667" s="382"/>
      <c r="J667" s="382"/>
      <c r="K667" s="382"/>
      <c r="L667" s="382"/>
      <c r="M667" s="382"/>
      <c r="N667" s="382"/>
      <c r="O667" s="382"/>
      <c r="P667" s="382"/>
      <c r="Q667" s="382"/>
      <c r="R667" s="382"/>
      <c r="S667" s="382"/>
      <c r="T667" s="382"/>
      <c r="U667" s="382"/>
      <c r="V667" s="383"/>
      <c r="W667" s="383"/>
      <c r="X667" s="383"/>
      <c r="Y667" s="383"/>
    </row>
    <row r="668">
      <c r="A668" s="382"/>
      <c r="B668" s="382"/>
      <c r="C668" s="382"/>
      <c r="D668" s="382"/>
      <c r="E668" s="382"/>
      <c r="F668" s="382"/>
      <c r="G668" s="382"/>
      <c r="H668" s="382"/>
      <c r="I668" s="382"/>
      <c r="J668" s="382"/>
      <c r="K668" s="382"/>
      <c r="L668" s="382"/>
      <c r="M668" s="382"/>
      <c r="N668" s="382"/>
      <c r="O668" s="382"/>
      <c r="P668" s="382"/>
      <c r="Q668" s="382"/>
      <c r="R668" s="382"/>
      <c r="S668" s="382"/>
      <c r="T668" s="382"/>
      <c r="U668" s="382"/>
      <c r="V668" s="383"/>
      <c r="W668" s="383"/>
      <c r="X668" s="383"/>
      <c r="Y668" s="383"/>
    </row>
    <row r="669">
      <c r="A669" s="382"/>
      <c r="B669" s="382"/>
      <c r="C669" s="382"/>
      <c r="D669" s="382"/>
      <c r="E669" s="382"/>
      <c r="F669" s="382"/>
      <c r="G669" s="382"/>
      <c r="H669" s="382"/>
      <c r="I669" s="382"/>
      <c r="J669" s="382"/>
      <c r="K669" s="382"/>
      <c r="L669" s="382"/>
      <c r="M669" s="382"/>
      <c r="N669" s="382"/>
      <c r="O669" s="382"/>
      <c r="P669" s="382"/>
      <c r="Q669" s="382"/>
      <c r="R669" s="382"/>
      <c r="S669" s="382"/>
      <c r="T669" s="382"/>
      <c r="U669" s="382"/>
      <c r="V669" s="383"/>
      <c r="W669" s="383"/>
      <c r="X669" s="383"/>
      <c r="Y669" s="383"/>
    </row>
    <row r="670">
      <c r="A670" s="382"/>
      <c r="B670" s="382"/>
      <c r="C670" s="382"/>
      <c r="D670" s="382"/>
      <c r="E670" s="382"/>
      <c r="F670" s="382"/>
      <c r="G670" s="382"/>
      <c r="H670" s="382"/>
      <c r="I670" s="382"/>
      <c r="J670" s="382"/>
      <c r="K670" s="382"/>
      <c r="L670" s="382"/>
      <c r="M670" s="382"/>
      <c r="N670" s="382"/>
      <c r="O670" s="382"/>
      <c r="P670" s="382"/>
      <c r="Q670" s="382"/>
      <c r="R670" s="382"/>
      <c r="S670" s="382"/>
      <c r="T670" s="382"/>
      <c r="U670" s="382"/>
      <c r="V670" s="383"/>
      <c r="W670" s="383"/>
      <c r="X670" s="383"/>
      <c r="Y670" s="383"/>
    </row>
    <row r="671">
      <c r="A671" s="382"/>
      <c r="B671" s="382"/>
      <c r="C671" s="382"/>
      <c r="D671" s="382"/>
      <c r="E671" s="382"/>
      <c r="F671" s="382"/>
      <c r="G671" s="382"/>
      <c r="H671" s="382"/>
      <c r="I671" s="382"/>
      <c r="J671" s="382"/>
      <c r="K671" s="382"/>
      <c r="L671" s="382"/>
      <c r="M671" s="382"/>
      <c r="N671" s="382"/>
      <c r="O671" s="382"/>
      <c r="P671" s="382"/>
      <c r="Q671" s="382"/>
      <c r="R671" s="382"/>
      <c r="S671" s="382"/>
      <c r="T671" s="382"/>
      <c r="U671" s="382"/>
      <c r="V671" s="383"/>
      <c r="W671" s="383"/>
      <c r="X671" s="383"/>
      <c r="Y671" s="383"/>
    </row>
    <row r="672">
      <c r="A672" s="382"/>
      <c r="B672" s="382"/>
      <c r="C672" s="382"/>
      <c r="D672" s="382"/>
      <c r="E672" s="382"/>
      <c r="F672" s="382"/>
      <c r="G672" s="382"/>
      <c r="H672" s="382"/>
      <c r="I672" s="382"/>
      <c r="J672" s="382"/>
      <c r="K672" s="382"/>
      <c r="L672" s="382"/>
      <c r="M672" s="382"/>
      <c r="N672" s="382"/>
      <c r="O672" s="382"/>
      <c r="P672" s="382"/>
      <c r="Q672" s="382"/>
      <c r="R672" s="382"/>
      <c r="S672" s="382"/>
      <c r="T672" s="382"/>
      <c r="U672" s="382"/>
      <c r="V672" s="383"/>
      <c r="W672" s="383"/>
      <c r="X672" s="383"/>
      <c r="Y672" s="383"/>
    </row>
    <row r="673">
      <c r="A673" s="382"/>
      <c r="B673" s="382"/>
      <c r="C673" s="382"/>
      <c r="D673" s="382"/>
      <c r="E673" s="382"/>
      <c r="F673" s="382"/>
      <c r="G673" s="382"/>
      <c r="H673" s="382"/>
      <c r="I673" s="382"/>
      <c r="J673" s="382"/>
      <c r="K673" s="382"/>
      <c r="L673" s="382"/>
      <c r="M673" s="382"/>
      <c r="N673" s="382"/>
      <c r="O673" s="382"/>
      <c r="P673" s="382"/>
      <c r="Q673" s="382"/>
      <c r="R673" s="382"/>
      <c r="S673" s="382"/>
      <c r="T673" s="382"/>
      <c r="U673" s="382"/>
      <c r="V673" s="383"/>
      <c r="W673" s="383"/>
      <c r="X673" s="383"/>
      <c r="Y673" s="383"/>
    </row>
    <row r="674">
      <c r="A674" s="382"/>
      <c r="B674" s="382"/>
      <c r="C674" s="382"/>
      <c r="D674" s="382"/>
      <c r="E674" s="382"/>
      <c r="F674" s="382"/>
      <c r="G674" s="382"/>
      <c r="H674" s="382"/>
      <c r="I674" s="382"/>
      <c r="J674" s="382"/>
      <c r="K674" s="382"/>
      <c r="L674" s="382"/>
      <c r="M674" s="382"/>
      <c r="N674" s="382"/>
      <c r="O674" s="382"/>
      <c r="P674" s="382"/>
      <c r="Q674" s="382"/>
      <c r="R674" s="382"/>
      <c r="S674" s="382"/>
      <c r="T674" s="382"/>
      <c r="U674" s="382"/>
      <c r="V674" s="383"/>
      <c r="W674" s="383"/>
      <c r="X674" s="383"/>
      <c r="Y674" s="383"/>
    </row>
    <row r="675">
      <c r="A675" s="382"/>
      <c r="B675" s="382"/>
      <c r="C675" s="382"/>
      <c r="D675" s="382"/>
      <c r="E675" s="382"/>
      <c r="F675" s="382"/>
      <c r="G675" s="382"/>
      <c r="H675" s="382"/>
      <c r="I675" s="382"/>
      <c r="J675" s="382"/>
      <c r="K675" s="382"/>
      <c r="L675" s="382"/>
      <c r="M675" s="382"/>
      <c r="N675" s="382"/>
      <c r="O675" s="382"/>
      <c r="P675" s="382"/>
      <c r="Q675" s="382"/>
      <c r="R675" s="382"/>
      <c r="S675" s="382"/>
      <c r="T675" s="382"/>
      <c r="U675" s="382"/>
      <c r="V675" s="383"/>
      <c r="W675" s="383"/>
      <c r="X675" s="383"/>
      <c r="Y675" s="383"/>
    </row>
    <row r="676">
      <c r="A676" s="382"/>
      <c r="B676" s="382"/>
      <c r="C676" s="382"/>
      <c r="D676" s="382"/>
      <c r="E676" s="382"/>
      <c r="F676" s="382"/>
      <c r="G676" s="382"/>
      <c r="H676" s="382"/>
      <c r="I676" s="382"/>
      <c r="J676" s="382"/>
      <c r="K676" s="382"/>
      <c r="L676" s="382"/>
      <c r="M676" s="382"/>
      <c r="N676" s="382"/>
      <c r="O676" s="382"/>
      <c r="P676" s="382"/>
      <c r="Q676" s="382"/>
      <c r="R676" s="382"/>
      <c r="S676" s="382"/>
      <c r="T676" s="382"/>
      <c r="U676" s="382"/>
      <c r="V676" s="383"/>
      <c r="W676" s="383"/>
      <c r="X676" s="383"/>
      <c r="Y676" s="383"/>
    </row>
    <row r="677">
      <c r="A677" s="382"/>
      <c r="B677" s="382"/>
      <c r="C677" s="382"/>
      <c r="D677" s="382"/>
      <c r="E677" s="382"/>
      <c r="F677" s="382"/>
      <c r="G677" s="382"/>
      <c r="H677" s="382"/>
      <c r="I677" s="382"/>
      <c r="J677" s="382"/>
      <c r="K677" s="382"/>
      <c r="L677" s="382"/>
      <c r="M677" s="382"/>
      <c r="N677" s="382"/>
      <c r="O677" s="382"/>
      <c r="P677" s="382"/>
      <c r="Q677" s="382"/>
      <c r="R677" s="382"/>
      <c r="S677" s="382"/>
      <c r="T677" s="382"/>
      <c r="U677" s="382"/>
      <c r="V677" s="383"/>
      <c r="W677" s="383"/>
      <c r="X677" s="383"/>
      <c r="Y677" s="383"/>
    </row>
    <row r="678">
      <c r="A678" s="382"/>
      <c r="B678" s="382"/>
      <c r="C678" s="382"/>
      <c r="D678" s="382"/>
      <c r="E678" s="382"/>
      <c r="F678" s="382"/>
      <c r="G678" s="382"/>
      <c r="H678" s="382"/>
      <c r="I678" s="382"/>
      <c r="J678" s="382"/>
      <c r="K678" s="382"/>
      <c r="L678" s="382"/>
      <c r="M678" s="382"/>
      <c r="N678" s="382"/>
      <c r="O678" s="382"/>
      <c r="P678" s="382"/>
      <c r="Q678" s="382"/>
      <c r="R678" s="382"/>
      <c r="S678" s="382"/>
      <c r="T678" s="382"/>
      <c r="U678" s="382"/>
      <c r="V678" s="383"/>
      <c r="W678" s="383"/>
      <c r="X678" s="383"/>
      <c r="Y678" s="383"/>
    </row>
    <row r="679">
      <c r="A679" s="382"/>
      <c r="B679" s="382"/>
      <c r="C679" s="382"/>
      <c r="D679" s="382"/>
      <c r="E679" s="382"/>
      <c r="F679" s="382"/>
      <c r="G679" s="382"/>
      <c r="H679" s="382"/>
      <c r="I679" s="382"/>
      <c r="J679" s="382"/>
      <c r="K679" s="382"/>
      <c r="L679" s="382"/>
      <c r="M679" s="382"/>
      <c r="N679" s="382"/>
      <c r="O679" s="382"/>
      <c r="P679" s="382"/>
      <c r="Q679" s="382"/>
      <c r="R679" s="382"/>
      <c r="S679" s="382"/>
      <c r="T679" s="382"/>
      <c r="U679" s="382"/>
      <c r="V679" s="383"/>
      <c r="W679" s="383"/>
      <c r="X679" s="383"/>
      <c r="Y679" s="383"/>
    </row>
    <row r="680">
      <c r="A680" s="382"/>
      <c r="B680" s="382"/>
      <c r="C680" s="382"/>
      <c r="D680" s="382"/>
      <c r="E680" s="382"/>
      <c r="F680" s="382"/>
      <c r="G680" s="382"/>
      <c r="H680" s="382"/>
      <c r="I680" s="382"/>
      <c r="J680" s="382"/>
      <c r="K680" s="382"/>
      <c r="L680" s="382"/>
      <c r="M680" s="382"/>
      <c r="N680" s="382"/>
      <c r="O680" s="382"/>
      <c r="P680" s="382"/>
      <c r="Q680" s="382"/>
      <c r="R680" s="382"/>
      <c r="S680" s="382"/>
      <c r="T680" s="382"/>
      <c r="U680" s="382"/>
      <c r="V680" s="383"/>
      <c r="W680" s="383"/>
      <c r="X680" s="383"/>
      <c r="Y680" s="383"/>
    </row>
    <row r="681">
      <c r="A681" s="382"/>
      <c r="B681" s="382"/>
      <c r="C681" s="382"/>
      <c r="D681" s="382"/>
      <c r="E681" s="382"/>
      <c r="F681" s="382"/>
      <c r="G681" s="382"/>
      <c r="H681" s="382"/>
      <c r="I681" s="382"/>
      <c r="J681" s="382"/>
      <c r="K681" s="382"/>
      <c r="L681" s="382"/>
      <c r="M681" s="382"/>
      <c r="N681" s="382"/>
      <c r="O681" s="382"/>
      <c r="P681" s="382"/>
      <c r="Q681" s="382"/>
      <c r="R681" s="382"/>
      <c r="S681" s="382"/>
      <c r="T681" s="382"/>
      <c r="U681" s="382"/>
      <c r="V681" s="383"/>
      <c r="W681" s="383"/>
      <c r="X681" s="383"/>
      <c r="Y681" s="383"/>
    </row>
    <row r="682">
      <c r="A682" s="382"/>
      <c r="B682" s="382"/>
      <c r="C682" s="382"/>
      <c r="D682" s="382"/>
      <c r="E682" s="382"/>
      <c r="F682" s="382"/>
      <c r="G682" s="382"/>
      <c r="H682" s="382"/>
      <c r="I682" s="382"/>
      <c r="J682" s="382"/>
      <c r="K682" s="382"/>
      <c r="L682" s="382"/>
      <c r="M682" s="382"/>
      <c r="N682" s="382"/>
      <c r="O682" s="382"/>
      <c r="P682" s="382"/>
      <c r="Q682" s="382"/>
      <c r="R682" s="382"/>
      <c r="S682" s="382"/>
      <c r="T682" s="382"/>
      <c r="U682" s="382"/>
      <c r="V682" s="383"/>
      <c r="W682" s="383"/>
      <c r="X682" s="383"/>
      <c r="Y682" s="383"/>
    </row>
    <row r="683">
      <c r="A683" s="382"/>
      <c r="B683" s="382"/>
      <c r="C683" s="382"/>
      <c r="D683" s="382"/>
      <c r="E683" s="382"/>
      <c r="F683" s="382"/>
      <c r="G683" s="382"/>
      <c r="H683" s="382"/>
      <c r="I683" s="382"/>
      <c r="J683" s="382"/>
      <c r="K683" s="382"/>
      <c r="L683" s="382"/>
      <c r="M683" s="382"/>
      <c r="N683" s="382"/>
      <c r="O683" s="382"/>
      <c r="P683" s="382"/>
      <c r="Q683" s="382"/>
      <c r="R683" s="382"/>
      <c r="S683" s="382"/>
      <c r="T683" s="382"/>
      <c r="U683" s="382"/>
      <c r="V683" s="383"/>
      <c r="W683" s="383"/>
      <c r="X683" s="383"/>
      <c r="Y683" s="383"/>
    </row>
    <row r="684">
      <c r="A684" s="382"/>
      <c r="B684" s="382"/>
      <c r="C684" s="382"/>
      <c r="D684" s="382"/>
      <c r="E684" s="382"/>
      <c r="F684" s="382"/>
      <c r="G684" s="382"/>
      <c r="H684" s="382"/>
      <c r="I684" s="382"/>
      <c r="J684" s="382"/>
      <c r="K684" s="382"/>
      <c r="L684" s="382"/>
      <c r="M684" s="382"/>
      <c r="N684" s="382"/>
      <c r="O684" s="382"/>
      <c r="P684" s="382"/>
      <c r="Q684" s="382"/>
      <c r="R684" s="382"/>
      <c r="S684" s="382"/>
      <c r="T684" s="382"/>
      <c r="U684" s="382"/>
      <c r="V684" s="383"/>
      <c r="W684" s="383"/>
      <c r="X684" s="383"/>
      <c r="Y684" s="383"/>
    </row>
    <row r="685">
      <c r="A685" s="382"/>
      <c r="B685" s="382"/>
      <c r="C685" s="382"/>
      <c r="D685" s="382"/>
      <c r="E685" s="382"/>
      <c r="F685" s="382"/>
      <c r="G685" s="382"/>
      <c r="H685" s="382"/>
      <c r="I685" s="382"/>
      <c r="J685" s="382"/>
      <c r="K685" s="382"/>
      <c r="L685" s="382"/>
      <c r="M685" s="382"/>
      <c r="N685" s="382"/>
      <c r="O685" s="382"/>
      <c r="P685" s="382"/>
      <c r="Q685" s="382"/>
      <c r="R685" s="382"/>
      <c r="S685" s="382"/>
      <c r="T685" s="382"/>
      <c r="U685" s="382"/>
      <c r="V685" s="383"/>
      <c r="W685" s="383"/>
      <c r="X685" s="383"/>
      <c r="Y685" s="383"/>
    </row>
    <row r="686">
      <c r="A686" s="382"/>
      <c r="B686" s="382"/>
      <c r="C686" s="382"/>
      <c r="D686" s="382"/>
      <c r="E686" s="382"/>
      <c r="F686" s="382"/>
      <c r="G686" s="382"/>
      <c r="H686" s="382"/>
      <c r="I686" s="382"/>
      <c r="J686" s="382"/>
      <c r="K686" s="382"/>
      <c r="L686" s="382"/>
      <c r="M686" s="382"/>
      <c r="N686" s="382"/>
      <c r="O686" s="382"/>
      <c r="P686" s="382"/>
      <c r="Q686" s="382"/>
      <c r="R686" s="382"/>
      <c r="S686" s="382"/>
      <c r="T686" s="382"/>
      <c r="U686" s="382"/>
      <c r="V686" s="383"/>
      <c r="W686" s="383"/>
      <c r="X686" s="383"/>
      <c r="Y686" s="383"/>
    </row>
    <row r="687">
      <c r="A687" s="382"/>
      <c r="B687" s="382"/>
      <c r="C687" s="382"/>
      <c r="D687" s="382"/>
      <c r="E687" s="382"/>
      <c r="F687" s="382"/>
      <c r="G687" s="382"/>
      <c r="H687" s="382"/>
      <c r="I687" s="382"/>
      <c r="J687" s="382"/>
      <c r="K687" s="382"/>
      <c r="L687" s="382"/>
      <c r="M687" s="382"/>
      <c r="N687" s="382"/>
      <c r="O687" s="382"/>
      <c r="P687" s="382"/>
      <c r="Q687" s="382"/>
      <c r="R687" s="382"/>
      <c r="S687" s="382"/>
      <c r="T687" s="382"/>
      <c r="U687" s="382"/>
      <c r="V687" s="383"/>
      <c r="W687" s="383"/>
      <c r="X687" s="383"/>
      <c r="Y687" s="383"/>
    </row>
    <row r="688">
      <c r="A688" s="382"/>
      <c r="B688" s="382"/>
      <c r="C688" s="382"/>
      <c r="D688" s="382"/>
      <c r="E688" s="382"/>
      <c r="F688" s="382"/>
      <c r="G688" s="382"/>
      <c r="H688" s="382"/>
      <c r="I688" s="382"/>
      <c r="J688" s="382"/>
      <c r="K688" s="382"/>
      <c r="L688" s="382"/>
      <c r="M688" s="382"/>
      <c r="N688" s="382"/>
      <c r="O688" s="382"/>
      <c r="P688" s="382"/>
      <c r="Q688" s="382"/>
      <c r="R688" s="382"/>
      <c r="S688" s="382"/>
      <c r="T688" s="382"/>
      <c r="U688" s="382"/>
      <c r="V688" s="383"/>
      <c r="W688" s="383"/>
      <c r="X688" s="383"/>
      <c r="Y688" s="383"/>
    </row>
    <row r="689">
      <c r="A689" s="382"/>
      <c r="B689" s="382"/>
      <c r="C689" s="382"/>
      <c r="D689" s="382"/>
      <c r="E689" s="382"/>
      <c r="F689" s="382"/>
      <c r="G689" s="382"/>
      <c r="H689" s="382"/>
      <c r="I689" s="382"/>
      <c r="J689" s="382"/>
      <c r="K689" s="382"/>
      <c r="L689" s="382"/>
      <c r="M689" s="382"/>
      <c r="N689" s="382"/>
      <c r="O689" s="382"/>
      <c r="P689" s="382"/>
      <c r="Q689" s="382"/>
      <c r="R689" s="382"/>
      <c r="S689" s="382"/>
      <c r="T689" s="382"/>
      <c r="U689" s="382"/>
      <c r="V689" s="383"/>
      <c r="W689" s="383"/>
      <c r="X689" s="383"/>
      <c r="Y689" s="383"/>
    </row>
    <row r="690">
      <c r="A690" s="382"/>
      <c r="B690" s="382"/>
      <c r="C690" s="382"/>
      <c r="D690" s="382"/>
      <c r="E690" s="382"/>
      <c r="F690" s="382"/>
      <c r="G690" s="382"/>
      <c r="H690" s="382"/>
      <c r="I690" s="382"/>
      <c r="J690" s="382"/>
      <c r="K690" s="382"/>
      <c r="L690" s="382"/>
      <c r="M690" s="382"/>
      <c r="N690" s="382"/>
      <c r="O690" s="382"/>
      <c r="P690" s="382"/>
      <c r="Q690" s="382"/>
      <c r="R690" s="382"/>
      <c r="S690" s="382"/>
      <c r="T690" s="382"/>
      <c r="U690" s="382"/>
      <c r="V690" s="383"/>
      <c r="W690" s="383"/>
      <c r="X690" s="383"/>
      <c r="Y690" s="383"/>
    </row>
    <row r="691">
      <c r="A691" s="382"/>
      <c r="B691" s="382"/>
      <c r="C691" s="382"/>
      <c r="D691" s="382"/>
      <c r="E691" s="382"/>
      <c r="F691" s="382"/>
      <c r="G691" s="382"/>
      <c r="H691" s="382"/>
      <c r="I691" s="382"/>
      <c r="J691" s="382"/>
      <c r="K691" s="382"/>
      <c r="L691" s="382"/>
      <c r="M691" s="382"/>
      <c r="N691" s="382"/>
      <c r="O691" s="382"/>
      <c r="P691" s="382"/>
      <c r="Q691" s="382"/>
      <c r="R691" s="382"/>
      <c r="S691" s="382"/>
      <c r="T691" s="382"/>
      <c r="U691" s="382"/>
      <c r="V691" s="383"/>
      <c r="W691" s="383"/>
      <c r="X691" s="383"/>
      <c r="Y691" s="383"/>
    </row>
    <row r="692">
      <c r="A692" s="382"/>
      <c r="B692" s="382"/>
      <c r="C692" s="382"/>
      <c r="D692" s="382"/>
      <c r="E692" s="382"/>
      <c r="F692" s="382"/>
      <c r="G692" s="382"/>
      <c r="H692" s="382"/>
      <c r="I692" s="382"/>
      <c r="J692" s="382"/>
      <c r="K692" s="382"/>
      <c r="L692" s="382"/>
      <c r="M692" s="382"/>
      <c r="N692" s="382"/>
      <c r="O692" s="382"/>
      <c r="P692" s="382"/>
      <c r="Q692" s="382"/>
      <c r="R692" s="382"/>
      <c r="S692" s="382"/>
      <c r="T692" s="382"/>
      <c r="U692" s="382"/>
      <c r="V692" s="383"/>
      <c r="W692" s="383"/>
      <c r="X692" s="383"/>
      <c r="Y692" s="383"/>
    </row>
    <row r="693">
      <c r="A693" s="382"/>
      <c r="B693" s="382"/>
      <c r="C693" s="382"/>
      <c r="D693" s="382"/>
      <c r="E693" s="382"/>
      <c r="F693" s="382"/>
      <c r="G693" s="382"/>
      <c r="H693" s="382"/>
      <c r="I693" s="382"/>
      <c r="J693" s="382"/>
      <c r="K693" s="382"/>
      <c r="L693" s="382"/>
      <c r="M693" s="382"/>
      <c r="N693" s="382"/>
      <c r="O693" s="382"/>
      <c r="P693" s="382"/>
      <c r="Q693" s="382"/>
      <c r="R693" s="382"/>
      <c r="S693" s="382"/>
      <c r="T693" s="382"/>
      <c r="U693" s="382"/>
      <c r="V693" s="383"/>
      <c r="W693" s="383"/>
      <c r="X693" s="383"/>
      <c r="Y693" s="383"/>
    </row>
    <row r="694">
      <c r="A694" s="382"/>
      <c r="B694" s="382"/>
      <c r="C694" s="382"/>
      <c r="D694" s="382"/>
      <c r="E694" s="382"/>
      <c r="F694" s="382"/>
      <c r="G694" s="382"/>
      <c r="H694" s="382"/>
      <c r="I694" s="382"/>
      <c r="J694" s="382"/>
      <c r="K694" s="382"/>
      <c r="L694" s="382"/>
      <c r="M694" s="382"/>
      <c r="N694" s="382"/>
      <c r="O694" s="382"/>
      <c r="P694" s="382"/>
      <c r="Q694" s="382"/>
      <c r="R694" s="382"/>
      <c r="S694" s="382"/>
      <c r="T694" s="382"/>
      <c r="U694" s="382"/>
      <c r="V694" s="383"/>
      <c r="W694" s="383"/>
      <c r="X694" s="383"/>
      <c r="Y694" s="383"/>
    </row>
    <row r="695">
      <c r="A695" s="382"/>
      <c r="B695" s="382"/>
      <c r="C695" s="382"/>
      <c r="D695" s="382"/>
      <c r="E695" s="382"/>
      <c r="F695" s="382"/>
      <c r="G695" s="382"/>
      <c r="H695" s="382"/>
      <c r="I695" s="382"/>
      <c r="J695" s="382"/>
      <c r="K695" s="382"/>
      <c r="L695" s="382"/>
      <c r="M695" s="382"/>
      <c r="N695" s="382"/>
      <c r="O695" s="382"/>
      <c r="P695" s="382"/>
      <c r="Q695" s="382"/>
      <c r="R695" s="382"/>
      <c r="S695" s="382"/>
      <c r="T695" s="382"/>
      <c r="U695" s="382"/>
      <c r="V695" s="383"/>
      <c r="W695" s="383"/>
      <c r="X695" s="383"/>
      <c r="Y695" s="383"/>
    </row>
    <row r="696">
      <c r="A696" s="382"/>
      <c r="B696" s="382"/>
      <c r="C696" s="382"/>
      <c r="D696" s="382"/>
      <c r="E696" s="382"/>
      <c r="F696" s="382"/>
      <c r="G696" s="382"/>
      <c r="H696" s="382"/>
      <c r="I696" s="382"/>
      <c r="J696" s="382"/>
      <c r="K696" s="382"/>
      <c r="L696" s="382"/>
      <c r="M696" s="382"/>
      <c r="N696" s="382"/>
      <c r="O696" s="382"/>
      <c r="P696" s="382"/>
      <c r="Q696" s="382"/>
      <c r="R696" s="382"/>
      <c r="S696" s="382"/>
      <c r="T696" s="382"/>
      <c r="U696" s="382"/>
      <c r="V696" s="383"/>
      <c r="W696" s="383"/>
      <c r="X696" s="383"/>
      <c r="Y696" s="383"/>
    </row>
    <row r="697">
      <c r="A697" s="382"/>
      <c r="B697" s="382"/>
      <c r="C697" s="382"/>
      <c r="D697" s="382"/>
      <c r="E697" s="382"/>
      <c r="F697" s="382"/>
      <c r="G697" s="382"/>
      <c r="H697" s="382"/>
      <c r="I697" s="382"/>
      <c r="J697" s="382"/>
      <c r="K697" s="382"/>
      <c r="L697" s="382"/>
      <c r="M697" s="382"/>
      <c r="N697" s="382"/>
      <c r="O697" s="382"/>
      <c r="P697" s="382"/>
      <c r="Q697" s="382"/>
      <c r="R697" s="382"/>
      <c r="S697" s="382"/>
      <c r="T697" s="382"/>
      <c r="U697" s="382"/>
      <c r="V697" s="383"/>
      <c r="W697" s="383"/>
      <c r="X697" s="383"/>
      <c r="Y697" s="383"/>
    </row>
    <row r="698">
      <c r="A698" s="382"/>
      <c r="B698" s="382"/>
      <c r="C698" s="382"/>
      <c r="D698" s="382"/>
      <c r="E698" s="382"/>
      <c r="F698" s="382"/>
      <c r="G698" s="382"/>
      <c r="H698" s="382"/>
      <c r="I698" s="382"/>
      <c r="J698" s="382"/>
      <c r="K698" s="382"/>
      <c r="L698" s="382"/>
      <c r="M698" s="382"/>
      <c r="N698" s="382"/>
      <c r="O698" s="382"/>
      <c r="P698" s="382"/>
      <c r="Q698" s="382"/>
      <c r="R698" s="382"/>
      <c r="S698" s="382"/>
      <c r="T698" s="382"/>
      <c r="U698" s="382"/>
      <c r="V698" s="383"/>
      <c r="W698" s="383"/>
      <c r="X698" s="383"/>
      <c r="Y698" s="383"/>
    </row>
    <row r="699">
      <c r="A699" s="382"/>
      <c r="B699" s="382"/>
      <c r="C699" s="382"/>
      <c r="D699" s="382"/>
      <c r="E699" s="382"/>
      <c r="F699" s="382"/>
      <c r="G699" s="382"/>
      <c r="H699" s="382"/>
      <c r="I699" s="382"/>
      <c r="J699" s="382"/>
      <c r="K699" s="382"/>
      <c r="L699" s="382"/>
      <c r="M699" s="382"/>
      <c r="N699" s="382"/>
      <c r="O699" s="382"/>
      <c r="P699" s="382"/>
      <c r="Q699" s="382"/>
      <c r="R699" s="382"/>
      <c r="S699" s="382"/>
      <c r="T699" s="382"/>
      <c r="U699" s="382"/>
      <c r="V699" s="383"/>
      <c r="W699" s="383"/>
      <c r="X699" s="383"/>
      <c r="Y699" s="383"/>
    </row>
    <row r="700">
      <c r="A700" s="382"/>
      <c r="B700" s="382"/>
      <c r="C700" s="382"/>
      <c r="D700" s="382"/>
      <c r="E700" s="382"/>
      <c r="F700" s="382"/>
      <c r="G700" s="382"/>
      <c r="H700" s="382"/>
      <c r="I700" s="382"/>
      <c r="J700" s="382"/>
      <c r="K700" s="382"/>
      <c r="L700" s="382"/>
      <c r="M700" s="382"/>
      <c r="N700" s="382"/>
      <c r="O700" s="382"/>
      <c r="P700" s="382"/>
      <c r="Q700" s="382"/>
      <c r="R700" s="382"/>
      <c r="S700" s="382"/>
      <c r="T700" s="382"/>
      <c r="U700" s="382"/>
      <c r="V700" s="383"/>
      <c r="W700" s="383"/>
      <c r="X700" s="383"/>
      <c r="Y700" s="383"/>
    </row>
    <row r="701">
      <c r="A701" s="382"/>
      <c r="B701" s="382"/>
      <c r="C701" s="382"/>
      <c r="D701" s="382"/>
      <c r="E701" s="382"/>
      <c r="F701" s="382"/>
      <c r="G701" s="382"/>
      <c r="H701" s="382"/>
      <c r="I701" s="382"/>
      <c r="J701" s="382"/>
      <c r="K701" s="382"/>
      <c r="L701" s="382"/>
      <c r="M701" s="382"/>
      <c r="N701" s="382"/>
      <c r="O701" s="382"/>
      <c r="P701" s="382"/>
      <c r="Q701" s="382"/>
      <c r="R701" s="382"/>
      <c r="S701" s="382"/>
      <c r="T701" s="382"/>
      <c r="U701" s="382"/>
      <c r="V701" s="383"/>
      <c r="W701" s="383"/>
      <c r="X701" s="383"/>
      <c r="Y701" s="383"/>
    </row>
    <row r="702">
      <c r="A702" s="382"/>
      <c r="B702" s="382"/>
      <c r="C702" s="382"/>
      <c r="D702" s="382"/>
      <c r="E702" s="382"/>
      <c r="F702" s="382"/>
      <c r="G702" s="382"/>
      <c r="H702" s="382"/>
      <c r="I702" s="382"/>
      <c r="J702" s="382"/>
      <c r="K702" s="382"/>
      <c r="L702" s="382"/>
      <c r="M702" s="382"/>
      <c r="N702" s="382"/>
      <c r="O702" s="382"/>
      <c r="P702" s="382"/>
      <c r="Q702" s="382"/>
      <c r="R702" s="382"/>
      <c r="S702" s="382"/>
      <c r="T702" s="382"/>
      <c r="U702" s="382"/>
      <c r="V702" s="383"/>
      <c r="W702" s="383"/>
      <c r="X702" s="383"/>
      <c r="Y702" s="383"/>
    </row>
    <row r="703">
      <c r="A703" s="382"/>
      <c r="B703" s="382"/>
      <c r="C703" s="382"/>
      <c r="D703" s="382"/>
      <c r="E703" s="382"/>
      <c r="F703" s="382"/>
      <c r="G703" s="382"/>
      <c r="H703" s="382"/>
      <c r="I703" s="382"/>
      <c r="J703" s="382"/>
      <c r="K703" s="382"/>
      <c r="L703" s="382"/>
      <c r="M703" s="382"/>
      <c r="N703" s="382"/>
      <c r="O703" s="382"/>
      <c r="P703" s="382"/>
      <c r="Q703" s="382"/>
      <c r="R703" s="382"/>
      <c r="S703" s="382"/>
      <c r="T703" s="382"/>
      <c r="U703" s="382"/>
      <c r="V703" s="383"/>
      <c r="W703" s="383"/>
      <c r="X703" s="383"/>
      <c r="Y703" s="383"/>
    </row>
    <row r="704">
      <c r="A704" s="382"/>
      <c r="B704" s="382"/>
      <c r="C704" s="382"/>
      <c r="D704" s="382"/>
      <c r="E704" s="382"/>
      <c r="F704" s="382"/>
      <c r="G704" s="382"/>
      <c r="H704" s="382"/>
      <c r="I704" s="382"/>
      <c r="J704" s="382"/>
      <c r="K704" s="382"/>
      <c r="L704" s="382"/>
      <c r="M704" s="382"/>
      <c r="N704" s="382"/>
      <c r="O704" s="382"/>
      <c r="P704" s="382"/>
      <c r="Q704" s="382"/>
      <c r="R704" s="382"/>
      <c r="S704" s="382"/>
      <c r="T704" s="382"/>
      <c r="U704" s="382"/>
      <c r="V704" s="383"/>
      <c r="W704" s="383"/>
      <c r="X704" s="383"/>
      <c r="Y704" s="383"/>
    </row>
    <row r="705">
      <c r="A705" s="382"/>
      <c r="B705" s="382"/>
      <c r="C705" s="382"/>
      <c r="D705" s="382"/>
      <c r="E705" s="382"/>
      <c r="F705" s="382"/>
      <c r="G705" s="382"/>
      <c r="H705" s="382"/>
      <c r="I705" s="382"/>
      <c r="J705" s="382"/>
      <c r="K705" s="382"/>
      <c r="L705" s="382"/>
      <c r="M705" s="382"/>
      <c r="N705" s="382"/>
      <c r="O705" s="382"/>
      <c r="P705" s="382"/>
      <c r="Q705" s="382"/>
      <c r="R705" s="382"/>
      <c r="S705" s="382"/>
      <c r="T705" s="382"/>
      <c r="U705" s="382"/>
      <c r="V705" s="383"/>
      <c r="W705" s="383"/>
      <c r="X705" s="383"/>
      <c r="Y705" s="383"/>
    </row>
    <row r="706">
      <c r="A706" s="382"/>
      <c r="B706" s="382"/>
      <c r="C706" s="382"/>
      <c r="D706" s="382"/>
      <c r="E706" s="382"/>
      <c r="F706" s="382"/>
      <c r="G706" s="382"/>
      <c r="H706" s="382"/>
      <c r="I706" s="382"/>
      <c r="J706" s="382"/>
      <c r="K706" s="382"/>
      <c r="L706" s="382"/>
      <c r="M706" s="382"/>
      <c r="N706" s="382"/>
      <c r="O706" s="382"/>
      <c r="P706" s="382"/>
      <c r="Q706" s="382"/>
      <c r="R706" s="382"/>
      <c r="S706" s="382"/>
      <c r="T706" s="382"/>
      <c r="U706" s="382"/>
      <c r="V706" s="383"/>
      <c r="W706" s="383"/>
      <c r="X706" s="383"/>
      <c r="Y706" s="383"/>
    </row>
    <row r="707">
      <c r="A707" s="382"/>
      <c r="B707" s="382"/>
      <c r="C707" s="382"/>
      <c r="D707" s="382"/>
      <c r="E707" s="382"/>
      <c r="F707" s="382"/>
      <c r="G707" s="382"/>
      <c r="H707" s="382"/>
      <c r="I707" s="382"/>
      <c r="J707" s="382"/>
      <c r="K707" s="382"/>
      <c r="L707" s="382"/>
      <c r="M707" s="382"/>
      <c r="N707" s="382"/>
      <c r="O707" s="382"/>
      <c r="P707" s="382"/>
      <c r="Q707" s="382"/>
      <c r="R707" s="382"/>
      <c r="S707" s="382"/>
      <c r="T707" s="382"/>
      <c r="U707" s="382"/>
      <c r="V707" s="383"/>
      <c r="W707" s="383"/>
      <c r="X707" s="383"/>
      <c r="Y707" s="383"/>
    </row>
    <row r="708">
      <c r="A708" s="382"/>
      <c r="B708" s="382"/>
      <c r="C708" s="382"/>
      <c r="D708" s="382"/>
      <c r="E708" s="382"/>
      <c r="F708" s="382"/>
      <c r="G708" s="382"/>
      <c r="H708" s="382"/>
      <c r="I708" s="382"/>
      <c r="J708" s="382"/>
      <c r="K708" s="382"/>
      <c r="L708" s="382"/>
      <c r="M708" s="382"/>
      <c r="N708" s="382"/>
      <c r="O708" s="382"/>
      <c r="P708" s="382"/>
      <c r="Q708" s="382"/>
      <c r="R708" s="382"/>
      <c r="S708" s="382"/>
      <c r="T708" s="382"/>
      <c r="U708" s="382"/>
      <c r="V708" s="383"/>
      <c r="W708" s="383"/>
      <c r="X708" s="383"/>
      <c r="Y708" s="383"/>
    </row>
    <row r="709">
      <c r="A709" s="382"/>
      <c r="B709" s="382"/>
      <c r="C709" s="382"/>
      <c r="D709" s="382"/>
      <c r="E709" s="382"/>
      <c r="F709" s="382"/>
      <c r="G709" s="382"/>
      <c r="H709" s="382"/>
      <c r="I709" s="382"/>
      <c r="J709" s="382"/>
      <c r="K709" s="382"/>
      <c r="L709" s="382"/>
      <c r="M709" s="382"/>
      <c r="N709" s="382"/>
      <c r="O709" s="382"/>
      <c r="P709" s="382"/>
      <c r="Q709" s="382"/>
      <c r="R709" s="382"/>
      <c r="S709" s="382"/>
      <c r="T709" s="382"/>
      <c r="U709" s="382"/>
      <c r="V709" s="383"/>
      <c r="W709" s="383"/>
      <c r="X709" s="383"/>
      <c r="Y709" s="383"/>
    </row>
    <row r="710">
      <c r="A710" s="382"/>
      <c r="B710" s="382"/>
      <c r="C710" s="382"/>
      <c r="D710" s="382"/>
      <c r="E710" s="382"/>
      <c r="F710" s="382"/>
      <c r="G710" s="382"/>
      <c r="H710" s="382"/>
      <c r="I710" s="382"/>
      <c r="J710" s="382"/>
      <c r="K710" s="382"/>
      <c r="L710" s="382"/>
      <c r="M710" s="382"/>
      <c r="N710" s="382"/>
      <c r="O710" s="382"/>
      <c r="P710" s="382"/>
      <c r="Q710" s="382"/>
      <c r="R710" s="382"/>
      <c r="S710" s="382"/>
      <c r="T710" s="382"/>
      <c r="U710" s="382"/>
      <c r="V710" s="383"/>
      <c r="W710" s="383"/>
      <c r="X710" s="383"/>
      <c r="Y710" s="383"/>
    </row>
    <row r="711">
      <c r="A711" s="382"/>
      <c r="B711" s="382"/>
      <c r="C711" s="382"/>
      <c r="D711" s="382"/>
      <c r="E711" s="382"/>
      <c r="F711" s="382"/>
      <c r="G711" s="382"/>
      <c r="H711" s="382"/>
      <c r="I711" s="382"/>
      <c r="J711" s="382"/>
      <c r="K711" s="382"/>
      <c r="L711" s="382"/>
      <c r="M711" s="382"/>
      <c r="N711" s="382"/>
      <c r="O711" s="382"/>
      <c r="P711" s="382"/>
      <c r="Q711" s="382"/>
      <c r="R711" s="382"/>
      <c r="S711" s="382"/>
      <c r="T711" s="382"/>
      <c r="U711" s="382"/>
      <c r="V711" s="383"/>
      <c r="W711" s="383"/>
      <c r="X711" s="383"/>
      <c r="Y711" s="383"/>
    </row>
    <row r="712">
      <c r="A712" s="382"/>
      <c r="B712" s="382"/>
      <c r="C712" s="382"/>
      <c r="D712" s="382"/>
      <c r="E712" s="382"/>
      <c r="F712" s="382"/>
      <c r="G712" s="382"/>
      <c r="H712" s="382"/>
      <c r="I712" s="382"/>
      <c r="J712" s="382"/>
      <c r="K712" s="382"/>
      <c r="L712" s="382"/>
      <c r="M712" s="382"/>
      <c r="N712" s="382"/>
      <c r="O712" s="382"/>
      <c r="P712" s="382"/>
      <c r="Q712" s="382"/>
      <c r="R712" s="382"/>
      <c r="S712" s="382"/>
      <c r="T712" s="382"/>
      <c r="U712" s="382"/>
      <c r="V712" s="383"/>
      <c r="W712" s="383"/>
      <c r="X712" s="383"/>
      <c r="Y712" s="383"/>
    </row>
    <row r="713">
      <c r="A713" s="382"/>
      <c r="B713" s="382"/>
      <c r="C713" s="382"/>
      <c r="D713" s="382"/>
      <c r="E713" s="382"/>
      <c r="F713" s="382"/>
      <c r="G713" s="382"/>
      <c r="H713" s="382"/>
      <c r="I713" s="382"/>
      <c r="J713" s="382"/>
      <c r="K713" s="382"/>
      <c r="L713" s="382"/>
      <c r="M713" s="382"/>
      <c r="N713" s="382"/>
      <c r="O713" s="382"/>
      <c r="P713" s="382"/>
      <c r="Q713" s="382"/>
      <c r="R713" s="382"/>
      <c r="S713" s="382"/>
      <c r="T713" s="382"/>
      <c r="U713" s="382"/>
      <c r="V713" s="383"/>
      <c r="W713" s="383"/>
      <c r="X713" s="383"/>
      <c r="Y713" s="383"/>
    </row>
    <row r="714">
      <c r="A714" s="382"/>
      <c r="B714" s="382"/>
      <c r="C714" s="382"/>
      <c r="D714" s="382"/>
      <c r="E714" s="382"/>
      <c r="F714" s="382"/>
      <c r="G714" s="382"/>
      <c r="H714" s="382"/>
      <c r="I714" s="382"/>
      <c r="J714" s="382"/>
      <c r="K714" s="382"/>
      <c r="L714" s="382"/>
      <c r="M714" s="382"/>
      <c r="N714" s="382"/>
      <c r="O714" s="382"/>
      <c r="P714" s="382"/>
      <c r="Q714" s="382"/>
      <c r="R714" s="382"/>
      <c r="S714" s="382"/>
      <c r="T714" s="382"/>
      <c r="U714" s="382"/>
      <c r="V714" s="383"/>
      <c r="W714" s="383"/>
      <c r="X714" s="383"/>
      <c r="Y714" s="383"/>
    </row>
    <row r="715">
      <c r="A715" s="382"/>
      <c r="B715" s="382"/>
      <c r="C715" s="382"/>
      <c r="D715" s="382"/>
      <c r="E715" s="382"/>
      <c r="F715" s="382"/>
      <c r="G715" s="382"/>
      <c r="H715" s="382"/>
      <c r="I715" s="382"/>
      <c r="J715" s="382"/>
      <c r="K715" s="382"/>
      <c r="L715" s="382"/>
      <c r="M715" s="382"/>
      <c r="N715" s="382"/>
      <c r="O715" s="382"/>
      <c r="P715" s="382"/>
      <c r="Q715" s="382"/>
      <c r="R715" s="382"/>
      <c r="S715" s="382"/>
      <c r="T715" s="382"/>
      <c r="U715" s="382"/>
      <c r="V715" s="383"/>
      <c r="W715" s="383"/>
      <c r="X715" s="383"/>
      <c r="Y715" s="383"/>
    </row>
    <row r="716">
      <c r="A716" s="382"/>
      <c r="B716" s="382"/>
      <c r="C716" s="382"/>
      <c r="D716" s="382"/>
      <c r="E716" s="382"/>
      <c r="F716" s="382"/>
      <c r="G716" s="382"/>
      <c r="H716" s="382"/>
      <c r="I716" s="382"/>
      <c r="J716" s="382"/>
      <c r="K716" s="382"/>
      <c r="L716" s="382"/>
      <c r="M716" s="382"/>
      <c r="N716" s="382"/>
      <c r="O716" s="382"/>
      <c r="P716" s="382"/>
      <c r="Q716" s="382"/>
      <c r="R716" s="382"/>
      <c r="S716" s="382"/>
      <c r="T716" s="382"/>
      <c r="U716" s="382"/>
      <c r="V716" s="383"/>
      <c r="W716" s="383"/>
      <c r="X716" s="383"/>
      <c r="Y716" s="383"/>
    </row>
    <row r="717">
      <c r="A717" s="382"/>
      <c r="B717" s="382"/>
      <c r="C717" s="382"/>
      <c r="D717" s="382"/>
      <c r="E717" s="382"/>
      <c r="F717" s="382"/>
      <c r="G717" s="382"/>
      <c r="H717" s="382"/>
      <c r="I717" s="382"/>
      <c r="J717" s="382"/>
      <c r="K717" s="382"/>
      <c r="L717" s="382"/>
      <c r="M717" s="382"/>
      <c r="N717" s="382"/>
      <c r="O717" s="382"/>
      <c r="P717" s="382"/>
      <c r="Q717" s="382"/>
      <c r="R717" s="382"/>
      <c r="S717" s="382"/>
      <c r="T717" s="382"/>
      <c r="U717" s="382"/>
      <c r="V717" s="383"/>
      <c r="W717" s="383"/>
      <c r="X717" s="383"/>
      <c r="Y717" s="383"/>
    </row>
    <row r="718">
      <c r="A718" s="382"/>
      <c r="B718" s="382"/>
      <c r="C718" s="382"/>
      <c r="D718" s="382"/>
      <c r="E718" s="382"/>
      <c r="F718" s="382"/>
      <c r="G718" s="382"/>
      <c r="H718" s="382"/>
      <c r="I718" s="382"/>
      <c r="J718" s="382"/>
      <c r="K718" s="382"/>
      <c r="L718" s="382"/>
      <c r="M718" s="382"/>
      <c r="N718" s="382"/>
      <c r="O718" s="382"/>
      <c r="P718" s="382"/>
      <c r="Q718" s="382"/>
      <c r="R718" s="382"/>
      <c r="S718" s="382"/>
      <c r="T718" s="382"/>
      <c r="U718" s="382"/>
      <c r="V718" s="383"/>
      <c r="W718" s="383"/>
      <c r="X718" s="383"/>
      <c r="Y718" s="383"/>
    </row>
    <row r="719">
      <c r="A719" s="382"/>
      <c r="B719" s="382"/>
      <c r="C719" s="382"/>
      <c r="D719" s="382"/>
      <c r="E719" s="382"/>
      <c r="F719" s="382"/>
      <c r="G719" s="382"/>
      <c r="H719" s="382"/>
      <c r="I719" s="382"/>
      <c r="J719" s="382"/>
      <c r="K719" s="382"/>
      <c r="L719" s="382"/>
      <c r="M719" s="382"/>
      <c r="N719" s="382"/>
      <c r="O719" s="382"/>
      <c r="P719" s="382"/>
      <c r="Q719" s="382"/>
      <c r="R719" s="382"/>
      <c r="S719" s="382"/>
      <c r="T719" s="382"/>
      <c r="U719" s="382"/>
      <c r="V719" s="383"/>
      <c r="W719" s="383"/>
      <c r="X719" s="383"/>
      <c r="Y719" s="383"/>
    </row>
    <row r="720">
      <c r="A720" s="382"/>
      <c r="B720" s="382"/>
      <c r="C720" s="382"/>
      <c r="D720" s="382"/>
      <c r="E720" s="382"/>
      <c r="F720" s="382"/>
      <c r="G720" s="382"/>
      <c r="H720" s="382"/>
      <c r="I720" s="382"/>
      <c r="J720" s="382"/>
      <c r="K720" s="382"/>
      <c r="L720" s="382"/>
      <c r="M720" s="382"/>
      <c r="N720" s="382"/>
      <c r="O720" s="382"/>
      <c r="P720" s="382"/>
      <c r="Q720" s="382"/>
      <c r="R720" s="382"/>
      <c r="S720" s="382"/>
      <c r="T720" s="382"/>
      <c r="U720" s="382"/>
      <c r="V720" s="383"/>
      <c r="W720" s="383"/>
      <c r="X720" s="383"/>
      <c r="Y720" s="383"/>
    </row>
    <row r="721">
      <c r="A721" s="382"/>
      <c r="B721" s="382"/>
      <c r="C721" s="382"/>
      <c r="D721" s="382"/>
      <c r="E721" s="382"/>
      <c r="F721" s="382"/>
      <c r="G721" s="382"/>
      <c r="H721" s="382"/>
      <c r="I721" s="382"/>
      <c r="J721" s="382"/>
      <c r="K721" s="382"/>
      <c r="L721" s="382"/>
      <c r="M721" s="382"/>
      <c r="N721" s="382"/>
      <c r="O721" s="382"/>
      <c r="P721" s="382"/>
      <c r="Q721" s="382"/>
      <c r="R721" s="382"/>
      <c r="S721" s="382"/>
      <c r="T721" s="382"/>
      <c r="U721" s="382"/>
      <c r="V721" s="383"/>
      <c r="W721" s="383"/>
      <c r="X721" s="383"/>
      <c r="Y721" s="383"/>
    </row>
    <row r="722">
      <c r="A722" s="382"/>
      <c r="B722" s="382"/>
      <c r="C722" s="382"/>
      <c r="D722" s="382"/>
      <c r="E722" s="382"/>
      <c r="F722" s="382"/>
      <c r="G722" s="382"/>
      <c r="H722" s="382"/>
      <c r="I722" s="382"/>
      <c r="J722" s="382"/>
      <c r="K722" s="382"/>
      <c r="L722" s="382"/>
      <c r="M722" s="382"/>
      <c r="N722" s="382"/>
      <c r="O722" s="382"/>
      <c r="P722" s="382"/>
      <c r="Q722" s="382"/>
      <c r="R722" s="382"/>
      <c r="S722" s="382"/>
      <c r="T722" s="382"/>
      <c r="U722" s="382"/>
      <c r="V722" s="383"/>
      <c r="W722" s="383"/>
      <c r="X722" s="383"/>
      <c r="Y722" s="383"/>
    </row>
    <row r="723">
      <c r="A723" s="382"/>
      <c r="B723" s="382"/>
      <c r="C723" s="382"/>
      <c r="D723" s="382"/>
      <c r="E723" s="382"/>
      <c r="F723" s="382"/>
      <c r="G723" s="382"/>
      <c r="H723" s="382"/>
      <c r="I723" s="382"/>
      <c r="J723" s="382"/>
      <c r="K723" s="382"/>
      <c r="L723" s="382"/>
      <c r="M723" s="382"/>
      <c r="N723" s="382"/>
      <c r="O723" s="382"/>
      <c r="P723" s="382"/>
      <c r="Q723" s="382"/>
      <c r="R723" s="382"/>
      <c r="S723" s="382"/>
      <c r="T723" s="382"/>
      <c r="U723" s="382"/>
      <c r="V723" s="383"/>
      <c r="W723" s="383"/>
      <c r="X723" s="383"/>
      <c r="Y723" s="383"/>
    </row>
    <row r="724">
      <c r="A724" s="382"/>
      <c r="B724" s="382"/>
      <c r="C724" s="382"/>
      <c r="D724" s="382"/>
      <c r="E724" s="382"/>
      <c r="F724" s="382"/>
      <c r="G724" s="382"/>
      <c r="H724" s="382"/>
      <c r="I724" s="382"/>
      <c r="J724" s="382"/>
      <c r="K724" s="382"/>
      <c r="L724" s="382"/>
      <c r="M724" s="382"/>
      <c r="N724" s="382"/>
      <c r="O724" s="382"/>
      <c r="P724" s="382"/>
      <c r="Q724" s="382"/>
      <c r="R724" s="382"/>
      <c r="S724" s="382"/>
      <c r="T724" s="382"/>
      <c r="U724" s="382"/>
      <c r="V724" s="383"/>
      <c r="W724" s="383"/>
      <c r="X724" s="383"/>
      <c r="Y724" s="383"/>
    </row>
    <row r="725">
      <c r="A725" s="382"/>
      <c r="B725" s="382"/>
      <c r="C725" s="382"/>
      <c r="D725" s="382"/>
      <c r="E725" s="382"/>
      <c r="F725" s="382"/>
      <c r="G725" s="382"/>
      <c r="H725" s="382"/>
      <c r="I725" s="382"/>
      <c r="J725" s="382"/>
      <c r="K725" s="382"/>
      <c r="L725" s="382"/>
      <c r="M725" s="382"/>
      <c r="N725" s="382"/>
      <c r="O725" s="382"/>
      <c r="P725" s="382"/>
      <c r="Q725" s="382"/>
      <c r="R725" s="382"/>
      <c r="S725" s="382"/>
      <c r="T725" s="382"/>
      <c r="U725" s="382"/>
      <c r="V725" s="383"/>
      <c r="W725" s="383"/>
      <c r="X725" s="383"/>
      <c r="Y725" s="383"/>
    </row>
    <row r="726">
      <c r="A726" s="382"/>
      <c r="B726" s="382"/>
      <c r="C726" s="382"/>
      <c r="D726" s="382"/>
      <c r="E726" s="382"/>
      <c r="F726" s="382"/>
      <c r="G726" s="382"/>
      <c r="H726" s="382"/>
      <c r="I726" s="382"/>
      <c r="J726" s="382"/>
      <c r="K726" s="382"/>
      <c r="L726" s="382"/>
      <c r="M726" s="382"/>
      <c r="N726" s="382"/>
      <c r="O726" s="382"/>
      <c r="P726" s="382"/>
      <c r="Q726" s="382"/>
      <c r="R726" s="382"/>
      <c r="S726" s="382"/>
      <c r="T726" s="382"/>
      <c r="U726" s="382"/>
      <c r="V726" s="383"/>
      <c r="W726" s="383"/>
      <c r="X726" s="383"/>
      <c r="Y726" s="383"/>
    </row>
    <row r="727">
      <c r="A727" s="382"/>
      <c r="B727" s="382"/>
      <c r="C727" s="382"/>
      <c r="D727" s="382"/>
      <c r="E727" s="382"/>
      <c r="F727" s="382"/>
      <c r="G727" s="382"/>
      <c r="H727" s="382"/>
      <c r="I727" s="382"/>
      <c r="J727" s="382"/>
      <c r="K727" s="382"/>
      <c r="L727" s="382"/>
      <c r="M727" s="382"/>
      <c r="N727" s="382"/>
      <c r="O727" s="382"/>
      <c r="P727" s="382"/>
      <c r="Q727" s="382"/>
      <c r="R727" s="382"/>
      <c r="S727" s="382"/>
      <c r="T727" s="382"/>
      <c r="U727" s="382"/>
      <c r="V727" s="383"/>
      <c r="W727" s="383"/>
      <c r="X727" s="383"/>
      <c r="Y727" s="383"/>
    </row>
    <row r="728">
      <c r="A728" s="382"/>
      <c r="B728" s="382"/>
      <c r="C728" s="382"/>
      <c r="D728" s="382"/>
      <c r="E728" s="382"/>
      <c r="F728" s="382"/>
      <c r="G728" s="382"/>
      <c r="H728" s="382"/>
      <c r="I728" s="382"/>
      <c r="J728" s="382"/>
      <c r="K728" s="382"/>
      <c r="L728" s="382"/>
      <c r="M728" s="382"/>
      <c r="N728" s="382"/>
      <c r="O728" s="382"/>
      <c r="P728" s="382"/>
      <c r="Q728" s="382"/>
      <c r="R728" s="382"/>
      <c r="S728" s="382"/>
      <c r="T728" s="382"/>
      <c r="U728" s="382"/>
      <c r="V728" s="383"/>
      <c r="W728" s="383"/>
      <c r="X728" s="383"/>
      <c r="Y728" s="383"/>
    </row>
    <row r="729">
      <c r="A729" s="382"/>
      <c r="B729" s="382"/>
      <c r="C729" s="382"/>
      <c r="D729" s="382"/>
      <c r="E729" s="382"/>
      <c r="F729" s="382"/>
      <c r="G729" s="382"/>
      <c r="H729" s="382"/>
      <c r="I729" s="382"/>
      <c r="J729" s="382"/>
      <c r="K729" s="382"/>
      <c r="L729" s="382"/>
      <c r="M729" s="382"/>
      <c r="N729" s="382"/>
      <c r="O729" s="382"/>
      <c r="P729" s="382"/>
      <c r="Q729" s="382"/>
      <c r="R729" s="382"/>
      <c r="S729" s="382"/>
      <c r="T729" s="382"/>
      <c r="U729" s="382"/>
      <c r="V729" s="383"/>
      <c r="W729" s="383"/>
      <c r="X729" s="383"/>
      <c r="Y729" s="383"/>
    </row>
    <row r="730">
      <c r="A730" s="382"/>
      <c r="B730" s="382"/>
      <c r="C730" s="382"/>
      <c r="D730" s="382"/>
      <c r="E730" s="382"/>
      <c r="F730" s="382"/>
      <c r="G730" s="382"/>
      <c r="H730" s="382"/>
      <c r="I730" s="382"/>
      <c r="J730" s="382"/>
      <c r="K730" s="382"/>
      <c r="L730" s="382"/>
      <c r="M730" s="382"/>
      <c r="N730" s="382"/>
      <c r="O730" s="382"/>
      <c r="P730" s="382"/>
      <c r="Q730" s="382"/>
      <c r="R730" s="382"/>
      <c r="S730" s="382"/>
      <c r="T730" s="382"/>
      <c r="U730" s="382"/>
      <c r="V730" s="383"/>
      <c r="W730" s="383"/>
      <c r="X730" s="383"/>
      <c r="Y730" s="383"/>
    </row>
    <row r="731">
      <c r="A731" s="382"/>
      <c r="B731" s="382"/>
      <c r="C731" s="382"/>
      <c r="D731" s="382"/>
      <c r="E731" s="382"/>
      <c r="F731" s="382"/>
      <c r="G731" s="382"/>
      <c r="H731" s="382"/>
      <c r="I731" s="382"/>
      <c r="J731" s="382"/>
      <c r="K731" s="382"/>
      <c r="L731" s="382"/>
      <c r="M731" s="382"/>
      <c r="N731" s="382"/>
      <c r="O731" s="382"/>
      <c r="P731" s="382"/>
      <c r="Q731" s="382"/>
      <c r="R731" s="382"/>
      <c r="S731" s="382"/>
      <c r="T731" s="382"/>
      <c r="U731" s="382"/>
      <c r="V731" s="383"/>
      <c r="W731" s="383"/>
      <c r="X731" s="383"/>
      <c r="Y731" s="383"/>
    </row>
    <row r="732">
      <c r="A732" s="382"/>
      <c r="B732" s="382"/>
      <c r="C732" s="382"/>
      <c r="D732" s="382"/>
      <c r="E732" s="382"/>
      <c r="F732" s="382"/>
      <c r="G732" s="382"/>
      <c r="H732" s="382"/>
      <c r="I732" s="382"/>
      <c r="J732" s="382"/>
      <c r="K732" s="382"/>
      <c r="L732" s="382"/>
      <c r="M732" s="382"/>
      <c r="N732" s="382"/>
      <c r="O732" s="382"/>
      <c r="P732" s="382"/>
      <c r="Q732" s="382"/>
      <c r="R732" s="382"/>
      <c r="S732" s="382"/>
      <c r="T732" s="382"/>
      <c r="U732" s="382"/>
      <c r="V732" s="383"/>
      <c r="W732" s="383"/>
      <c r="X732" s="383"/>
      <c r="Y732" s="383"/>
    </row>
    <row r="733">
      <c r="A733" s="382"/>
      <c r="B733" s="382"/>
      <c r="C733" s="382"/>
      <c r="D733" s="382"/>
      <c r="E733" s="382"/>
      <c r="F733" s="382"/>
      <c r="G733" s="382"/>
      <c r="H733" s="382"/>
      <c r="I733" s="382"/>
      <c r="J733" s="382"/>
      <c r="K733" s="382"/>
      <c r="L733" s="382"/>
      <c r="M733" s="382"/>
      <c r="N733" s="382"/>
      <c r="O733" s="382"/>
      <c r="P733" s="382"/>
      <c r="Q733" s="382"/>
      <c r="R733" s="382"/>
      <c r="S733" s="382"/>
      <c r="T733" s="382"/>
      <c r="U733" s="382"/>
      <c r="V733" s="383"/>
      <c r="W733" s="383"/>
      <c r="X733" s="383"/>
      <c r="Y733" s="383"/>
    </row>
    <row r="734">
      <c r="A734" s="382"/>
      <c r="B734" s="382"/>
      <c r="C734" s="382"/>
      <c r="D734" s="382"/>
      <c r="E734" s="382"/>
      <c r="F734" s="382"/>
      <c r="G734" s="382"/>
      <c r="H734" s="382"/>
      <c r="I734" s="382"/>
      <c r="J734" s="382"/>
      <c r="K734" s="382"/>
      <c r="L734" s="382"/>
      <c r="M734" s="382"/>
      <c r="N734" s="382"/>
      <c r="O734" s="382"/>
      <c r="P734" s="382"/>
      <c r="Q734" s="382"/>
      <c r="R734" s="382"/>
      <c r="S734" s="382"/>
      <c r="T734" s="382"/>
      <c r="U734" s="382"/>
      <c r="V734" s="383"/>
      <c r="W734" s="383"/>
      <c r="X734" s="383"/>
      <c r="Y734" s="383"/>
    </row>
    <row r="735">
      <c r="A735" s="382"/>
      <c r="B735" s="382"/>
      <c r="C735" s="382"/>
      <c r="D735" s="382"/>
      <c r="E735" s="382"/>
      <c r="F735" s="382"/>
      <c r="G735" s="382"/>
      <c r="H735" s="382"/>
      <c r="I735" s="382"/>
      <c r="J735" s="382"/>
      <c r="K735" s="382"/>
      <c r="L735" s="382"/>
      <c r="M735" s="382"/>
      <c r="N735" s="382"/>
      <c r="O735" s="382"/>
      <c r="P735" s="382"/>
      <c r="Q735" s="382"/>
      <c r="R735" s="382"/>
      <c r="S735" s="382"/>
      <c r="T735" s="382"/>
      <c r="U735" s="382"/>
      <c r="V735" s="383"/>
      <c r="W735" s="383"/>
      <c r="X735" s="383"/>
      <c r="Y735" s="383"/>
    </row>
    <row r="736">
      <c r="A736" s="382"/>
      <c r="B736" s="382"/>
      <c r="C736" s="382"/>
      <c r="D736" s="382"/>
      <c r="E736" s="382"/>
      <c r="F736" s="382"/>
      <c r="G736" s="382"/>
      <c r="H736" s="382"/>
      <c r="I736" s="382"/>
      <c r="J736" s="382"/>
      <c r="K736" s="382"/>
      <c r="L736" s="382"/>
      <c r="M736" s="382"/>
      <c r="N736" s="382"/>
      <c r="O736" s="382"/>
      <c r="P736" s="382"/>
      <c r="Q736" s="382"/>
      <c r="R736" s="382"/>
      <c r="S736" s="382"/>
      <c r="T736" s="382"/>
      <c r="U736" s="382"/>
      <c r="V736" s="383"/>
      <c r="W736" s="383"/>
      <c r="X736" s="383"/>
      <c r="Y736" s="383"/>
    </row>
    <row r="737">
      <c r="A737" s="382"/>
      <c r="B737" s="382"/>
      <c r="C737" s="382"/>
      <c r="D737" s="382"/>
      <c r="E737" s="382"/>
      <c r="F737" s="382"/>
      <c r="G737" s="382"/>
      <c r="H737" s="382"/>
      <c r="I737" s="382"/>
      <c r="J737" s="382"/>
      <c r="K737" s="382"/>
      <c r="L737" s="382"/>
      <c r="M737" s="382"/>
      <c r="N737" s="382"/>
      <c r="O737" s="382"/>
      <c r="P737" s="382"/>
      <c r="Q737" s="382"/>
      <c r="R737" s="382"/>
      <c r="S737" s="382"/>
      <c r="T737" s="382"/>
      <c r="U737" s="382"/>
      <c r="V737" s="383"/>
      <c r="W737" s="383"/>
      <c r="X737" s="383"/>
      <c r="Y737" s="383"/>
    </row>
    <row r="738">
      <c r="A738" s="382"/>
      <c r="B738" s="382"/>
      <c r="C738" s="382"/>
      <c r="D738" s="382"/>
      <c r="E738" s="382"/>
      <c r="F738" s="382"/>
      <c r="G738" s="382"/>
      <c r="H738" s="382"/>
      <c r="I738" s="382"/>
      <c r="J738" s="382"/>
      <c r="K738" s="382"/>
      <c r="L738" s="382"/>
      <c r="M738" s="382"/>
      <c r="N738" s="382"/>
      <c r="O738" s="382"/>
      <c r="P738" s="382"/>
      <c r="Q738" s="382"/>
      <c r="R738" s="382"/>
      <c r="S738" s="382"/>
      <c r="T738" s="382"/>
      <c r="U738" s="382"/>
      <c r="V738" s="383"/>
      <c r="W738" s="383"/>
      <c r="X738" s="383"/>
      <c r="Y738" s="383"/>
    </row>
    <row r="739">
      <c r="A739" s="382"/>
      <c r="B739" s="382"/>
      <c r="C739" s="382"/>
      <c r="D739" s="382"/>
      <c r="E739" s="382"/>
      <c r="F739" s="382"/>
      <c r="G739" s="382"/>
      <c r="H739" s="382"/>
      <c r="I739" s="382"/>
      <c r="J739" s="382"/>
      <c r="K739" s="382"/>
      <c r="L739" s="382"/>
      <c r="M739" s="382"/>
      <c r="N739" s="382"/>
      <c r="O739" s="382"/>
      <c r="P739" s="382"/>
      <c r="Q739" s="382"/>
      <c r="R739" s="382"/>
      <c r="S739" s="382"/>
      <c r="T739" s="382"/>
      <c r="U739" s="382"/>
      <c r="V739" s="383"/>
      <c r="W739" s="383"/>
      <c r="X739" s="383"/>
      <c r="Y739" s="383"/>
    </row>
    <row r="740">
      <c r="A740" s="382"/>
      <c r="B740" s="382"/>
      <c r="C740" s="382"/>
      <c r="D740" s="382"/>
      <c r="E740" s="382"/>
      <c r="F740" s="382"/>
      <c r="G740" s="382"/>
      <c r="H740" s="382"/>
      <c r="I740" s="382"/>
      <c r="J740" s="382"/>
      <c r="K740" s="382"/>
      <c r="L740" s="382"/>
      <c r="M740" s="382"/>
      <c r="N740" s="382"/>
      <c r="O740" s="382"/>
      <c r="P740" s="382"/>
      <c r="Q740" s="382"/>
      <c r="R740" s="382"/>
      <c r="S740" s="382"/>
      <c r="T740" s="382"/>
      <c r="U740" s="382"/>
      <c r="V740" s="383"/>
      <c r="W740" s="383"/>
      <c r="X740" s="383"/>
      <c r="Y740" s="383"/>
    </row>
    <row r="741">
      <c r="A741" s="382"/>
      <c r="B741" s="382"/>
      <c r="C741" s="382"/>
      <c r="D741" s="382"/>
      <c r="E741" s="382"/>
      <c r="F741" s="382"/>
      <c r="G741" s="382"/>
      <c r="H741" s="382"/>
      <c r="I741" s="382"/>
      <c r="J741" s="382"/>
      <c r="K741" s="382"/>
      <c r="L741" s="382"/>
      <c r="M741" s="382"/>
      <c r="N741" s="382"/>
      <c r="O741" s="382"/>
      <c r="P741" s="382"/>
      <c r="Q741" s="382"/>
      <c r="R741" s="382"/>
      <c r="S741" s="382"/>
      <c r="T741" s="382"/>
      <c r="U741" s="382"/>
      <c r="V741" s="383"/>
      <c r="W741" s="383"/>
      <c r="X741" s="383"/>
      <c r="Y741" s="383"/>
    </row>
    <row r="742">
      <c r="A742" s="382"/>
      <c r="B742" s="382"/>
      <c r="C742" s="382"/>
      <c r="D742" s="382"/>
      <c r="E742" s="382"/>
      <c r="F742" s="382"/>
      <c r="G742" s="382"/>
      <c r="H742" s="382"/>
      <c r="I742" s="382"/>
      <c r="J742" s="382"/>
      <c r="K742" s="382"/>
      <c r="L742" s="382"/>
      <c r="M742" s="382"/>
      <c r="N742" s="382"/>
      <c r="O742" s="382"/>
      <c r="P742" s="382"/>
      <c r="Q742" s="382"/>
      <c r="R742" s="382"/>
      <c r="S742" s="382"/>
      <c r="T742" s="382"/>
      <c r="U742" s="382"/>
      <c r="V742" s="383"/>
      <c r="W742" s="383"/>
      <c r="X742" s="383"/>
      <c r="Y742" s="383"/>
    </row>
    <row r="743">
      <c r="A743" s="382"/>
      <c r="B743" s="382"/>
      <c r="C743" s="382"/>
      <c r="D743" s="382"/>
      <c r="E743" s="382"/>
      <c r="F743" s="382"/>
      <c r="G743" s="382"/>
      <c r="H743" s="382"/>
      <c r="I743" s="382"/>
      <c r="J743" s="382"/>
      <c r="K743" s="382"/>
      <c r="L743" s="382"/>
      <c r="M743" s="382"/>
      <c r="N743" s="382"/>
      <c r="O743" s="382"/>
      <c r="P743" s="382"/>
      <c r="Q743" s="382"/>
      <c r="R743" s="382"/>
      <c r="S743" s="382"/>
      <c r="T743" s="382"/>
      <c r="U743" s="382"/>
      <c r="V743" s="383"/>
      <c r="W743" s="383"/>
      <c r="X743" s="383"/>
      <c r="Y743" s="383"/>
    </row>
    <row r="744">
      <c r="A744" s="382"/>
      <c r="B744" s="382"/>
      <c r="C744" s="382"/>
      <c r="D744" s="382"/>
      <c r="E744" s="382"/>
      <c r="F744" s="382"/>
      <c r="G744" s="382"/>
      <c r="H744" s="382"/>
      <c r="I744" s="382"/>
      <c r="J744" s="382"/>
      <c r="K744" s="382"/>
      <c r="L744" s="382"/>
      <c r="M744" s="382"/>
      <c r="N744" s="382"/>
      <c r="O744" s="382"/>
      <c r="P744" s="382"/>
      <c r="Q744" s="382"/>
      <c r="R744" s="382"/>
      <c r="S744" s="382"/>
      <c r="T744" s="382"/>
      <c r="U744" s="382"/>
      <c r="V744" s="383"/>
      <c r="W744" s="383"/>
      <c r="X744" s="383"/>
      <c r="Y744" s="383"/>
    </row>
    <row r="745">
      <c r="A745" s="382"/>
      <c r="B745" s="382"/>
      <c r="C745" s="382"/>
      <c r="D745" s="382"/>
      <c r="E745" s="382"/>
      <c r="F745" s="382"/>
      <c r="G745" s="382"/>
      <c r="H745" s="382"/>
      <c r="I745" s="382"/>
      <c r="J745" s="382"/>
      <c r="K745" s="382"/>
      <c r="L745" s="382"/>
      <c r="M745" s="382"/>
      <c r="N745" s="382"/>
      <c r="O745" s="382"/>
      <c r="P745" s="382"/>
      <c r="Q745" s="382"/>
      <c r="R745" s="382"/>
      <c r="S745" s="382"/>
      <c r="T745" s="382"/>
      <c r="U745" s="382"/>
      <c r="V745" s="383"/>
      <c r="W745" s="383"/>
      <c r="X745" s="383"/>
      <c r="Y745" s="383"/>
    </row>
    <row r="746">
      <c r="A746" s="382"/>
      <c r="B746" s="382"/>
      <c r="C746" s="382"/>
      <c r="D746" s="382"/>
      <c r="E746" s="382"/>
      <c r="F746" s="382"/>
      <c r="G746" s="382"/>
      <c r="H746" s="382"/>
      <c r="I746" s="382"/>
      <c r="J746" s="382"/>
      <c r="K746" s="382"/>
      <c r="L746" s="382"/>
      <c r="M746" s="382"/>
      <c r="N746" s="382"/>
      <c r="O746" s="382"/>
      <c r="P746" s="382"/>
      <c r="Q746" s="382"/>
      <c r="R746" s="382"/>
      <c r="S746" s="382"/>
      <c r="T746" s="382"/>
      <c r="U746" s="382"/>
      <c r="V746" s="383"/>
      <c r="W746" s="383"/>
      <c r="X746" s="383"/>
      <c r="Y746" s="383"/>
    </row>
    <row r="747">
      <c r="A747" s="382"/>
      <c r="B747" s="382"/>
      <c r="C747" s="382"/>
      <c r="D747" s="382"/>
      <c r="E747" s="382"/>
      <c r="F747" s="382"/>
      <c r="G747" s="382"/>
      <c r="H747" s="382"/>
      <c r="I747" s="382"/>
      <c r="J747" s="382"/>
      <c r="K747" s="382"/>
      <c r="L747" s="382"/>
      <c r="M747" s="382"/>
      <c r="N747" s="382"/>
      <c r="O747" s="382"/>
      <c r="P747" s="382"/>
      <c r="Q747" s="382"/>
      <c r="R747" s="382"/>
      <c r="S747" s="382"/>
      <c r="T747" s="382"/>
      <c r="U747" s="382"/>
      <c r="V747" s="383"/>
      <c r="W747" s="383"/>
      <c r="X747" s="383"/>
      <c r="Y747" s="383"/>
    </row>
    <row r="748">
      <c r="A748" s="382"/>
      <c r="B748" s="382"/>
      <c r="C748" s="382"/>
      <c r="D748" s="382"/>
      <c r="E748" s="382"/>
      <c r="F748" s="382"/>
      <c r="G748" s="382"/>
      <c r="H748" s="382"/>
      <c r="I748" s="382"/>
      <c r="J748" s="382"/>
      <c r="K748" s="382"/>
      <c r="L748" s="382"/>
      <c r="M748" s="382"/>
      <c r="N748" s="382"/>
      <c r="O748" s="382"/>
      <c r="P748" s="382"/>
      <c r="Q748" s="382"/>
      <c r="R748" s="382"/>
      <c r="S748" s="382"/>
      <c r="T748" s="382"/>
      <c r="U748" s="382"/>
      <c r="V748" s="383"/>
      <c r="W748" s="383"/>
      <c r="X748" s="383"/>
      <c r="Y748" s="383"/>
    </row>
    <row r="749">
      <c r="A749" s="382"/>
      <c r="B749" s="382"/>
      <c r="C749" s="382"/>
      <c r="D749" s="382"/>
      <c r="E749" s="382"/>
      <c r="F749" s="382"/>
      <c r="G749" s="382"/>
      <c r="H749" s="382"/>
      <c r="I749" s="382"/>
      <c r="J749" s="382"/>
      <c r="K749" s="382"/>
      <c r="L749" s="382"/>
      <c r="M749" s="382"/>
      <c r="N749" s="382"/>
      <c r="O749" s="382"/>
      <c r="P749" s="382"/>
      <c r="Q749" s="382"/>
      <c r="R749" s="382"/>
      <c r="S749" s="382"/>
      <c r="T749" s="382"/>
      <c r="U749" s="382"/>
      <c r="V749" s="383"/>
      <c r="W749" s="383"/>
      <c r="X749" s="383"/>
      <c r="Y749" s="383"/>
    </row>
    <row r="750">
      <c r="A750" s="382"/>
      <c r="B750" s="382"/>
      <c r="C750" s="382"/>
      <c r="D750" s="382"/>
      <c r="E750" s="382"/>
      <c r="F750" s="382"/>
      <c r="G750" s="382"/>
      <c r="H750" s="382"/>
      <c r="I750" s="382"/>
      <c r="J750" s="382"/>
      <c r="K750" s="382"/>
      <c r="L750" s="382"/>
      <c r="M750" s="382"/>
      <c r="N750" s="382"/>
      <c r="O750" s="382"/>
      <c r="P750" s="382"/>
      <c r="Q750" s="382"/>
      <c r="R750" s="382"/>
      <c r="S750" s="382"/>
      <c r="T750" s="382"/>
      <c r="U750" s="382"/>
      <c r="V750" s="383"/>
      <c r="W750" s="383"/>
      <c r="X750" s="383"/>
      <c r="Y750" s="383"/>
    </row>
    <row r="751">
      <c r="A751" s="382"/>
      <c r="B751" s="382"/>
      <c r="C751" s="382"/>
      <c r="D751" s="382"/>
      <c r="E751" s="382"/>
      <c r="F751" s="382"/>
      <c r="G751" s="382"/>
      <c r="H751" s="382"/>
      <c r="I751" s="382"/>
      <c r="J751" s="382"/>
      <c r="K751" s="382"/>
      <c r="L751" s="382"/>
      <c r="M751" s="382"/>
      <c r="N751" s="382"/>
      <c r="O751" s="382"/>
      <c r="P751" s="382"/>
      <c r="Q751" s="382"/>
      <c r="R751" s="382"/>
      <c r="S751" s="382"/>
      <c r="T751" s="382"/>
      <c r="U751" s="382"/>
      <c r="V751" s="383"/>
      <c r="W751" s="383"/>
      <c r="X751" s="383"/>
      <c r="Y751" s="383"/>
    </row>
    <row r="752">
      <c r="A752" s="382"/>
      <c r="B752" s="382"/>
      <c r="C752" s="382"/>
      <c r="D752" s="382"/>
      <c r="E752" s="382"/>
      <c r="F752" s="382"/>
      <c r="G752" s="382"/>
      <c r="H752" s="382"/>
      <c r="I752" s="382"/>
      <c r="J752" s="382"/>
      <c r="K752" s="382"/>
      <c r="L752" s="382"/>
      <c r="M752" s="382"/>
      <c r="N752" s="382"/>
      <c r="O752" s="382"/>
      <c r="P752" s="382"/>
      <c r="Q752" s="382"/>
      <c r="R752" s="382"/>
      <c r="S752" s="382"/>
      <c r="T752" s="382"/>
      <c r="U752" s="382"/>
      <c r="V752" s="383"/>
      <c r="W752" s="383"/>
      <c r="X752" s="383"/>
      <c r="Y752" s="383"/>
    </row>
    <row r="753">
      <c r="A753" s="382"/>
      <c r="B753" s="382"/>
      <c r="C753" s="382"/>
      <c r="D753" s="382"/>
      <c r="E753" s="382"/>
      <c r="F753" s="382"/>
      <c r="G753" s="382"/>
      <c r="H753" s="382"/>
      <c r="I753" s="382"/>
      <c r="J753" s="382"/>
      <c r="K753" s="382"/>
      <c r="L753" s="382"/>
      <c r="M753" s="382"/>
      <c r="N753" s="382"/>
      <c r="O753" s="382"/>
      <c r="P753" s="382"/>
      <c r="Q753" s="382"/>
      <c r="R753" s="382"/>
      <c r="S753" s="382"/>
      <c r="T753" s="382"/>
      <c r="U753" s="382"/>
      <c r="V753" s="383"/>
      <c r="W753" s="383"/>
      <c r="X753" s="383"/>
      <c r="Y753" s="383"/>
    </row>
    <row r="754">
      <c r="A754" s="382"/>
      <c r="B754" s="382"/>
      <c r="C754" s="382"/>
      <c r="D754" s="382"/>
      <c r="E754" s="382"/>
      <c r="F754" s="382"/>
      <c r="G754" s="382"/>
      <c r="H754" s="382"/>
      <c r="I754" s="382"/>
      <c r="J754" s="382"/>
      <c r="K754" s="382"/>
      <c r="L754" s="382"/>
      <c r="M754" s="382"/>
      <c r="N754" s="382"/>
      <c r="O754" s="382"/>
      <c r="P754" s="382"/>
      <c r="Q754" s="382"/>
      <c r="R754" s="382"/>
      <c r="S754" s="382"/>
      <c r="T754" s="382"/>
      <c r="U754" s="382"/>
      <c r="V754" s="383"/>
      <c r="W754" s="383"/>
      <c r="X754" s="383"/>
      <c r="Y754" s="383"/>
    </row>
    <row r="755">
      <c r="A755" s="382"/>
      <c r="B755" s="382"/>
      <c r="C755" s="382"/>
      <c r="D755" s="382"/>
      <c r="E755" s="382"/>
      <c r="F755" s="382"/>
      <c r="G755" s="382"/>
      <c r="H755" s="382"/>
      <c r="I755" s="382"/>
      <c r="J755" s="382"/>
      <c r="K755" s="382"/>
      <c r="L755" s="382"/>
      <c r="M755" s="382"/>
      <c r="N755" s="382"/>
      <c r="O755" s="382"/>
      <c r="P755" s="382"/>
      <c r="Q755" s="382"/>
      <c r="R755" s="382"/>
      <c r="S755" s="382"/>
      <c r="T755" s="382"/>
      <c r="U755" s="382"/>
      <c r="V755" s="383"/>
      <c r="W755" s="383"/>
      <c r="X755" s="383"/>
      <c r="Y755" s="383"/>
    </row>
    <row r="756">
      <c r="A756" s="382"/>
      <c r="B756" s="382"/>
      <c r="C756" s="382"/>
      <c r="D756" s="382"/>
      <c r="E756" s="382"/>
      <c r="F756" s="382"/>
      <c r="G756" s="382"/>
      <c r="H756" s="382"/>
      <c r="I756" s="382"/>
      <c r="J756" s="382"/>
      <c r="K756" s="382"/>
      <c r="L756" s="382"/>
      <c r="M756" s="382"/>
      <c r="N756" s="382"/>
      <c r="O756" s="382"/>
      <c r="P756" s="382"/>
      <c r="Q756" s="382"/>
      <c r="R756" s="382"/>
      <c r="S756" s="382"/>
      <c r="T756" s="382"/>
      <c r="U756" s="382"/>
      <c r="V756" s="383"/>
      <c r="W756" s="383"/>
      <c r="X756" s="383"/>
      <c r="Y756" s="383"/>
    </row>
    <row r="757">
      <c r="A757" s="382"/>
      <c r="B757" s="382"/>
      <c r="C757" s="382"/>
      <c r="D757" s="382"/>
      <c r="E757" s="382"/>
      <c r="F757" s="382"/>
      <c r="G757" s="382"/>
      <c r="H757" s="382"/>
      <c r="I757" s="382"/>
      <c r="J757" s="382"/>
      <c r="K757" s="382"/>
      <c r="L757" s="382"/>
      <c r="M757" s="382"/>
      <c r="N757" s="382"/>
      <c r="O757" s="382"/>
      <c r="P757" s="382"/>
      <c r="Q757" s="382"/>
      <c r="R757" s="382"/>
      <c r="S757" s="382"/>
      <c r="T757" s="382"/>
      <c r="U757" s="382"/>
      <c r="V757" s="383"/>
      <c r="W757" s="383"/>
      <c r="X757" s="383"/>
      <c r="Y757" s="383"/>
    </row>
    <row r="758">
      <c r="A758" s="382"/>
      <c r="B758" s="382"/>
      <c r="C758" s="382"/>
      <c r="D758" s="382"/>
      <c r="E758" s="382"/>
      <c r="F758" s="382"/>
      <c r="G758" s="382"/>
      <c r="H758" s="382"/>
      <c r="I758" s="382"/>
      <c r="J758" s="382"/>
      <c r="K758" s="382"/>
      <c r="L758" s="382"/>
      <c r="M758" s="382"/>
      <c r="N758" s="382"/>
      <c r="O758" s="382"/>
      <c r="P758" s="382"/>
      <c r="Q758" s="382"/>
      <c r="R758" s="382"/>
      <c r="S758" s="382"/>
      <c r="T758" s="382"/>
      <c r="U758" s="382"/>
      <c r="V758" s="383"/>
      <c r="W758" s="383"/>
      <c r="X758" s="383"/>
      <c r="Y758" s="383"/>
    </row>
    <row r="759">
      <c r="A759" s="382"/>
      <c r="B759" s="382"/>
      <c r="C759" s="382"/>
      <c r="D759" s="382"/>
      <c r="E759" s="382"/>
      <c r="F759" s="382"/>
      <c r="G759" s="382"/>
      <c r="H759" s="382"/>
      <c r="I759" s="382"/>
      <c r="J759" s="382"/>
      <c r="K759" s="382"/>
      <c r="L759" s="382"/>
      <c r="M759" s="382"/>
      <c r="N759" s="382"/>
      <c r="O759" s="382"/>
      <c r="P759" s="382"/>
      <c r="Q759" s="382"/>
      <c r="R759" s="382"/>
      <c r="S759" s="382"/>
      <c r="T759" s="382"/>
      <c r="U759" s="382"/>
      <c r="V759" s="383"/>
      <c r="W759" s="383"/>
      <c r="X759" s="383"/>
      <c r="Y759" s="383"/>
    </row>
    <row r="760">
      <c r="A760" s="382"/>
      <c r="B760" s="382"/>
      <c r="C760" s="382"/>
      <c r="D760" s="382"/>
      <c r="E760" s="382"/>
      <c r="F760" s="382"/>
      <c r="G760" s="382"/>
      <c r="H760" s="382"/>
      <c r="I760" s="382"/>
      <c r="J760" s="382"/>
      <c r="K760" s="382"/>
      <c r="L760" s="382"/>
      <c r="M760" s="382"/>
      <c r="N760" s="382"/>
      <c r="O760" s="382"/>
      <c r="P760" s="382"/>
      <c r="Q760" s="382"/>
      <c r="R760" s="382"/>
      <c r="S760" s="382"/>
      <c r="T760" s="382"/>
      <c r="U760" s="382"/>
      <c r="V760" s="383"/>
      <c r="W760" s="383"/>
      <c r="X760" s="383"/>
      <c r="Y760" s="383"/>
    </row>
    <row r="761">
      <c r="A761" s="382"/>
      <c r="B761" s="382"/>
      <c r="C761" s="382"/>
      <c r="D761" s="382"/>
      <c r="E761" s="382"/>
      <c r="F761" s="382"/>
      <c r="G761" s="382"/>
      <c r="H761" s="382"/>
      <c r="I761" s="382"/>
      <c r="J761" s="382"/>
      <c r="K761" s="382"/>
      <c r="L761" s="382"/>
      <c r="M761" s="382"/>
      <c r="N761" s="382"/>
      <c r="O761" s="382"/>
      <c r="P761" s="382"/>
      <c r="Q761" s="382"/>
      <c r="R761" s="382"/>
      <c r="S761" s="382"/>
      <c r="T761" s="382"/>
      <c r="U761" s="382"/>
      <c r="V761" s="383"/>
      <c r="W761" s="383"/>
      <c r="X761" s="383"/>
      <c r="Y761" s="383"/>
    </row>
    <row r="762">
      <c r="A762" s="382"/>
      <c r="B762" s="382"/>
      <c r="C762" s="382"/>
      <c r="D762" s="382"/>
      <c r="E762" s="382"/>
      <c r="F762" s="382"/>
      <c r="G762" s="382"/>
      <c r="H762" s="382"/>
      <c r="I762" s="382"/>
      <c r="J762" s="382"/>
      <c r="K762" s="382"/>
      <c r="L762" s="382"/>
      <c r="M762" s="382"/>
      <c r="N762" s="382"/>
      <c r="O762" s="382"/>
      <c r="P762" s="382"/>
      <c r="Q762" s="382"/>
      <c r="R762" s="382"/>
      <c r="S762" s="382"/>
      <c r="T762" s="382"/>
      <c r="U762" s="382"/>
      <c r="V762" s="383"/>
      <c r="W762" s="383"/>
      <c r="X762" s="383"/>
      <c r="Y762" s="383"/>
    </row>
    <row r="763">
      <c r="A763" s="382"/>
      <c r="B763" s="382"/>
      <c r="C763" s="382"/>
      <c r="D763" s="382"/>
      <c r="E763" s="382"/>
      <c r="F763" s="382"/>
      <c r="G763" s="382"/>
      <c r="H763" s="382"/>
      <c r="I763" s="382"/>
      <c r="J763" s="382"/>
      <c r="K763" s="382"/>
      <c r="L763" s="382"/>
      <c r="M763" s="382"/>
      <c r="N763" s="382"/>
      <c r="O763" s="382"/>
      <c r="P763" s="382"/>
      <c r="Q763" s="382"/>
      <c r="R763" s="382"/>
      <c r="S763" s="382"/>
      <c r="T763" s="382"/>
      <c r="U763" s="382"/>
      <c r="V763" s="383"/>
      <c r="W763" s="383"/>
      <c r="X763" s="383"/>
      <c r="Y763" s="383"/>
    </row>
    <row r="764">
      <c r="A764" s="382"/>
      <c r="B764" s="382"/>
      <c r="C764" s="382"/>
      <c r="D764" s="382"/>
      <c r="E764" s="382"/>
      <c r="F764" s="382"/>
      <c r="G764" s="382"/>
      <c r="H764" s="382"/>
      <c r="I764" s="382"/>
      <c r="J764" s="382"/>
      <c r="K764" s="382"/>
      <c r="L764" s="382"/>
      <c r="M764" s="382"/>
      <c r="N764" s="382"/>
      <c r="O764" s="382"/>
      <c r="P764" s="382"/>
      <c r="Q764" s="382"/>
      <c r="R764" s="382"/>
      <c r="S764" s="382"/>
      <c r="T764" s="382"/>
      <c r="U764" s="382"/>
      <c r="V764" s="383"/>
      <c r="W764" s="383"/>
      <c r="X764" s="383"/>
      <c r="Y764" s="383"/>
    </row>
    <row r="765">
      <c r="A765" s="382"/>
      <c r="B765" s="382"/>
      <c r="C765" s="382"/>
      <c r="D765" s="382"/>
      <c r="E765" s="382"/>
      <c r="F765" s="382"/>
      <c r="G765" s="382"/>
      <c r="H765" s="382"/>
      <c r="I765" s="382"/>
      <c r="J765" s="382"/>
      <c r="K765" s="382"/>
      <c r="L765" s="382"/>
      <c r="M765" s="382"/>
      <c r="N765" s="382"/>
      <c r="O765" s="382"/>
      <c r="P765" s="382"/>
      <c r="Q765" s="382"/>
      <c r="R765" s="382"/>
      <c r="S765" s="382"/>
      <c r="T765" s="382"/>
      <c r="U765" s="382"/>
      <c r="V765" s="383"/>
      <c r="W765" s="383"/>
      <c r="X765" s="383"/>
      <c r="Y765" s="383"/>
    </row>
    <row r="766">
      <c r="A766" s="382"/>
      <c r="B766" s="382"/>
      <c r="C766" s="382"/>
      <c r="D766" s="382"/>
      <c r="E766" s="382"/>
      <c r="F766" s="382"/>
      <c r="G766" s="382"/>
      <c r="H766" s="382"/>
      <c r="I766" s="382"/>
      <c r="J766" s="382"/>
      <c r="K766" s="382"/>
      <c r="L766" s="382"/>
      <c r="M766" s="382"/>
      <c r="N766" s="382"/>
      <c r="O766" s="382"/>
      <c r="P766" s="382"/>
      <c r="Q766" s="382"/>
      <c r="R766" s="382"/>
      <c r="S766" s="382"/>
      <c r="T766" s="382"/>
      <c r="U766" s="382"/>
      <c r="V766" s="383"/>
      <c r="W766" s="383"/>
      <c r="X766" s="383"/>
      <c r="Y766" s="383"/>
    </row>
    <row r="767">
      <c r="A767" s="382"/>
      <c r="B767" s="382"/>
      <c r="C767" s="382"/>
      <c r="D767" s="382"/>
      <c r="E767" s="382"/>
      <c r="F767" s="382"/>
      <c r="G767" s="382"/>
      <c r="H767" s="382"/>
      <c r="I767" s="382"/>
      <c r="J767" s="382"/>
      <c r="K767" s="382"/>
      <c r="L767" s="382"/>
      <c r="M767" s="382"/>
      <c r="N767" s="382"/>
      <c r="O767" s="382"/>
      <c r="P767" s="382"/>
      <c r="Q767" s="382"/>
      <c r="R767" s="382"/>
      <c r="S767" s="382"/>
      <c r="T767" s="382"/>
      <c r="U767" s="382"/>
      <c r="V767" s="383"/>
      <c r="W767" s="383"/>
      <c r="X767" s="383"/>
      <c r="Y767" s="383"/>
    </row>
    <row r="768">
      <c r="A768" s="382"/>
      <c r="B768" s="382"/>
      <c r="C768" s="382"/>
      <c r="D768" s="382"/>
      <c r="E768" s="382"/>
      <c r="F768" s="382"/>
      <c r="G768" s="382"/>
      <c r="H768" s="382"/>
      <c r="I768" s="382"/>
      <c r="J768" s="382"/>
      <c r="K768" s="382"/>
      <c r="L768" s="382"/>
      <c r="M768" s="382"/>
      <c r="N768" s="382"/>
      <c r="O768" s="382"/>
      <c r="P768" s="382"/>
      <c r="Q768" s="382"/>
      <c r="R768" s="382"/>
      <c r="S768" s="382"/>
      <c r="T768" s="382"/>
      <c r="U768" s="382"/>
      <c r="V768" s="383"/>
      <c r="W768" s="383"/>
      <c r="X768" s="383"/>
      <c r="Y768" s="383"/>
    </row>
    <row r="769">
      <c r="A769" s="382"/>
      <c r="B769" s="382"/>
      <c r="C769" s="382"/>
      <c r="D769" s="382"/>
      <c r="E769" s="382"/>
      <c r="F769" s="382"/>
      <c r="G769" s="382"/>
      <c r="H769" s="382"/>
      <c r="I769" s="382"/>
      <c r="J769" s="382"/>
      <c r="K769" s="382"/>
      <c r="L769" s="382"/>
      <c r="M769" s="382"/>
      <c r="N769" s="382"/>
      <c r="O769" s="382"/>
      <c r="P769" s="382"/>
      <c r="Q769" s="382"/>
      <c r="R769" s="382"/>
      <c r="S769" s="382"/>
      <c r="T769" s="382"/>
      <c r="U769" s="382"/>
      <c r="V769" s="383"/>
      <c r="W769" s="383"/>
      <c r="X769" s="383"/>
      <c r="Y769" s="383"/>
    </row>
    <row r="770">
      <c r="A770" s="382"/>
      <c r="B770" s="382"/>
      <c r="C770" s="382"/>
      <c r="D770" s="382"/>
      <c r="E770" s="382"/>
      <c r="F770" s="382"/>
      <c r="G770" s="382"/>
      <c r="H770" s="382"/>
      <c r="I770" s="382"/>
      <c r="J770" s="382"/>
      <c r="K770" s="382"/>
      <c r="L770" s="382"/>
      <c r="M770" s="382"/>
      <c r="N770" s="382"/>
      <c r="O770" s="382"/>
      <c r="P770" s="382"/>
      <c r="Q770" s="382"/>
      <c r="R770" s="382"/>
      <c r="S770" s="382"/>
      <c r="T770" s="382"/>
      <c r="U770" s="382"/>
      <c r="V770" s="383"/>
      <c r="W770" s="383"/>
      <c r="X770" s="383"/>
      <c r="Y770" s="383"/>
    </row>
    <row r="771">
      <c r="A771" s="382"/>
      <c r="B771" s="382"/>
      <c r="C771" s="382"/>
      <c r="D771" s="382"/>
      <c r="E771" s="382"/>
      <c r="F771" s="382"/>
      <c r="G771" s="382"/>
      <c r="H771" s="382"/>
      <c r="I771" s="382"/>
      <c r="J771" s="382"/>
      <c r="K771" s="382"/>
      <c r="L771" s="382"/>
      <c r="M771" s="382"/>
      <c r="N771" s="382"/>
      <c r="O771" s="382"/>
      <c r="P771" s="382"/>
      <c r="Q771" s="382"/>
      <c r="R771" s="382"/>
      <c r="S771" s="382"/>
      <c r="T771" s="382"/>
      <c r="U771" s="382"/>
      <c r="V771" s="383"/>
      <c r="W771" s="383"/>
      <c r="X771" s="383"/>
      <c r="Y771" s="383"/>
    </row>
    <row r="772">
      <c r="A772" s="382"/>
      <c r="B772" s="382"/>
      <c r="C772" s="382"/>
      <c r="D772" s="382"/>
      <c r="E772" s="382"/>
      <c r="F772" s="382"/>
      <c r="G772" s="382"/>
      <c r="H772" s="382"/>
      <c r="I772" s="382"/>
      <c r="J772" s="382"/>
      <c r="K772" s="382"/>
      <c r="L772" s="382"/>
      <c r="M772" s="382"/>
      <c r="N772" s="382"/>
      <c r="O772" s="382"/>
      <c r="P772" s="382"/>
      <c r="Q772" s="382"/>
      <c r="R772" s="382"/>
      <c r="S772" s="382"/>
      <c r="T772" s="382"/>
      <c r="U772" s="382"/>
      <c r="V772" s="383"/>
      <c r="W772" s="383"/>
      <c r="X772" s="383"/>
      <c r="Y772" s="383"/>
    </row>
    <row r="773">
      <c r="A773" s="382"/>
      <c r="B773" s="382"/>
      <c r="C773" s="382"/>
      <c r="D773" s="382"/>
      <c r="E773" s="382"/>
      <c r="F773" s="382"/>
      <c r="G773" s="382"/>
      <c r="H773" s="382"/>
      <c r="I773" s="382"/>
      <c r="J773" s="382"/>
      <c r="K773" s="382"/>
      <c r="L773" s="382"/>
      <c r="M773" s="382"/>
      <c r="N773" s="382"/>
      <c r="O773" s="382"/>
      <c r="P773" s="382"/>
      <c r="Q773" s="382"/>
      <c r="R773" s="382"/>
      <c r="S773" s="382"/>
      <c r="T773" s="382"/>
      <c r="U773" s="382"/>
      <c r="V773" s="383"/>
      <c r="W773" s="383"/>
      <c r="X773" s="383"/>
      <c r="Y773" s="383"/>
    </row>
    <row r="774">
      <c r="A774" s="382"/>
      <c r="B774" s="382"/>
      <c r="C774" s="382"/>
      <c r="D774" s="382"/>
      <c r="E774" s="382"/>
      <c r="F774" s="382"/>
      <c r="G774" s="382"/>
      <c r="H774" s="382"/>
      <c r="I774" s="382"/>
      <c r="J774" s="382"/>
      <c r="K774" s="382"/>
      <c r="L774" s="382"/>
      <c r="M774" s="382"/>
      <c r="N774" s="382"/>
      <c r="O774" s="382"/>
      <c r="P774" s="382"/>
      <c r="Q774" s="382"/>
      <c r="R774" s="382"/>
      <c r="S774" s="382"/>
      <c r="T774" s="382"/>
      <c r="U774" s="382"/>
      <c r="V774" s="383"/>
      <c r="W774" s="383"/>
      <c r="X774" s="383"/>
      <c r="Y774" s="383"/>
    </row>
    <row r="775">
      <c r="A775" s="382"/>
      <c r="B775" s="382"/>
      <c r="C775" s="382"/>
      <c r="D775" s="382"/>
      <c r="E775" s="382"/>
      <c r="F775" s="382"/>
      <c r="G775" s="382"/>
      <c r="H775" s="382"/>
      <c r="I775" s="382"/>
      <c r="J775" s="382"/>
      <c r="K775" s="382"/>
      <c r="L775" s="382"/>
      <c r="M775" s="382"/>
      <c r="N775" s="382"/>
      <c r="O775" s="382"/>
      <c r="P775" s="382"/>
      <c r="Q775" s="382"/>
      <c r="R775" s="382"/>
      <c r="S775" s="382"/>
      <c r="T775" s="382"/>
      <c r="U775" s="382"/>
      <c r="V775" s="383"/>
      <c r="W775" s="383"/>
      <c r="X775" s="383"/>
      <c r="Y775" s="383"/>
    </row>
    <row r="776">
      <c r="A776" s="382"/>
      <c r="B776" s="382"/>
      <c r="C776" s="382"/>
      <c r="D776" s="382"/>
      <c r="E776" s="382"/>
      <c r="F776" s="382"/>
      <c r="G776" s="382"/>
      <c r="H776" s="382"/>
      <c r="I776" s="382"/>
      <c r="J776" s="382"/>
      <c r="K776" s="382"/>
      <c r="L776" s="382"/>
      <c r="M776" s="382"/>
      <c r="N776" s="382"/>
      <c r="O776" s="382"/>
      <c r="P776" s="382"/>
      <c r="Q776" s="382"/>
      <c r="R776" s="382"/>
      <c r="S776" s="382"/>
      <c r="T776" s="382"/>
      <c r="U776" s="382"/>
      <c r="V776" s="383"/>
      <c r="W776" s="383"/>
      <c r="X776" s="383"/>
      <c r="Y776" s="383"/>
    </row>
    <row r="777">
      <c r="A777" s="382"/>
      <c r="B777" s="382"/>
      <c r="C777" s="382"/>
      <c r="D777" s="382"/>
      <c r="E777" s="382"/>
      <c r="F777" s="382"/>
      <c r="G777" s="382"/>
      <c r="H777" s="382"/>
      <c r="I777" s="382"/>
      <c r="J777" s="382"/>
      <c r="K777" s="382"/>
      <c r="L777" s="382"/>
      <c r="M777" s="382"/>
      <c r="N777" s="382"/>
      <c r="O777" s="382"/>
      <c r="P777" s="382"/>
      <c r="Q777" s="382"/>
      <c r="R777" s="382"/>
      <c r="S777" s="382"/>
      <c r="T777" s="382"/>
      <c r="U777" s="382"/>
      <c r="V777" s="383"/>
      <c r="W777" s="383"/>
      <c r="X777" s="383"/>
      <c r="Y777" s="383"/>
    </row>
    <row r="778">
      <c r="A778" s="382"/>
      <c r="B778" s="382"/>
      <c r="C778" s="382"/>
      <c r="D778" s="382"/>
      <c r="E778" s="382"/>
      <c r="F778" s="382"/>
      <c r="G778" s="382"/>
      <c r="H778" s="382"/>
      <c r="I778" s="382"/>
      <c r="J778" s="382"/>
      <c r="K778" s="382"/>
      <c r="L778" s="382"/>
      <c r="M778" s="382"/>
      <c r="N778" s="382"/>
      <c r="O778" s="382"/>
      <c r="P778" s="382"/>
      <c r="Q778" s="382"/>
      <c r="R778" s="382"/>
      <c r="S778" s="382"/>
      <c r="T778" s="382"/>
      <c r="U778" s="382"/>
      <c r="V778" s="383"/>
      <c r="W778" s="383"/>
      <c r="X778" s="383"/>
      <c r="Y778" s="383"/>
    </row>
    <row r="779">
      <c r="A779" s="382"/>
      <c r="B779" s="382"/>
      <c r="C779" s="382"/>
      <c r="D779" s="382"/>
      <c r="E779" s="382"/>
      <c r="F779" s="382"/>
      <c r="G779" s="382"/>
      <c r="H779" s="382"/>
      <c r="I779" s="382"/>
      <c r="J779" s="382"/>
      <c r="K779" s="382"/>
      <c r="L779" s="382"/>
      <c r="M779" s="382"/>
      <c r="N779" s="382"/>
      <c r="O779" s="382"/>
      <c r="P779" s="382"/>
      <c r="Q779" s="382"/>
      <c r="R779" s="382"/>
      <c r="S779" s="382"/>
      <c r="T779" s="382"/>
      <c r="U779" s="382"/>
      <c r="V779" s="383"/>
      <c r="W779" s="383"/>
      <c r="X779" s="383"/>
      <c r="Y779" s="383"/>
    </row>
    <row r="780">
      <c r="A780" s="382"/>
      <c r="B780" s="382"/>
      <c r="C780" s="382"/>
      <c r="D780" s="382"/>
      <c r="E780" s="382"/>
      <c r="F780" s="382"/>
      <c r="G780" s="382"/>
      <c r="H780" s="382"/>
      <c r="I780" s="382"/>
      <c r="J780" s="382"/>
      <c r="K780" s="382"/>
      <c r="L780" s="382"/>
      <c r="M780" s="382"/>
      <c r="N780" s="382"/>
      <c r="O780" s="382"/>
      <c r="P780" s="382"/>
      <c r="Q780" s="382"/>
      <c r="R780" s="382"/>
      <c r="S780" s="382"/>
      <c r="T780" s="382"/>
      <c r="U780" s="382"/>
      <c r="V780" s="383"/>
      <c r="W780" s="383"/>
      <c r="X780" s="383"/>
      <c r="Y780" s="383"/>
    </row>
    <row r="781">
      <c r="A781" s="382"/>
      <c r="B781" s="382"/>
      <c r="C781" s="382"/>
      <c r="D781" s="382"/>
      <c r="E781" s="382"/>
      <c r="F781" s="382"/>
      <c r="G781" s="382"/>
      <c r="H781" s="382"/>
      <c r="I781" s="382"/>
      <c r="J781" s="382"/>
      <c r="K781" s="382"/>
      <c r="L781" s="382"/>
      <c r="M781" s="382"/>
      <c r="N781" s="382"/>
      <c r="O781" s="382"/>
      <c r="P781" s="382"/>
      <c r="Q781" s="382"/>
      <c r="R781" s="382"/>
      <c r="S781" s="382"/>
      <c r="T781" s="382"/>
      <c r="U781" s="382"/>
      <c r="V781" s="383"/>
      <c r="W781" s="383"/>
      <c r="X781" s="383"/>
      <c r="Y781" s="383"/>
    </row>
    <row r="782">
      <c r="A782" s="382"/>
      <c r="B782" s="382"/>
      <c r="C782" s="382"/>
      <c r="D782" s="382"/>
      <c r="E782" s="382"/>
      <c r="F782" s="382"/>
      <c r="G782" s="382"/>
      <c r="H782" s="382"/>
      <c r="I782" s="382"/>
      <c r="J782" s="382"/>
      <c r="K782" s="382"/>
      <c r="L782" s="382"/>
      <c r="M782" s="382"/>
      <c r="N782" s="382"/>
      <c r="O782" s="382"/>
      <c r="P782" s="382"/>
      <c r="Q782" s="382"/>
      <c r="R782" s="382"/>
      <c r="S782" s="382"/>
      <c r="T782" s="382"/>
      <c r="U782" s="382"/>
      <c r="V782" s="383"/>
      <c r="W782" s="383"/>
      <c r="X782" s="383"/>
      <c r="Y782" s="383"/>
    </row>
    <row r="783">
      <c r="A783" s="382"/>
      <c r="B783" s="382"/>
      <c r="C783" s="382"/>
      <c r="D783" s="382"/>
      <c r="E783" s="382"/>
      <c r="F783" s="382"/>
      <c r="G783" s="382"/>
      <c r="H783" s="382"/>
      <c r="I783" s="382"/>
      <c r="J783" s="382"/>
      <c r="K783" s="382"/>
      <c r="L783" s="382"/>
      <c r="M783" s="382"/>
      <c r="N783" s="382"/>
      <c r="O783" s="382"/>
      <c r="P783" s="382"/>
      <c r="Q783" s="382"/>
      <c r="R783" s="382"/>
      <c r="S783" s="382"/>
      <c r="T783" s="382"/>
      <c r="U783" s="382"/>
      <c r="V783" s="383"/>
      <c r="W783" s="383"/>
      <c r="X783" s="383"/>
      <c r="Y783" s="383"/>
    </row>
    <row r="784">
      <c r="A784" s="382"/>
      <c r="B784" s="382"/>
      <c r="C784" s="382"/>
      <c r="D784" s="382"/>
      <c r="E784" s="382"/>
      <c r="F784" s="382"/>
      <c r="G784" s="382"/>
      <c r="H784" s="382"/>
      <c r="I784" s="382"/>
      <c r="J784" s="382"/>
      <c r="K784" s="382"/>
      <c r="L784" s="382"/>
      <c r="M784" s="382"/>
      <c r="N784" s="382"/>
      <c r="O784" s="382"/>
      <c r="P784" s="382"/>
      <c r="Q784" s="382"/>
      <c r="R784" s="382"/>
      <c r="S784" s="382"/>
      <c r="T784" s="382"/>
      <c r="U784" s="382"/>
      <c r="V784" s="383"/>
      <c r="W784" s="383"/>
      <c r="X784" s="383"/>
      <c r="Y784" s="383"/>
    </row>
    <row r="785">
      <c r="A785" s="382"/>
      <c r="B785" s="382"/>
      <c r="C785" s="382"/>
      <c r="D785" s="382"/>
      <c r="E785" s="382"/>
      <c r="F785" s="382"/>
      <c r="G785" s="382"/>
      <c r="H785" s="382"/>
      <c r="I785" s="382"/>
      <c r="J785" s="382"/>
      <c r="K785" s="382"/>
      <c r="L785" s="382"/>
      <c r="M785" s="382"/>
      <c r="N785" s="382"/>
      <c r="O785" s="382"/>
      <c r="P785" s="382"/>
      <c r="Q785" s="382"/>
      <c r="R785" s="382"/>
      <c r="S785" s="382"/>
      <c r="T785" s="382"/>
      <c r="U785" s="382"/>
      <c r="V785" s="383"/>
      <c r="W785" s="383"/>
      <c r="X785" s="383"/>
      <c r="Y785" s="383"/>
    </row>
    <row r="786">
      <c r="A786" s="382"/>
      <c r="B786" s="382"/>
      <c r="C786" s="382"/>
      <c r="D786" s="382"/>
      <c r="E786" s="382"/>
      <c r="F786" s="382"/>
      <c r="G786" s="382"/>
      <c r="H786" s="382"/>
      <c r="I786" s="382"/>
      <c r="J786" s="382"/>
      <c r="K786" s="382"/>
      <c r="L786" s="382"/>
      <c r="M786" s="382"/>
      <c r="N786" s="382"/>
      <c r="O786" s="382"/>
      <c r="P786" s="382"/>
      <c r="Q786" s="382"/>
      <c r="R786" s="382"/>
      <c r="S786" s="382"/>
      <c r="T786" s="382"/>
      <c r="U786" s="382"/>
      <c r="V786" s="383"/>
      <c r="W786" s="383"/>
      <c r="X786" s="383"/>
      <c r="Y786" s="383"/>
    </row>
    <row r="787">
      <c r="A787" s="382"/>
      <c r="B787" s="382"/>
      <c r="C787" s="382"/>
      <c r="D787" s="382"/>
      <c r="E787" s="382"/>
      <c r="F787" s="382"/>
      <c r="G787" s="382"/>
      <c r="H787" s="382"/>
      <c r="I787" s="382"/>
      <c r="J787" s="382"/>
      <c r="K787" s="382"/>
      <c r="L787" s="382"/>
      <c r="M787" s="382"/>
      <c r="N787" s="382"/>
      <c r="O787" s="382"/>
      <c r="P787" s="382"/>
      <c r="Q787" s="382"/>
      <c r="R787" s="382"/>
      <c r="S787" s="382"/>
      <c r="T787" s="382"/>
      <c r="U787" s="382"/>
      <c r="V787" s="383"/>
      <c r="W787" s="383"/>
      <c r="X787" s="383"/>
      <c r="Y787" s="383"/>
    </row>
    <row r="788">
      <c r="A788" s="382"/>
      <c r="B788" s="382"/>
      <c r="C788" s="382"/>
      <c r="D788" s="382"/>
      <c r="E788" s="382"/>
      <c r="F788" s="382"/>
      <c r="G788" s="382"/>
      <c r="H788" s="382"/>
      <c r="I788" s="382"/>
      <c r="J788" s="382"/>
      <c r="K788" s="382"/>
      <c r="L788" s="382"/>
      <c r="M788" s="382"/>
      <c r="N788" s="382"/>
      <c r="O788" s="382"/>
      <c r="P788" s="382"/>
      <c r="Q788" s="382"/>
      <c r="R788" s="382"/>
      <c r="S788" s="382"/>
      <c r="T788" s="382"/>
      <c r="U788" s="382"/>
      <c r="V788" s="383"/>
      <c r="W788" s="383"/>
      <c r="X788" s="383"/>
      <c r="Y788" s="383"/>
    </row>
    <row r="789">
      <c r="A789" s="382"/>
      <c r="B789" s="382"/>
      <c r="C789" s="382"/>
      <c r="D789" s="382"/>
      <c r="E789" s="382"/>
      <c r="F789" s="382"/>
      <c r="G789" s="382"/>
      <c r="H789" s="382"/>
      <c r="I789" s="382"/>
      <c r="J789" s="382"/>
      <c r="K789" s="382"/>
      <c r="L789" s="382"/>
      <c r="M789" s="382"/>
      <c r="N789" s="382"/>
      <c r="O789" s="382"/>
      <c r="P789" s="382"/>
      <c r="Q789" s="382"/>
      <c r="R789" s="382"/>
      <c r="S789" s="382"/>
      <c r="T789" s="382"/>
      <c r="U789" s="382"/>
      <c r="V789" s="383"/>
      <c r="W789" s="383"/>
      <c r="X789" s="383"/>
      <c r="Y789" s="383"/>
    </row>
    <row r="790">
      <c r="A790" s="382"/>
      <c r="B790" s="382"/>
      <c r="C790" s="382"/>
      <c r="D790" s="382"/>
      <c r="E790" s="382"/>
      <c r="F790" s="382"/>
      <c r="G790" s="382"/>
      <c r="H790" s="382"/>
      <c r="I790" s="382"/>
      <c r="J790" s="382"/>
      <c r="K790" s="382"/>
      <c r="L790" s="382"/>
      <c r="M790" s="382"/>
      <c r="N790" s="382"/>
      <c r="O790" s="382"/>
      <c r="P790" s="382"/>
      <c r="Q790" s="382"/>
      <c r="R790" s="382"/>
      <c r="S790" s="382"/>
      <c r="T790" s="382"/>
      <c r="U790" s="382"/>
      <c r="V790" s="383"/>
      <c r="W790" s="383"/>
      <c r="X790" s="383"/>
      <c r="Y790" s="383"/>
    </row>
    <row r="791">
      <c r="A791" s="382"/>
      <c r="B791" s="382"/>
      <c r="C791" s="382"/>
      <c r="D791" s="382"/>
      <c r="E791" s="382"/>
      <c r="F791" s="382"/>
      <c r="G791" s="382"/>
      <c r="H791" s="382"/>
      <c r="I791" s="382"/>
      <c r="J791" s="382"/>
      <c r="K791" s="382"/>
      <c r="L791" s="382"/>
      <c r="M791" s="382"/>
      <c r="N791" s="382"/>
      <c r="O791" s="382"/>
      <c r="P791" s="382"/>
      <c r="Q791" s="382"/>
      <c r="R791" s="382"/>
      <c r="S791" s="382"/>
      <c r="T791" s="382"/>
      <c r="U791" s="382"/>
      <c r="V791" s="383"/>
      <c r="W791" s="383"/>
      <c r="X791" s="383"/>
      <c r="Y791" s="383"/>
    </row>
    <row r="792">
      <c r="A792" s="382"/>
      <c r="B792" s="382"/>
      <c r="C792" s="382"/>
      <c r="D792" s="382"/>
      <c r="E792" s="382"/>
      <c r="F792" s="382"/>
      <c r="G792" s="382"/>
      <c r="H792" s="382"/>
      <c r="I792" s="382"/>
      <c r="J792" s="382"/>
      <c r="K792" s="382"/>
      <c r="L792" s="382"/>
      <c r="M792" s="382"/>
      <c r="N792" s="382"/>
      <c r="O792" s="382"/>
      <c r="P792" s="382"/>
      <c r="Q792" s="382"/>
      <c r="R792" s="382"/>
      <c r="S792" s="382"/>
      <c r="T792" s="382"/>
      <c r="U792" s="382"/>
      <c r="V792" s="383"/>
      <c r="W792" s="383"/>
      <c r="X792" s="383"/>
      <c r="Y792" s="383"/>
    </row>
    <row r="793">
      <c r="A793" s="382"/>
      <c r="B793" s="382"/>
      <c r="C793" s="382"/>
      <c r="D793" s="382"/>
      <c r="E793" s="382"/>
      <c r="F793" s="382"/>
      <c r="G793" s="382"/>
      <c r="H793" s="382"/>
      <c r="I793" s="382"/>
      <c r="J793" s="382"/>
      <c r="K793" s="382"/>
      <c r="L793" s="382"/>
      <c r="M793" s="382"/>
      <c r="N793" s="382"/>
      <c r="O793" s="382"/>
      <c r="P793" s="382"/>
      <c r="Q793" s="382"/>
      <c r="R793" s="382"/>
      <c r="S793" s="382"/>
      <c r="T793" s="382"/>
      <c r="U793" s="382"/>
      <c r="V793" s="383"/>
      <c r="W793" s="383"/>
      <c r="X793" s="383"/>
      <c r="Y793" s="383"/>
    </row>
    <row r="794">
      <c r="A794" s="382"/>
      <c r="B794" s="382"/>
      <c r="C794" s="382"/>
      <c r="D794" s="382"/>
      <c r="E794" s="382"/>
      <c r="F794" s="382"/>
      <c r="G794" s="382"/>
      <c r="H794" s="382"/>
      <c r="I794" s="382"/>
      <c r="J794" s="382"/>
      <c r="K794" s="382"/>
      <c r="L794" s="382"/>
      <c r="M794" s="382"/>
      <c r="N794" s="382"/>
      <c r="O794" s="382"/>
      <c r="P794" s="382"/>
      <c r="Q794" s="382"/>
      <c r="R794" s="382"/>
      <c r="S794" s="382"/>
      <c r="T794" s="382"/>
      <c r="U794" s="382"/>
      <c r="V794" s="383"/>
      <c r="W794" s="383"/>
      <c r="X794" s="383"/>
      <c r="Y794" s="383"/>
    </row>
    <row r="795">
      <c r="A795" s="382"/>
      <c r="B795" s="382"/>
      <c r="C795" s="382"/>
      <c r="D795" s="382"/>
      <c r="E795" s="382"/>
      <c r="F795" s="382"/>
      <c r="G795" s="382"/>
      <c r="H795" s="382"/>
      <c r="I795" s="382"/>
      <c r="J795" s="382"/>
      <c r="K795" s="382"/>
      <c r="L795" s="382"/>
      <c r="M795" s="382"/>
      <c r="N795" s="382"/>
      <c r="O795" s="382"/>
      <c r="P795" s="382"/>
      <c r="Q795" s="382"/>
      <c r="R795" s="382"/>
      <c r="S795" s="382"/>
      <c r="T795" s="382"/>
      <c r="U795" s="382"/>
      <c r="V795" s="383"/>
      <c r="W795" s="383"/>
      <c r="X795" s="383"/>
      <c r="Y795" s="383"/>
    </row>
    <row r="796">
      <c r="A796" s="382"/>
      <c r="B796" s="382"/>
      <c r="C796" s="382"/>
      <c r="D796" s="382"/>
      <c r="E796" s="382"/>
      <c r="F796" s="382"/>
      <c r="G796" s="382"/>
      <c r="H796" s="382"/>
      <c r="I796" s="382"/>
      <c r="J796" s="382"/>
      <c r="K796" s="382"/>
      <c r="L796" s="382"/>
      <c r="M796" s="382"/>
      <c r="N796" s="382"/>
      <c r="O796" s="382"/>
      <c r="P796" s="382"/>
      <c r="Q796" s="382"/>
      <c r="R796" s="382"/>
      <c r="S796" s="382"/>
      <c r="T796" s="382"/>
      <c r="U796" s="382"/>
      <c r="V796" s="383"/>
      <c r="W796" s="383"/>
      <c r="X796" s="383"/>
      <c r="Y796" s="383"/>
    </row>
    <row r="797">
      <c r="A797" s="382"/>
      <c r="B797" s="382"/>
      <c r="C797" s="382"/>
      <c r="D797" s="382"/>
      <c r="E797" s="382"/>
      <c r="F797" s="382"/>
      <c r="G797" s="382"/>
      <c r="H797" s="382"/>
      <c r="I797" s="382"/>
      <c r="J797" s="382"/>
      <c r="K797" s="382"/>
      <c r="L797" s="382"/>
      <c r="M797" s="382"/>
      <c r="N797" s="382"/>
      <c r="O797" s="382"/>
      <c r="P797" s="382"/>
      <c r="Q797" s="382"/>
      <c r="R797" s="382"/>
      <c r="S797" s="382"/>
      <c r="T797" s="382"/>
      <c r="U797" s="382"/>
      <c r="V797" s="383"/>
      <c r="W797" s="383"/>
      <c r="X797" s="383"/>
      <c r="Y797" s="383"/>
    </row>
    <row r="798">
      <c r="A798" s="382"/>
      <c r="B798" s="382"/>
      <c r="C798" s="382"/>
      <c r="D798" s="382"/>
      <c r="E798" s="382"/>
      <c r="F798" s="382"/>
      <c r="G798" s="382"/>
      <c r="H798" s="382"/>
      <c r="I798" s="382"/>
      <c r="J798" s="382"/>
      <c r="K798" s="382"/>
      <c r="L798" s="382"/>
      <c r="M798" s="382"/>
      <c r="N798" s="382"/>
      <c r="O798" s="382"/>
      <c r="P798" s="382"/>
      <c r="Q798" s="382"/>
      <c r="R798" s="382"/>
      <c r="S798" s="382"/>
      <c r="T798" s="382"/>
      <c r="U798" s="382"/>
      <c r="V798" s="383"/>
      <c r="W798" s="383"/>
      <c r="X798" s="383"/>
      <c r="Y798" s="383"/>
    </row>
    <row r="799">
      <c r="A799" s="382"/>
      <c r="B799" s="382"/>
      <c r="C799" s="382"/>
      <c r="D799" s="382"/>
      <c r="E799" s="382"/>
      <c r="F799" s="382"/>
      <c r="G799" s="382"/>
      <c r="H799" s="382"/>
      <c r="I799" s="382"/>
      <c r="J799" s="382"/>
      <c r="K799" s="382"/>
      <c r="L799" s="382"/>
      <c r="M799" s="382"/>
      <c r="N799" s="382"/>
      <c r="O799" s="382"/>
      <c r="P799" s="382"/>
      <c r="Q799" s="382"/>
      <c r="R799" s="382"/>
      <c r="S799" s="382"/>
      <c r="T799" s="382"/>
      <c r="U799" s="382"/>
      <c r="V799" s="383"/>
      <c r="W799" s="383"/>
      <c r="X799" s="383"/>
      <c r="Y799" s="383"/>
    </row>
    <row r="800">
      <c r="A800" s="382"/>
      <c r="B800" s="382"/>
      <c r="C800" s="382"/>
      <c r="D800" s="382"/>
      <c r="E800" s="382"/>
      <c r="F800" s="382"/>
      <c r="G800" s="382"/>
      <c r="H800" s="382"/>
      <c r="I800" s="382"/>
      <c r="J800" s="382"/>
      <c r="K800" s="382"/>
      <c r="L800" s="382"/>
      <c r="M800" s="382"/>
      <c r="N800" s="382"/>
      <c r="O800" s="382"/>
      <c r="P800" s="382"/>
      <c r="Q800" s="382"/>
      <c r="R800" s="382"/>
      <c r="S800" s="382"/>
      <c r="T800" s="382"/>
      <c r="U800" s="382"/>
      <c r="V800" s="383"/>
      <c r="W800" s="383"/>
      <c r="X800" s="383"/>
      <c r="Y800" s="383"/>
    </row>
    <row r="801">
      <c r="A801" s="382"/>
      <c r="B801" s="382"/>
      <c r="C801" s="382"/>
      <c r="D801" s="382"/>
      <c r="E801" s="382"/>
      <c r="F801" s="382"/>
      <c r="G801" s="382"/>
      <c r="H801" s="382"/>
      <c r="I801" s="382"/>
      <c r="J801" s="382"/>
      <c r="K801" s="382"/>
      <c r="L801" s="382"/>
      <c r="M801" s="382"/>
      <c r="N801" s="382"/>
      <c r="O801" s="382"/>
      <c r="P801" s="382"/>
      <c r="Q801" s="382"/>
      <c r="R801" s="382"/>
      <c r="S801" s="382"/>
      <c r="T801" s="382"/>
      <c r="U801" s="382"/>
      <c r="V801" s="383"/>
      <c r="W801" s="383"/>
      <c r="X801" s="383"/>
      <c r="Y801" s="383"/>
    </row>
    <row r="802">
      <c r="A802" s="382"/>
      <c r="B802" s="382"/>
      <c r="C802" s="382"/>
      <c r="D802" s="382"/>
      <c r="E802" s="382"/>
      <c r="F802" s="382"/>
      <c r="G802" s="382"/>
      <c r="H802" s="382"/>
      <c r="I802" s="382"/>
      <c r="J802" s="382"/>
      <c r="K802" s="382"/>
      <c r="L802" s="382"/>
      <c r="M802" s="382"/>
      <c r="N802" s="382"/>
      <c r="O802" s="382"/>
      <c r="P802" s="382"/>
      <c r="Q802" s="382"/>
      <c r="R802" s="382"/>
      <c r="S802" s="382"/>
      <c r="T802" s="382"/>
      <c r="U802" s="382"/>
      <c r="V802" s="383"/>
      <c r="W802" s="383"/>
      <c r="X802" s="383"/>
      <c r="Y802" s="383"/>
    </row>
    <row r="803">
      <c r="A803" s="382"/>
      <c r="B803" s="382"/>
      <c r="C803" s="382"/>
      <c r="D803" s="382"/>
      <c r="E803" s="382"/>
      <c r="F803" s="382"/>
      <c r="G803" s="382"/>
      <c r="H803" s="382"/>
      <c r="I803" s="382"/>
      <c r="J803" s="382"/>
      <c r="K803" s="382"/>
      <c r="L803" s="382"/>
      <c r="M803" s="382"/>
      <c r="N803" s="382"/>
      <c r="O803" s="382"/>
      <c r="P803" s="382"/>
      <c r="Q803" s="382"/>
      <c r="R803" s="382"/>
      <c r="S803" s="382"/>
      <c r="T803" s="382"/>
      <c r="U803" s="382"/>
      <c r="V803" s="383"/>
      <c r="W803" s="383"/>
      <c r="X803" s="383"/>
      <c r="Y803" s="383"/>
    </row>
    <row r="804">
      <c r="A804" s="382"/>
      <c r="B804" s="382"/>
      <c r="C804" s="382"/>
      <c r="D804" s="382"/>
      <c r="E804" s="382"/>
      <c r="F804" s="382"/>
      <c r="G804" s="382"/>
      <c r="H804" s="382"/>
      <c r="I804" s="382"/>
      <c r="J804" s="382"/>
      <c r="K804" s="382"/>
      <c r="L804" s="382"/>
      <c r="M804" s="382"/>
      <c r="N804" s="382"/>
      <c r="O804" s="382"/>
      <c r="P804" s="382"/>
      <c r="Q804" s="382"/>
      <c r="R804" s="382"/>
      <c r="S804" s="382"/>
      <c r="T804" s="382"/>
      <c r="U804" s="382"/>
      <c r="V804" s="383"/>
      <c r="W804" s="383"/>
      <c r="X804" s="383"/>
      <c r="Y804" s="383"/>
    </row>
    <row r="805">
      <c r="A805" s="382"/>
      <c r="B805" s="382"/>
      <c r="C805" s="382"/>
      <c r="D805" s="382"/>
      <c r="E805" s="382"/>
      <c r="F805" s="382"/>
      <c r="G805" s="382"/>
      <c r="H805" s="382"/>
      <c r="I805" s="382"/>
      <c r="J805" s="382"/>
      <c r="K805" s="382"/>
      <c r="L805" s="382"/>
      <c r="M805" s="382"/>
      <c r="N805" s="382"/>
      <c r="O805" s="382"/>
      <c r="P805" s="382"/>
      <c r="Q805" s="382"/>
      <c r="R805" s="382"/>
      <c r="S805" s="382"/>
      <c r="T805" s="382"/>
      <c r="U805" s="382"/>
      <c r="V805" s="383"/>
      <c r="W805" s="383"/>
      <c r="X805" s="383"/>
      <c r="Y805" s="383"/>
    </row>
    <row r="806">
      <c r="A806" s="382"/>
      <c r="B806" s="382"/>
      <c r="C806" s="382"/>
      <c r="D806" s="382"/>
      <c r="E806" s="382"/>
      <c r="F806" s="382"/>
      <c r="G806" s="382"/>
      <c r="H806" s="382"/>
      <c r="I806" s="382"/>
      <c r="J806" s="382"/>
      <c r="K806" s="382"/>
      <c r="L806" s="382"/>
      <c r="M806" s="382"/>
      <c r="N806" s="382"/>
      <c r="O806" s="382"/>
      <c r="P806" s="382"/>
      <c r="Q806" s="382"/>
      <c r="R806" s="382"/>
      <c r="S806" s="382"/>
      <c r="T806" s="382"/>
      <c r="U806" s="382"/>
      <c r="V806" s="383"/>
      <c r="W806" s="383"/>
      <c r="X806" s="383"/>
      <c r="Y806" s="383"/>
    </row>
    <row r="807">
      <c r="A807" s="382"/>
      <c r="B807" s="382"/>
      <c r="C807" s="382"/>
      <c r="D807" s="382"/>
      <c r="E807" s="382"/>
      <c r="F807" s="382"/>
      <c r="G807" s="382"/>
      <c r="H807" s="382"/>
      <c r="I807" s="382"/>
      <c r="J807" s="382"/>
      <c r="K807" s="382"/>
      <c r="L807" s="382"/>
      <c r="M807" s="382"/>
      <c r="N807" s="382"/>
      <c r="O807" s="382"/>
      <c r="P807" s="382"/>
      <c r="Q807" s="382"/>
      <c r="R807" s="382"/>
      <c r="S807" s="382"/>
      <c r="T807" s="382"/>
      <c r="U807" s="382"/>
      <c r="V807" s="383"/>
      <c r="W807" s="383"/>
      <c r="X807" s="383"/>
      <c r="Y807" s="383"/>
    </row>
    <row r="808">
      <c r="A808" s="382"/>
      <c r="B808" s="382"/>
      <c r="C808" s="382"/>
      <c r="D808" s="382"/>
      <c r="E808" s="382"/>
      <c r="F808" s="382"/>
      <c r="G808" s="382"/>
      <c r="H808" s="382"/>
      <c r="I808" s="382"/>
      <c r="J808" s="382"/>
      <c r="K808" s="382"/>
      <c r="L808" s="382"/>
      <c r="M808" s="382"/>
      <c r="N808" s="382"/>
      <c r="O808" s="382"/>
      <c r="P808" s="382"/>
      <c r="Q808" s="382"/>
      <c r="R808" s="382"/>
      <c r="S808" s="382"/>
      <c r="T808" s="382"/>
      <c r="U808" s="382"/>
      <c r="V808" s="383"/>
      <c r="W808" s="383"/>
      <c r="X808" s="383"/>
      <c r="Y808" s="383"/>
    </row>
    <row r="809">
      <c r="A809" s="382"/>
      <c r="B809" s="382"/>
      <c r="C809" s="382"/>
      <c r="D809" s="382"/>
      <c r="E809" s="382"/>
      <c r="F809" s="382"/>
      <c r="G809" s="382"/>
      <c r="H809" s="382"/>
      <c r="I809" s="382"/>
      <c r="J809" s="382"/>
      <c r="K809" s="382"/>
      <c r="L809" s="382"/>
      <c r="M809" s="382"/>
      <c r="N809" s="382"/>
      <c r="O809" s="382"/>
      <c r="P809" s="382"/>
      <c r="Q809" s="382"/>
      <c r="R809" s="382"/>
      <c r="S809" s="382"/>
      <c r="T809" s="382"/>
      <c r="U809" s="382"/>
      <c r="V809" s="383"/>
      <c r="W809" s="383"/>
      <c r="X809" s="383"/>
      <c r="Y809" s="383"/>
    </row>
    <row r="810">
      <c r="A810" s="382"/>
      <c r="B810" s="382"/>
      <c r="C810" s="382"/>
      <c r="D810" s="382"/>
      <c r="E810" s="382"/>
      <c r="F810" s="382"/>
      <c r="G810" s="382"/>
      <c r="H810" s="382"/>
      <c r="I810" s="382"/>
      <c r="J810" s="382"/>
      <c r="K810" s="382"/>
      <c r="L810" s="382"/>
      <c r="M810" s="382"/>
      <c r="N810" s="382"/>
      <c r="O810" s="382"/>
      <c r="P810" s="382"/>
      <c r="Q810" s="382"/>
      <c r="R810" s="382"/>
      <c r="S810" s="382"/>
      <c r="T810" s="382"/>
      <c r="U810" s="382"/>
      <c r="V810" s="383"/>
      <c r="W810" s="383"/>
      <c r="X810" s="383"/>
      <c r="Y810" s="383"/>
    </row>
    <row r="811">
      <c r="A811" s="382"/>
      <c r="B811" s="382"/>
      <c r="C811" s="382"/>
      <c r="D811" s="382"/>
      <c r="E811" s="382"/>
      <c r="F811" s="382"/>
      <c r="G811" s="382"/>
      <c r="H811" s="382"/>
      <c r="I811" s="382"/>
      <c r="J811" s="382"/>
      <c r="K811" s="382"/>
      <c r="L811" s="382"/>
      <c r="M811" s="382"/>
      <c r="N811" s="382"/>
      <c r="O811" s="382"/>
      <c r="P811" s="382"/>
      <c r="Q811" s="382"/>
      <c r="R811" s="382"/>
      <c r="S811" s="382"/>
      <c r="T811" s="382"/>
      <c r="U811" s="382"/>
      <c r="V811" s="383"/>
      <c r="W811" s="383"/>
      <c r="X811" s="383"/>
      <c r="Y811" s="383"/>
    </row>
    <row r="812">
      <c r="A812" s="382"/>
      <c r="B812" s="382"/>
      <c r="C812" s="382"/>
      <c r="D812" s="382"/>
      <c r="E812" s="382"/>
      <c r="F812" s="382"/>
      <c r="G812" s="382"/>
      <c r="H812" s="382"/>
      <c r="I812" s="382"/>
      <c r="J812" s="382"/>
      <c r="K812" s="382"/>
      <c r="L812" s="382"/>
      <c r="M812" s="382"/>
      <c r="N812" s="382"/>
      <c r="O812" s="382"/>
      <c r="P812" s="382"/>
      <c r="Q812" s="382"/>
      <c r="R812" s="382"/>
      <c r="S812" s="382"/>
      <c r="T812" s="382"/>
      <c r="U812" s="382"/>
      <c r="V812" s="383"/>
      <c r="W812" s="383"/>
      <c r="X812" s="383"/>
      <c r="Y812" s="383"/>
    </row>
    <row r="813">
      <c r="A813" s="382"/>
      <c r="B813" s="382"/>
      <c r="C813" s="382"/>
      <c r="D813" s="382"/>
      <c r="E813" s="382"/>
      <c r="F813" s="382"/>
      <c r="G813" s="382"/>
      <c r="H813" s="382"/>
      <c r="I813" s="382"/>
      <c r="J813" s="382"/>
      <c r="K813" s="382"/>
      <c r="L813" s="382"/>
      <c r="M813" s="382"/>
      <c r="N813" s="382"/>
      <c r="O813" s="382"/>
      <c r="P813" s="382"/>
      <c r="Q813" s="382"/>
      <c r="R813" s="382"/>
      <c r="S813" s="382"/>
      <c r="T813" s="382"/>
      <c r="U813" s="382"/>
      <c r="V813" s="383"/>
      <c r="W813" s="383"/>
      <c r="X813" s="383"/>
      <c r="Y813" s="383"/>
    </row>
    <row r="814">
      <c r="A814" s="382"/>
      <c r="B814" s="382"/>
      <c r="C814" s="382"/>
      <c r="D814" s="382"/>
      <c r="E814" s="382"/>
      <c r="F814" s="382"/>
      <c r="G814" s="382"/>
      <c r="H814" s="382"/>
      <c r="I814" s="382"/>
      <c r="J814" s="382"/>
      <c r="K814" s="382"/>
      <c r="L814" s="382"/>
      <c r="M814" s="382"/>
      <c r="N814" s="382"/>
      <c r="O814" s="382"/>
      <c r="P814" s="382"/>
      <c r="Q814" s="382"/>
      <c r="R814" s="382"/>
      <c r="S814" s="382"/>
      <c r="T814" s="382"/>
      <c r="U814" s="382"/>
      <c r="V814" s="383"/>
      <c r="W814" s="383"/>
      <c r="X814" s="383"/>
      <c r="Y814" s="383"/>
    </row>
    <row r="815">
      <c r="A815" s="382"/>
      <c r="B815" s="382"/>
      <c r="C815" s="382"/>
      <c r="D815" s="382"/>
      <c r="E815" s="382"/>
      <c r="F815" s="382"/>
      <c r="G815" s="382"/>
      <c r="H815" s="382"/>
      <c r="I815" s="382"/>
      <c r="J815" s="382"/>
      <c r="K815" s="382"/>
      <c r="L815" s="382"/>
      <c r="M815" s="382"/>
      <c r="N815" s="382"/>
      <c r="O815" s="382"/>
      <c r="P815" s="382"/>
      <c r="Q815" s="382"/>
      <c r="R815" s="382"/>
      <c r="S815" s="382"/>
      <c r="T815" s="382"/>
      <c r="U815" s="382"/>
      <c r="V815" s="383"/>
      <c r="W815" s="383"/>
      <c r="X815" s="383"/>
      <c r="Y815" s="383"/>
    </row>
    <row r="816">
      <c r="A816" s="382"/>
      <c r="B816" s="382"/>
      <c r="C816" s="382"/>
      <c r="D816" s="382"/>
      <c r="E816" s="382"/>
      <c r="F816" s="382"/>
      <c r="G816" s="382"/>
      <c r="H816" s="382"/>
      <c r="I816" s="382"/>
      <c r="J816" s="382"/>
      <c r="K816" s="382"/>
      <c r="L816" s="382"/>
      <c r="M816" s="382"/>
      <c r="N816" s="382"/>
      <c r="O816" s="382"/>
      <c r="P816" s="382"/>
      <c r="Q816" s="382"/>
      <c r="R816" s="382"/>
      <c r="S816" s="382"/>
      <c r="T816" s="382"/>
      <c r="U816" s="382"/>
      <c r="V816" s="383"/>
      <c r="W816" s="383"/>
      <c r="X816" s="383"/>
      <c r="Y816" s="383"/>
    </row>
    <row r="817">
      <c r="A817" s="382"/>
      <c r="B817" s="382"/>
      <c r="C817" s="382"/>
      <c r="D817" s="382"/>
      <c r="E817" s="382"/>
      <c r="F817" s="382"/>
      <c r="G817" s="382"/>
      <c r="H817" s="382"/>
      <c r="I817" s="382"/>
      <c r="J817" s="382"/>
      <c r="K817" s="382"/>
      <c r="L817" s="382"/>
      <c r="M817" s="382"/>
      <c r="N817" s="382"/>
      <c r="O817" s="382"/>
      <c r="P817" s="382"/>
      <c r="Q817" s="382"/>
      <c r="R817" s="382"/>
      <c r="S817" s="382"/>
      <c r="T817" s="382"/>
      <c r="U817" s="382"/>
      <c r="V817" s="383"/>
      <c r="W817" s="383"/>
      <c r="X817" s="383"/>
      <c r="Y817" s="383"/>
    </row>
    <row r="818">
      <c r="A818" s="382"/>
      <c r="B818" s="382"/>
      <c r="C818" s="382"/>
      <c r="D818" s="382"/>
      <c r="E818" s="382"/>
      <c r="F818" s="382"/>
      <c r="G818" s="382"/>
      <c r="H818" s="382"/>
      <c r="I818" s="382"/>
      <c r="J818" s="382"/>
      <c r="K818" s="382"/>
      <c r="L818" s="382"/>
      <c r="M818" s="382"/>
      <c r="N818" s="382"/>
      <c r="O818" s="382"/>
      <c r="P818" s="382"/>
      <c r="Q818" s="382"/>
      <c r="R818" s="382"/>
      <c r="S818" s="382"/>
      <c r="T818" s="382"/>
      <c r="U818" s="382"/>
      <c r="V818" s="383"/>
      <c r="W818" s="383"/>
      <c r="X818" s="383"/>
      <c r="Y818" s="383"/>
    </row>
    <row r="819">
      <c r="A819" s="382"/>
      <c r="B819" s="382"/>
      <c r="C819" s="382"/>
      <c r="D819" s="382"/>
      <c r="E819" s="382"/>
      <c r="F819" s="382"/>
      <c r="G819" s="382"/>
      <c r="H819" s="382"/>
      <c r="I819" s="382"/>
      <c r="J819" s="382"/>
      <c r="K819" s="382"/>
      <c r="L819" s="382"/>
      <c r="M819" s="382"/>
      <c r="N819" s="382"/>
      <c r="O819" s="382"/>
      <c r="P819" s="382"/>
      <c r="Q819" s="382"/>
      <c r="R819" s="382"/>
      <c r="S819" s="382"/>
      <c r="T819" s="382"/>
      <c r="U819" s="382"/>
      <c r="V819" s="383"/>
      <c r="W819" s="383"/>
      <c r="X819" s="383"/>
      <c r="Y819" s="383"/>
    </row>
    <row r="820">
      <c r="A820" s="382"/>
      <c r="B820" s="382"/>
      <c r="C820" s="382"/>
      <c r="D820" s="382"/>
      <c r="E820" s="382"/>
      <c r="F820" s="382"/>
      <c r="G820" s="382"/>
      <c r="H820" s="382"/>
      <c r="I820" s="382"/>
      <c r="J820" s="382"/>
      <c r="K820" s="382"/>
      <c r="L820" s="382"/>
      <c r="M820" s="382"/>
      <c r="N820" s="382"/>
      <c r="O820" s="382"/>
      <c r="P820" s="382"/>
      <c r="Q820" s="382"/>
      <c r="R820" s="382"/>
      <c r="S820" s="382"/>
      <c r="T820" s="382"/>
      <c r="U820" s="382"/>
      <c r="V820" s="383"/>
      <c r="W820" s="383"/>
      <c r="X820" s="383"/>
      <c r="Y820" s="383"/>
    </row>
    <row r="821">
      <c r="A821" s="382"/>
      <c r="B821" s="382"/>
      <c r="C821" s="382"/>
      <c r="D821" s="382"/>
      <c r="E821" s="382"/>
      <c r="F821" s="382"/>
      <c r="G821" s="382"/>
      <c r="H821" s="382"/>
      <c r="I821" s="382"/>
      <c r="J821" s="382"/>
      <c r="K821" s="382"/>
      <c r="L821" s="382"/>
      <c r="M821" s="382"/>
      <c r="N821" s="382"/>
      <c r="O821" s="382"/>
      <c r="P821" s="382"/>
      <c r="Q821" s="382"/>
      <c r="R821" s="382"/>
      <c r="S821" s="382"/>
      <c r="T821" s="382"/>
      <c r="U821" s="382"/>
      <c r="V821" s="383"/>
      <c r="W821" s="383"/>
      <c r="X821" s="383"/>
      <c r="Y821" s="383"/>
    </row>
    <row r="822">
      <c r="A822" s="382"/>
      <c r="B822" s="382"/>
      <c r="C822" s="382"/>
      <c r="D822" s="382"/>
      <c r="E822" s="382"/>
      <c r="F822" s="382"/>
      <c r="G822" s="382"/>
      <c r="H822" s="382"/>
      <c r="I822" s="382"/>
      <c r="J822" s="382"/>
      <c r="K822" s="382"/>
      <c r="L822" s="382"/>
      <c r="M822" s="382"/>
      <c r="N822" s="382"/>
      <c r="O822" s="382"/>
      <c r="P822" s="382"/>
      <c r="Q822" s="382"/>
      <c r="R822" s="382"/>
      <c r="S822" s="382"/>
      <c r="T822" s="382"/>
      <c r="U822" s="382"/>
      <c r="V822" s="383"/>
      <c r="W822" s="383"/>
      <c r="X822" s="383"/>
      <c r="Y822" s="383"/>
    </row>
    <row r="823">
      <c r="A823" s="382"/>
      <c r="B823" s="382"/>
      <c r="C823" s="382"/>
      <c r="D823" s="382"/>
      <c r="E823" s="382"/>
      <c r="F823" s="382"/>
      <c r="G823" s="382"/>
      <c r="H823" s="382"/>
      <c r="I823" s="382"/>
      <c r="J823" s="382"/>
      <c r="K823" s="382"/>
      <c r="L823" s="382"/>
      <c r="M823" s="382"/>
      <c r="N823" s="382"/>
      <c r="O823" s="382"/>
      <c r="P823" s="382"/>
      <c r="Q823" s="382"/>
      <c r="R823" s="382"/>
      <c r="S823" s="382"/>
      <c r="T823" s="382"/>
      <c r="U823" s="382"/>
      <c r="V823" s="383"/>
      <c r="W823" s="383"/>
      <c r="X823" s="383"/>
      <c r="Y823" s="383"/>
    </row>
    <row r="824">
      <c r="A824" s="382"/>
      <c r="B824" s="382"/>
      <c r="C824" s="382"/>
      <c r="D824" s="382"/>
      <c r="E824" s="382"/>
      <c r="F824" s="382"/>
      <c r="G824" s="382"/>
      <c r="H824" s="382"/>
      <c r="I824" s="382"/>
      <c r="J824" s="382"/>
      <c r="K824" s="382"/>
      <c r="L824" s="382"/>
      <c r="M824" s="382"/>
      <c r="N824" s="382"/>
      <c r="O824" s="382"/>
      <c r="P824" s="382"/>
      <c r="Q824" s="382"/>
      <c r="R824" s="382"/>
      <c r="S824" s="382"/>
      <c r="T824" s="382"/>
      <c r="U824" s="382"/>
      <c r="V824" s="383"/>
      <c r="W824" s="383"/>
      <c r="X824" s="383"/>
      <c r="Y824" s="383"/>
    </row>
    <row r="825">
      <c r="A825" s="382"/>
      <c r="B825" s="382"/>
      <c r="C825" s="382"/>
      <c r="D825" s="382"/>
      <c r="E825" s="382"/>
      <c r="F825" s="382"/>
      <c r="G825" s="382"/>
      <c r="H825" s="382"/>
      <c r="I825" s="382"/>
      <c r="J825" s="382"/>
      <c r="K825" s="382"/>
      <c r="L825" s="382"/>
      <c r="M825" s="382"/>
      <c r="N825" s="382"/>
      <c r="O825" s="382"/>
      <c r="P825" s="382"/>
      <c r="Q825" s="382"/>
      <c r="R825" s="382"/>
      <c r="S825" s="382"/>
      <c r="T825" s="382"/>
      <c r="U825" s="382"/>
      <c r="V825" s="383"/>
      <c r="W825" s="383"/>
      <c r="X825" s="383"/>
      <c r="Y825" s="383"/>
    </row>
    <row r="826">
      <c r="A826" s="382"/>
      <c r="B826" s="382"/>
      <c r="C826" s="382"/>
      <c r="D826" s="382"/>
      <c r="E826" s="382"/>
      <c r="F826" s="382"/>
      <c r="G826" s="382"/>
      <c r="H826" s="382"/>
      <c r="I826" s="382"/>
      <c r="J826" s="382"/>
      <c r="K826" s="382"/>
      <c r="L826" s="382"/>
      <c r="M826" s="382"/>
      <c r="N826" s="382"/>
      <c r="O826" s="382"/>
      <c r="P826" s="382"/>
      <c r="Q826" s="382"/>
      <c r="R826" s="382"/>
      <c r="S826" s="382"/>
      <c r="T826" s="382"/>
      <c r="U826" s="382"/>
      <c r="V826" s="383"/>
      <c r="W826" s="383"/>
      <c r="X826" s="383"/>
      <c r="Y826" s="383"/>
    </row>
    <row r="827">
      <c r="A827" s="382"/>
      <c r="B827" s="382"/>
      <c r="C827" s="382"/>
      <c r="D827" s="382"/>
      <c r="E827" s="382"/>
      <c r="F827" s="382"/>
      <c r="G827" s="382"/>
      <c r="H827" s="382"/>
      <c r="I827" s="382"/>
      <c r="J827" s="382"/>
      <c r="K827" s="382"/>
      <c r="L827" s="382"/>
      <c r="M827" s="382"/>
      <c r="N827" s="382"/>
      <c r="O827" s="382"/>
      <c r="P827" s="382"/>
      <c r="Q827" s="382"/>
      <c r="R827" s="382"/>
      <c r="S827" s="382"/>
      <c r="T827" s="382"/>
      <c r="U827" s="382"/>
      <c r="V827" s="383"/>
      <c r="W827" s="383"/>
      <c r="X827" s="383"/>
      <c r="Y827" s="383"/>
    </row>
    <row r="828">
      <c r="A828" s="382"/>
      <c r="B828" s="382"/>
      <c r="C828" s="382"/>
      <c r="D828" s="382"/>
      <c r="E828" s="382"/>
      <c r="F828" s="382"/>
      <c r="G828" s="382"/>
      <c r="H828" s="382"/>
      <c r="I828" s="382"/>
      <c r="J828" s="382"/>
      <c r="K828" s="382"/>
      <c r="L828" s="382"/>
      <c r="M828" s="382"/>
      <c r="N828" s="382"/>
      <c r="O828" s="382"/>
      <c r="P828" s="382"/>
      <c r="Q828" s="382"/>
      <c r="R828" s="382"/>
      <c r="S828" s="382"/>
      <c r="T828" s="382"/>
      <c r="U828" s="382"/>
      <c r="V828" s="383"/>
      <c r="W828" s="383"/>
      <c r="X828" s="383"/>
      <c r="Y828" s="383"/>
    </row>
    <row r="829">
      <c r="A829" s="382"/>
      <c r="B829" s="382"/>
      <c r="C829" s="382"/>
      <c r="D829" s="382"/>
      <c r="E829" s="382"/>
      <c r="F829" s="382"/>
      <c r="G829" s="382"/>
      <c r="H829" s="382"/>
      <c r="I829" s="382"/>
      <c r="J829" s="382"/>
      <c r="K829" s="382"/>
      <c r="L829" s="382"/>
      <c r="M829" s="382"/>
      <c r="N829" s="382"/>
      <c r="O829" s="382"/>
      <c r="P829" s="382"/>
      <c r="Q829" s="382"/>
      <c r="R829" s="382"/>
      <c r="S829" s="382"/>
      <c r="T829" s="382"/>
      <c r="U829" s="382"/>
      <c r="V829" s="383"/>
      <c r="W829" s="383"/>
      <c r="X829" s="383"/>
      <c r="Y829" s="383"/>
    </row>
    <row r="830">
      <c r="A830" s="382"/>
      <c r="B830" s="382"/>
      <c r="C830" s="382"/>
      <c r="D830" s="382"/>
      <c r="E830" s="382"/>
      <c r="F830" s="382"/>
      <c r="G830" s="382"/>
      <c r="H830" s="382"/>
      <c r="I830" s="382"/>
      <c r="J830" s="382"/>
      <c r="K830" s="382"/>
      <c r="L830" s="382"/>
      <c r="M830" s="382"/>
      <c r="N830" s="382"/>
      <c r="O830" s="382"/>
      <c r="P830" s="382"/>
      <c r="Q830" s="382"/>
      <c r="R830" s="382"/>
      <c r="S830" s="382"/>
      <c r="T830" s="382"/>
      <c r="U830" s="382"/>
      <c r="V830" s="383"/>
      <c r="W830" s="383"/>
      <c r="X830" s="383"/>
      <c r="Y830" s="383"/>
    </row>
    <row r="831">
      <c r="A831" s="382"/>
      <c r="B831" s="382"/>
      <c r="C831" s="382"/>
      <c r="D831" s="382"/>
      <c r="E831" s="382"/>
      <c r="F831" s="382"/>
      <c r="G831" s="382"/>
      <c r="H831" s="382"/>
      <c r="I831" s="382"/>
      <c r="J831" s="382"/>
      <c r="K831" s="382"/>
      <c r="L831" s="382"/>
      <c r="M831" s="382"/>
      <c r="N831" s="382"/>
      <c r="O831" s="382"/>
      <c r="P831" s="382"/>
      <c r="Q831" s="382"/>
      <c r="R831" s="382"/>
      <c r="S831" s="382"/>
      <c r="T831" s="382"/>
      <c r="U831" s="382"/>
      <c r="V831" s="383"/>
      <c r="W831" s="383"/>
      <c r="X831" s="383"/>
      <c r="Y831" s="383"/>
    </row>
    <row r="832">
      <c r="A832" s="382"/>
      <c r="B832" s="382"/>
      <c r="C832" s="382"/>
      <c r="D832" s="382"/>
      <c r="E832" s="382"/>
      <c r="F832" s="382"/>
      <c r="G832" s="382"/>
      <c r="H832" s="382"/>
      <c r="I832" s="382"/>
      <c r="J832" s="382"/>
      <c r="K832" s="382"/>
      <c r="L832" s="382"/>
      <c r="M832" s="382"/>
      <c r="N832" s="382"/>
      <c r="O832" s="382"/>
      <c r="P832" s="382"/>
      <c r="Q832" s="382"/>
      <c r="R832" s="382"/>
      <c r="S832" s="382"/>
      <c r="T832" s="382"/>
      <c r="U832" s="382"/>
      <c r="V832" s="383"/>
      <c r="W832" s="383"/>
      <c r="X832" s="383"/>
      <c r="Y832" s="383"/>
    </row>
    <row r="833">
      <c r="A833" s="382"/>
      <c r="B833" s="382"/>
      <c r="C833" s="382"/>
      <c r="D833" s="382"/>
      <c r="E833" s="382"/>
      <c r="F833" s="382"/>
      <c r="G833" s="382"/>
      <c r="H833" s="382"/>
      <c r="I833" s="382"/>
      <c r="J833" s="382"/>
      <c r="K833" s="382"/>
      <c r="L833" s="382"/>
      <c r="M833" s="382"/>
      <c r="N833" s="382"/>
      <c r="O833" s="382"/>
      <c r="P833" s="382"/>
      <c r="Q833" s="382"/>
      <c r="R833" s="382"/>
      <c r="S833" s="382"/>
      <c r="T833" s="382"/>
      <c r="U833" s="382"/>
      <c r="V833" s="383"/>
      <c r="W833" s="383"/>
      <c r="X833" s="383"/>
      <c r="Y833" s="383"/>
    </row>
    <row r="834">
      <c r="A834" s="382"/>
      <c r="B834" s="382"/>
      <c r="C834" s="382"/>
      <c r="D834" s="382"/>
      <c r="E834" s="382"/>
      <c r="F834" s="382"/>
      <c r="G834" s="382"/>
      <c r="H834" s="382"/>
      <c r="I834" s="382"/>
      <c r="J834" s="382"/>
      <c r="K834" s="382"/>
      <c r="L834" s="382"/>
      <c r="M834" s="382"/>
      <c r="N834" s="382"/>
      <c r="O834" s="382"/>
      <c r="P834" s="382"/>
      <c r="Q834" s="382"/>
      <c r="R834" s="382"/>
      <c r="S834" s="382"/>
      <c r="T834" s="382"/>
      <c r="U834" s="382"/>
      <c r="V834" s="383"/>
      <c r="W834" s="383"/>
      <c r="X834" s="383"/>
      <c r="Y834" s="383"/>
    </row>
    <row r="835">
      <c r="A835" s="382"/>
      <c r="B835" s="382"/>
      <c r="C835" s="382"/>
      <c r="D835" s="382"/>
      <c r="E835" s="382"/>
      <c r="F835" s="382"/>
      <c r="G835" s="382"/>
      <c r="H835" s="382"/>
      <c r="I835" s="382"/>
      <c r="J835" s="382"/>
      <c r="K835" s="382"/>
      <c r="L835" s="382"/>
      <c r="M835" s="382"/>
      <c r="N835" s="382"/>
      <c r="O835" s="382"/>
      <c r="P835" s="382"/>
      <c r="Q835" s="382"/>
      <c r="R835" s="382"/>
      <c r="S835" s="382"/>
      <c r="T835" s="382"/>
      <c r="U835" s="382"/>
      <c r="V835" s="383"/>
      <c r="W835" s="383"/>
      <c r="X835" s="383"/>
      <c r="Y835" s="383"/>
    </row>
    <row r="836">
      <c r="A836" s="382"/>
      <c r="B836" s="382"/>
      <c r="C836" s="382"/>
      <c r="D836" s="382"/>
      <c r="E836" s="382"/>
      <c r="F836" s="382"/>
      <c r="G836" s="382"/>
      <c r="H836" s="382"/>
      <c r="I836" s="382"/>
      <c r="J836" s="382"/>
      <c r="K836" s="382"/>
      <c r="L836" s="382"/>
      <c r="M836" s="382"/>
      <c r="N836" s="382"/>
      <c r="O836" s="382"/>
      <c r="P836" s="382"/>
      <c r="Q836" s="382"/>
      <c r="R836" s="382"/>
      <c r="S836" s="382"/>
      <c r="T836" s="382"/>
      <c r="U836" s="382"/>
      <c r="V836" s="383"/>
      <c r="W836" s="383"/>
      <c r="X836" s="383"/>
      <c r="Y836" s="383"/>
    </row>
    <row r="837">
      <c r="A837" s="382"/>
      <c r="B837" s="382"/>
      <c r="C837" s="382"/>
      <c r="D837" s="382"/>
      <c r="E837" s="382"/>
      <c r="F837" s="382"/>
      <c r="G837" s="382"/>
      <c r="H837" s="382"/>
      <c r="I837" s="382"/>
      <c r="J837" s="382"/>
      <c r="K837" s="382"/>
      <c r="L837" s="382"/>
      <c r="M837" s="382"/>
      <c r="N837" s="382"/>
      <c r="O837" s="382"/>
      <c r="P837" s="382"/>
      <c r="Q837" s="382"/>
      <c r="R837" s="382"/>
      <c r="S837" s="382"/>
      <c r="T837" s="382"/>
      <c r="U837" s="382"/>
      <c r="V837" s="383"/>
      <c r="W837" s="383"/>
      <c r="X837" s="383"/>
      <c r="Y837" s="383"/>
    </row>
    <row r="838">
      <c r="A838" s="382"/>
      <c r="B838" s="382"/>
      <c r="C838" s="382"/>
      <c r="D838" s="382"/>
      <c r="E838" s="382"/>
      <c r="F838" s="382"/>
      <c r="G838" s="382"/>
      <c r="H838" s="382"/>
      <c r="I838" s="382"/>
      <c r="J838" s="382"/>
      <c r="K838" s="382"/>
      <c r="L838" s="382"/>
      <c r="M838" s="382"/>
      <c r="N838" s="382"/>
      <c r="O838" s="382"/>
      <c r="P838" s="382"/>
      <c r="Q838" s="382"/>
      <c r="R838" s="382"/>
      <c r="S838" s="382"/>
      <c r="T838" s="382"/>
      <c r="U838" s="382"/>
      <c r="V838" s="383"/>
      <c r="W838" s="383"/>
      <c r="X838" s="383"/>
      <c r="Y838" s="383"/>
    </row>
    <row r="839">
      <c r="A839" s="382"/>
      <c r="B839" s="382"/>
      <c r="C839" s="382"/>
      <c r="D839" s="382"/>
      <c r="E839" s="382"/>
      <c r="F839" s="382"/>
      <c r="G839" s="382"/>
      <c r="H839" s="382"/>
      <c r="I839" s="382"/>
      <c r="J839" s="382"/>
      <c r="K839" s="382"/>
      <c r="L839" s="382"/>
      <c r="M839" s="382"/>
      <c r="N839" s="382"/>
      <c r="O839" s="382"/>
      <c r="P839" s="382"/>
      <c r="Q839" s="382"/>
      <c r="R839" s="382"/>
      <c r="S839" s="382"/>
      <c r="T839" s="382"/>
      <c r="U839" s="382"/>
      <c r="V839" s="383"/>
      <c r="W839" s="383"/>
      <c r="X839" s="383"/>
      <c r="Y839" s="383"/>
    </row>
    <row r="840">
      <c r="A840" s="382"/>
      <c r="B840" s="382"/>
      <c r="C840" s="382"/>
      <c r="D840" s="382"/>
      <c r="E840" s="382"/>
      <c r="F840" s="382"/>
      <c r="G840" s="382"/>
      <c r="H840" s="382"/>
      <c r="I840" s="382"/>
      <c r="J840" s="382"/>
      <c r="K840" s="382"/>
      <c r="L840" s="382"/>
      <c r="M840" s="382"/>
      <c r="N840" s="382"/>
      <c r="O840" s="382"/>
      <c r="P840" s="382"/>
      <c r="Q840" s="382"/>
      <c r="R840" s="382"/>
      <c r="S840" s="382"/>
      <c r="T840" s="382"/>
      <c r="U840" s="382"/>
      <c r="V840" s="383"/>
      <c r="W840" s="383"/>
      <c r="X840" s="383"/>
      <c r="Y840" s="383"/>
    </row>
    <row r="841">
      <c r="A841" s="382"/>
      <c r="B841" s="382"/>
      <c r="C841" s="382"/>
      <c r="D841" s="382"/>
      <c r="E841" s="382"/>
      <c r="F841" s="382"/>
      <c r="G841" s="382"/>
      <c r="H841" s="382"/>
      <c r="I841" s="382"/>
      <c r="J841" s="382"/>
      <c r="K841" s="382"/>
      <c r="L841" s="382"/>
      <c r="M841" s="382"/>
      <c r="N841" s="382"/>
      <c r="O841" s="382"/>
      <c r="P841" s="382"/>
      <c r="Q841" s="382"/>
      <c r="R841" s="382"/>
      <c r="S841" s="382"/>
      <c r="T841" s="382"/>
      <c r="U841" s="382"/>
      <c r="V841" s="383"/>
      <c r="W841" s="383"/>
      <c r="X841" s="383"/>
      <c r="Y841" s="383"/>
    </row>
    <row r="842">
      <c r="A842" s="382"/>
      <c r="B842" s="382"/>
      <c r="C842" s="382"/>
      <c r="D842" s="382"/>
      <c r="E842" s="382"/>
      <c r="F842" s="382"/>
      <c r="G842" s="382"/>
      <c r="H842" s="382"/>
      <c r="I842" s="382"/>
      <c r="J842" s="382"/>
      <c r="K842" s="382"/>
      <c r="L842" s="382"/>
      <c r="M842" s="382"/>
      <c r="N842" s="382"/>
      <c r="O842" s="382"/>
      <c r="P842" s="382"/>
      <c r="Q842" s="382"/>
      <c r="R842" s="382"/>
      <c r="S842" s="382"/>
      <c r="T842" s="382"/>
      <c r="U842" s="382"/>
      <c r="V842" s="383"/>
      <c r="W842" s="383"/>
      <c r="X842" s="383"/>
      <c r="Y842" s="383"/>
    </row>
    <row r="843">
      <c r="A843" s="382"/>
      <c r="B843" s="382"/>
      <c r="C843" s="382"/>
      <c r="D843" s="382"/>
      <c r="E843" s="382"/>
      <c r="F843" s="382"/>
      <c r="G843" s="382"/>
      <c r="H843" s="382"/>
      <c r="I843" s="382"/>
      <c r="J843" s="382"/>
      <c r="K843" s="382"/>
      <c r="L843" s="382"/>
      <c r="M843" s="382"/>
      <c r="N843" s="382"/>
      <c r="O843" s="382"/>
      <c r="P843" s="382"/>
      <c r="Q843" s="382"/>
      <c r="R843" s="382"/>
      <c r="S843" s="382"/>
      <c r="T843" s="382"/>
      <c r="U843" s="382"/>
      <c r="V843" s="383"/>
      <c r="W843" s="383"/>
      <c r="X843" s="383"/>
      <c r="Y843" s="383"/>
    </row>
    <row r="844">
      <c r="A844" s="382"/>
      <c r="B844" s="382"/>
      <c r="C844" s="382"/>
      <c r="D844" s="382"/>
      <c r="E844" s="382"/>
      <c r="F844" s="382"/>
      <c r="G844" s="382"/>
      <c r="H844" s="382"/>
      <c r="I844" s="382"/>
      <c r="J844" s="382"/>
      <c r="K844" s="382"/>
      <c r="L844" s="382"/>
      <c r="M844" s="382"/>
      <c r="N844" s="382"/>
      <c r="O844" s="382"/>
      <c r="P844" s="382"/>
      <c r="Q844" s="382"/>
      <c r="R844" s="382"/>
      <c r="S844" s="382"/>
      <c r="T844" s="382"/>
      <c r="U844" s="382"/>
      <c r="V844" s="383"/>
      <c r="W844" s="383"/>
      <c r="X844" s="383"/>
      <c r="Y844" s="383"/>
    </row>
    <row r="845">
      <c r="A845" s="382"/>
      <c r="B845" s="382"/>
      <c r="C845" s="382"/>
      <c r="D845" s="382"/>
      <c r="E845" s="382"/>
      <c r="F845" s="382"/>
      <c r="G845" s="382"/>
      <c r="H845" s="382"/>
      <c r="I845" s="382"/>
      <c r="J845" s="382"/>
      <c r="K845" s="382"/>
      <c r="L845" s="382"/>
      <c r="M845" s="382"/>
      <c r="N845" s="382"/>
      <c r="O845" s="382"/>
      <c r="P845" s="382"/>
      <c r="Q845" s="382"/>
      <c r="R845" s="382"/>
      <c r="S845" s="382"/>
      <c r="T845" s="382"/>
      <c r="U845" s="382"/>
      <c r="V845" s="383"/>
      <c r="W845" s="383"/>
      <c r="X845" s="383"/>
      <c r="Y845" s="383"/>
    </row>
    <row r="846">
      <c r="A846" s="382"/>
      <c r="B846" s="382"/>
      <c r="C846" s="382"/>
      <c r="D846" s="382"/>
      <c r="E846" s="382"/>
      <c r="F846" s="382"/>
      <c r="G846" s="382"/>
      <c r="H846" s="382"/>
      <c r="I846" s="382"/>
      <c r="J846" s="382"/>
      <c r="K846" s="382"/>
      <c r="L846" s="382"/>
      <c r="M846" s="382"/>
      <c r="N846" s="382"/>
      <c r="O846" s="382"/>
      <c r="P846" s="382"/>
      <c r="Q846" s="382"/>
      <c r="R846" s="382"/>
      <c r="S846" s="382"/>
      <c r="T846" s="382"/>
      <c r="U846" s="382"/>
      <c r="V846" s="383"/>
      <c r="W846" s="383"/>
      <c r="X846" s="383"/>
      <c r="Y846" s="383"/>
    </row>
    <row r="847">
      <c r="A847" s="382"/>
      <c r="B847" s="382"/>
      <c r="C847" s="382"/>
      <c r="D847" s="382"/>
      <c r="E847" s="382"/>
      <c r="F847" s="382"/>
      <c r="G847" s="382"/>
      <c r="H847" s="382"/>
      <c r="I847" s="382"/>
      <c r="J847" s="382"/>
      <c r="K847" s="382"/>
      <c r="L847" s="382"/>
      <c r="M847" s="382"/>
      <c r="N847" s="382"/>
      <c r="O847" s="382"/>
      <c r="P847" s="382"/>
      <c r="Q847" s="382"/>
      <c r="R847" s="382"/>
      <c r="S847" s="382"/>
      <c r="T847" s="382"/>
      <c r="U847" s="382"/>
      <c r="V847" s="383"/>
      <c r="W847" s="383"/>
      <c r="X847" s="383"/>
      <c r="Y847" s="383"/>
    </row>
    <row r="848">
      <c r="A848" s="382"/>
      <c r="B848" s="382"/>
      <c r="C848" s="382"/>
      <c r="D848" s="382"/>
      <c r="E848" s="382"/>
      <c r="F848" s="382"/>
      <c r="G848" s="382"/>
      <c r="H848" s="382"/>
      <c r="I848" s="382"/>
      <c r="J848" s="382"/>
      <c r="K848" s="382"/>
      <c r="L848" s="382"/>
      <c r="M848" s="382"/>
      <c r="N848" s="382"/>
      <c r="O848" s="382"/>
      <c r="P848" s="382"/>
      <c r="Q848" s="382"/>
      <c r="R848" s="382"/>
      <c r="S848" s="382"/>
      <c r="T848" s="382"/>
      <c r="U848" s="382"/>
      <c r="V848" s="383"/>
      <c r="W848" s="383"/>
      <c r="X848" s="383"/>
      <c r="Y848" s="383"/>
    </row>
    <row r="849">
      <c r="A849" s="382"/>
      <c r="B849" s="382"/>
      <c r="C849" s="382"/>
      <c r="D849" s="382"/>
      <c r="E849" s="382"/>
      <c r="F849" s="382"/>
      <c r="G849" s="382"/>
      <c r="H849" s="382"/>
      <c r="I849" s="382"/>
      <c r="J849" s="382"/>
      <c r="K849" s="382"/>
      <c r="L849" s="382"/>
      <c r="M849" s="382"/>
      <c r="N849" s="382"/>
      <c r="O849" s="382"/>
      <c r="P849" s="382"/>
      <c r="Q849" s="382"/>
      <c r="R849" s="382"/>
      <c r="S849" s="382"/>
      <c r="T849" s="382"/>
      <c r="U849" s="382"/>
      <c r="V849" s="383"/>
      <c r="W849" s="383"/>
      <c r="X849" s="383"/>
      <c r="Y849" s="383"/>
    </row>
    <row r="850">
      <c r="A850" s="382"/>
      <c r="B850" s="382"/>
      <c r="C850" s="382"/>
      <c r="D850" s="382"/>
      <c r="E850" s="382"/>
      <c r="F850" s="382"/>
      <c r="G850" s="382"/>
      <c r="H850" s="382"/>
      <c r="I850" s="382"/>
      <c r="J850" s="382"/>
      <c r="K850" s="382"/>
      <c r="L850" s="382"/>
      <c r="M850" s="382"/>
      <c r="N850" s="382"/>
      <c r="O850" s="382"/>
      <c r="P850" s="382"/>
      <c r="Q850" s="382"/>
      <c r="R850" s="382"/>
      <c r="S850" s="382"/>
      <c r="T850" s="382"/>
      <c r="U850" s="382"/>
      <c r="V850" s="383"/>
      <c r="W850" s="383"/>
      <c r="X850" s="383"/>
      <c r="Y850" s="383"/>
    </row>
    <row r="851">
      <c r="A851" s="382"/>
      <c r="B851" s="382"/>
      <c r="C851" s="382"/>
      <c r="D851" s="382"/>
      <c r="E851" s="382"/>
      <c r="F851" s="382"/>
      <c r="G851" s="382"/>
      <c r="H851" s="382"/>
      <c r="I851" s="382"/>
      <c r="J851" s="382"/>
      <c r="K851" s="382"/>
      <c r="L851" s="382"/>
      <c r="M851" s="382"/>
      <c r="N851" s="382"/>
      <c r="O851" s="382"/>
      <c r="P851" s="382"/>
      <c r="Q851" s="382"/>
      <c r="R851" s="382"/>
      <c r="S851" s="382"/>
      <c r="T851" s="382"/>
      <c r="U851" s="382"/>
      <c r="V851" s="383"/>
      <c r="W851" s="383"/>
      <c r="X851" s="383"/>
      <c r="Y851" s="383"/>
    </row>
    <row r="852">
      <c r="A852" s="382"/>
      <c r="B852" s="382"/>
      <c r="C852" s="382"/>
      <c r="D852" s="382"/>
      <c r="E852" s="382"/>
      <c r="F852" s="382"/>
      <c r="G852" s="382"/>
      <c r="H852" s="382"/>
      <c r="I852" s="382"/>
      <c r="J852" s="382"/>
      <c r="K852" s="382"/>
      <c r="L852" s="382"/>
      <c r="M852" s="382"/>
      <c r="N852" s="382"/>
      <c r="O852" s="382"/>
      <c r="P852" s="382"/>
      <c r="Q852" s="382"/>
      <c r="R852" s="382"/>
      <c r="S852" s="382"/>
      <c r="T852" s="382"/>
      <c r="U852" s="382"/>
      <c r="V852" s="383"/>
      <c r="W852" s="383"/>
      <c r="X852" s="383"/>
      <c r="Y852" s="383"/>
    </row>
    <row r="853">
      <c r="A853" s="382"/>
      <c r="B853" s="382"/>
      <c r="C853" s="382"/>
      <c r="D853" s="382"/>
      <c r="E853" s="382"/>
      <c r="F853" s="382"/>
      <c r="G853" s="382"/>
      <c r="H853" s="382"/>
      <c r="I853" s="382"/>
      <c r="J853" s="382"/>
      <c r="K853" s="382"/>
      <c r="L853" s="382"/>
      <c r="M853" s="382"/>
      <c r="N853" s="382"/>
      <c r="O853" s="382"/>
      <c r="P853" s="382"/>
      <c r="Q853" s="382"/>
      <c r="R853" s="382"/>
      <c r="S853" s="382"/>
      <c r="T853" s="382"/>
      <c r="U853" s="382"/>
      <c r="V853" s="383"/>
      <c r="W853" s="383"/>
      <c r="X853" s="383"/>
      <c r="Y853" s="383"/>
    </row>
    <row r="854">
      <c r="A854" s="382"/>
      <c r="B854" s="382"/>
      <c r="C854" s="382"/>
      <c r="D854" s="382"/>
      <c r="E854" s="382"/>
      <c r="F854" s="382"/>
      <c r="G854" s="382"/>
      <c r="H854" s="382"/>
      <c r="I854" s="382"/>
      <c r="J854" s="382"/>
      <c r="K854" s="382"/>
      <c r="L854" s="382"/>
      <c r="M854" s="382"/>
      <c r="N854" s="382"/>
      <c r="O854" s="382"/>
      <c r="P854" s="382"/>
      <c r="Q854" s="382"/>
      <c r="R854" s="382"/>
      <c r="S854" s="382"/>
      <c r="T854" s="382"/>
      <c r="U854" s="382"/>
      <c r="V854" s="383"/>
      <c r="W854" s="383"/>
      <c r="X854" s="383"/>
      <c r="Y854" s="383"/>
    </row>
    <row r="855">
      <c r="A855" s="382"/>
      <c r="B855" s="382"/>
      <c r="C855" s="382"/>
      <c r="D855" s="382"/>
      <c r="E855" s="382"/>
      <c r="F855" s="382"/>
      <c r="G855" s="382"/>
      <c r="H855" s="382"/>
      <c r="I855" s="382"/>
      <c r="J855" s="382"/>
      <c r="K855" s="382"/>
      <c r="L855" s="382"/>
      <c r="M855" s="382"/>
      <c r="N855" s="382"/>
      <c r="O855" s="382"/>
      <c r="P855" s="382"/>
      <c r="Q855" s="382"/>
      <c r="R855" s="382"/>
      <c r="S855" s="382"/>
      <c r="T855" s="382"/>
      <c r="U855" s="382"/>
      <c r="V855" s="383"/>
      <c r="W855" s="383"/>
      <c r="X855" s="383"/>
      <c r="Y855" s="383"/>
    </row>
    <row r="856">
      <c r="A856" s="382"/>
      <c r="B856" s="382"/>
      <c r="C856" s="382"/>
      <c r="D856" s="382"/>
      <c r="E856" s="382"/>
      <c r="F856" s="382"/>
      <c r="G856" s="382"/>
      <c r="H856" s="382"/>
      <c r="I856" s="382"/>
      <c r="J856" s="382"/>
      <c r="K856" s="382"/>
      <c r="L856" s="382"/>
      <c r="M856" s="382"/>
      <c r="N856" s="382"/>
      <c r="O856" s="382"/>
      <c r="P856" s="382"/>
      <c r="Q856" s="382"/>
      <c r="R856" s="382"/>
      <c r="S856" s="382"/>
      <c r="T856" s="382"/>
      <c r="U856" s="382"/>
      <c r="V856" s="383"/>
      <c r="W856" s="383"/>
      <c r="X856" s="383"/>
      <c r="Y856" s="383"/>
    </row>
    <row r="857">
      <c r="A857" s="382"/>
      <c r="B857" s="382"/>
      <c r="C857" s="382"/>
      <c r="D857" s="382"/>
      <c r="E857" s="382"/>
      <c r="F857" s="382"/>
      <c r="G857" s="382"/>
      <c r="H857" s="382"/>
      <c r="I857" s="382"/>
      <c r="J857" s="382"/>
      <c r="K857" s="382"/>
      <c r="L857" s="382"/>
      <c r="M857" s="382"/>
      <c r="N857" s="382"/>
      <c r="O857" s="382"/>
      <c r="P857" s="382"/>
      <c r="Q857" s="382"/>
      <c r="R857" s="382"/>
      <c r="S857" s="382"/>
      <c r="T857" s="382"/>
      <c r="U857" s="382"/>
      <c r="V857" s="383"/>
      <c r="W857" s="383"/>
      <c r="X857" s="383"/>
      <c r="Y857" s="383"/>
    </row>
    <row r="858">
      <c r="A858" s="382"/>
      <c r="B858" s="382"/>
      <c r="C858" s="382"/>
      <c r="D858" s="382"/>
      <c r="E858" s="382"/>
      <c r="F858" s="382"/>
      <c r="G858" s="382"/>
      <c r="H858" s="382"/>
      <c r="I858" s="382"/>
      <c r="J858" s="382"/>
      <c r="K858" s="382"/>
      <c r="L858" s="382"/>
      <c r="M858" s="382"/>
      <c r="N858" s="382"/>
      <c r="O858" s="382"/>
      <c r="P858" s="382"/>
      <c r="Q858" s="382"/>
      <c r="R858" s="382"/>
      <c r="S858" s="382"/>
      <c r="T858" s="382"/>
      <c r="U858" s="382"/>
      <c r="V858" s="383"/>
      <c r="W858" s="383"/>
      <c r="X858" s="383"/>
      <c r="Y858" s="383"/>
    </row>
    <row r="859">
      <c r="A859" s="382"/>
      <c r="B859" s="382"/>
      <c r="C859" s="382"/>
      <c r="D859" s="382"/>
      <c r="E859" s="382"/>
      <c r="F859" s="382"/>
      <c r="G859" s="382"/>
      <c r="H859" s="382"/>
      <c r="I859" s="382"/>
      <c r="J859" s="382"/>
      <c r="K859" s="382"/>
      <c r="L859" s="382"/>
      <c r="M859" s="382"/>
      <c r="N859" s="382"/>
      <c r="O859" s="382"/>
      <c r="P859" s="382"/>
      <c r="Q859" s="382"/>
      <c r="R859" s="382"/>
      <c r="S859" s="382"/>
      <c r="T859" s="382"/>
      <c r="U859" s="382"/>
      <c r="V859" s="383"/>
      <c r="W859" s="383"/>
      <c r="X859" s="383"/>
      <c r="Y859" s="383"/>
    </row>
    <row r="860">
      <c r="A860" s="382"/>
      <c r="B860" s="382"/>
      <c r="C860" s="382"/>
      <c r="D860" s="382"/>
      <c r="E860" s="382"/>
      <c r="F860" s="382"/>
      <c r="G860" s="382"/>
      <c r="H860" s="382"/>
      <c r="I860" s="382"/>
      <c r="J860" s="382"/>
      <c r="K860" s="382"/>
      <c r="L860" s="382"/>
      <c r="M860" s="382"/>
      <c r="N860" s="382"/>
      <c r="O860" s="382"/>
      <c r="P860" s="382"/>
      <c r="Q860" s="382"/>
      <c r="R860" s="382"/>
      <c r="S860" s="382"/>
      <c r="T860" s="382"/>
      <c r="U860" s="382"/>
      <c r="V860" s="383"/>
      <c r="W860" s="383"/>
      <c r="X860" s="383"/>
      <c r="Y860" s="383"/>
    </row>
    <row r="861">
      <c r="A861" s="382"/>
      <c r="B861" s="382"/>
      <c r="C861" s="382"/>
      <c r="D861" s="382"/>
      <c r="E861" s="382"/>
      <c r="F861" s="382"/>
      <c r="G861" s="382"/>
      <c r="H861" s="382"/>
      <c r="I861" s="382"/>
      <c r="J861" s="382"/>
      <c r="K861" s="382"/>
      <c r="L861" s="382"/>
      <c r="M861" s="382"/>
      <c r="N861" s="382"/>
      <c r="O861" s="382"/>
      <c r="P861" s="382"/>
      <c r="Q861" s="382"/>
      <c r="R861" s="382"/>
      <c r="S861" s="382"/>
      <c r="T861" s="382"/>
      <c r="U861" s="382"/>
      <c r="V861" s="383"/>
      <c r="W861" s="383"/>
      <c r="X861" s="383"/>
      <c r="Y861" s="383"/>
    </row>
    <row r="862">
      <c r="A862" s="382"/>
      <c r="B862" s="382"/>
      <c r="C862" s="382"/>
      <c r="D862" s="382"/>
      <c r="E862" s="382"/>
      <c r="F862" s="382"/>
      <c r="G862" s="382"/>
      <c r="H862" s="382"/>
      <c r="I862" s="382"/>
      <c r="J862" s="382"/>
      <c r="K862" s="382"/>
      <c r="L862" s="382"/>
      <c r="M862" s="382"/>
      <c r="N862" s="382"/>
      <c r="O862" s="382"/>
      <c r="P862" s="382"/>
      <c r="Q862" s="382"/>
      <c r="R862" s="382"/>
      <c r="S862" s="382"/>
      <c r="T862" s="382"/>
      <c r="U862" s="382"/>
      <c r="V862" s="383"/>
      <c r="W862" s="383"/>
      <c r="X862" s="383"/>
      <c r="Y862" s="383"/>
    </row>
    <row r="863">
      <c r="A863" s="382"/>
      <c r="B863" s="382"/>
      <c r="C863" s="382"/>
      <c r="D863" s="382"/>
      <c r="E863" s="382"/>
      <c r="F863" s="382"/>
      <c r="G863" s="382"/>
      <c r="H863" s="382"/>
      <c r="I863" s="382"/>
      <c r="J863" s="382"/>
      <c r="K863" s="382"/>
      <c r="L863" s="382"/>
      <c r="M863" s="382"/>
      <c r="N863" s="382"/>
      <c r="O863" s="382"/>
      <c r="P863" s="382"/>
      <c r="Q863" s="382"/>
      <c r="R863" s="382"/>
      <c r="S863" s="382"/>
      <c r="T863" s="382"/>
      <c r="U863" s="382"/>
      <c r="V863" s="383"/>
      <c r="W863" s="383"/>
      <c r="X863" s="383"/>
      <c r="Y863" s="383"/>
    </row>
    <row r="864">
      <c r="A864" s="382"/>
      <c r="B864" s="382"/>
      <c r="C864" s="382"/>
      <c r="D864" s="382"/>
      <c r="E864" s="382"/>
      <c r="F864" s="382"/>
      <c r="G864" s="382"/>
      <c r="H864" s="382"/>
      <c r="I864" s="382"/>
      <c r="J864" s="382"/>
      <c r="K864" s="382"/>
      <c r="L864" s="382"/>
      <c r="M864" s="382"/>
      <c r="N864" s="382"/>
      <c r="O864" s="382"/>
      <c r="P864" s="382"/>
      <c r="Q864" s="382"/>
      <c r="R864" s="382"/>
      <c r="S864" s="382"/>
      <c r="T864" s="382"/>
      <c r="U864" s="382"/>
      <c r="V864" s="383"/>
      <c r="W864" s="383"/>
      <c r="X864" s="383"/>
      <c r="Y864" s="383"/>
    </row>
    <row r="865">
      <c r="A865" s="382"/>
      <c r="B865" s="382"/>
      <c r="C865" s="382"/>
      <c r="D865" s="382"/>
      <c r="E865" s="382"/>
      <c r="F865" s="382"/>
      <c r="G865" s="382"/>
      <c r="H865" s="382"/>
      <c r="I865" s="382"/>
      <c r="J865" s="382"/>
      <c r="K865" s="382"/>
      <c r="L865" s="382"/>
      <c r="M865" s="382"/>
      <c r="N865" s="382"/>
      <c r="O865" s="382"/>
      <c r="P865" s="382"/>
      <c r="Q865" s="382"/>
      <c r="R865" s="382"/>
      <c r="S865" s="382"/>
      <c r="T865" s="382"/>
      <c r="U865" s="382"/>
      <c r="V865" s="383"/>
      <c r="W865" s="383"/>
      <c r="X865" s="383"/>
      <c r="Y865" s="383"/>
    </row>
    <row r="866">
      <c r="A866" s="382"/>
      <c r="B866" s="382"/>
      <c r="C866" s="382"/>
      <c r="D866" s="382"/>
      <c r="E866" s="382"/>
      <c r="F866" s="382"/>
      <c r="G866" s="382"/>
      <c r="H866" s="382"/>
      <c r="I866" s="382"/>
      <c r="J866" s="382"/>
      <c r="K866" s="382"/>
      <c r="L866" s="382"/>
      <c r="M866" s="382"/>
      <c r="N866" s="382"/>
      <c r="O866" s="382"/>
      <c r="P866" s="382"/>
      <c r="Q866" s="382"/>
      <c r="R866" s="382"/>
      <c r="S866" s="382"/>
      <c r="T866" s="382"/>
      <c r="U866" s="382"/>
      <c r="V866" s="383"/>
      <c r="W866" s="383"/>
      <c r="X866" s="383"/>
      <c r="Y866" s="383"/>
    </row>
    <row r="867">
      <c r="A867" s="382"/>
      <c r="B867" s="382"/>
      <c r="C867" s="382"/>
      <c r="D867" s="382"/>
      <c r="E867" s="382"/>
      <c r="F867" s="382"/>
      <c r="G867" s="382"/>
      <c r="H867" s="382"/>
      <c r="I867" s="382"/>
      <c r="J867" s="382"/>
      <c r="K867" s="382"/>
      <c r="L867" s="382"/>
      <c r="M867" s="382"/>
      <c r="N867" s="382"/>
      <c r="O867" s="382"/>
      <c r="P867" s="382"/>
      <c r="Q867" s="382"/>
      <c r="R867" s="382"/>
      <c r="S867" s="382"/>
      <c r="T867" s="382"/>
      <c r="U867" s="382"/>
      <c r="V867" s="383"/>
      <c r="W867" s="383"/>
      <c r="X867" s="383"/>
      <c r="Y867" s="383"/>
    </row>
    <row r="868">
      <c r="A868" s="382"/>
      <c r="B868" s="382"/>
      <c r="C868" s="382"/>
      <c r="D868" s="382"/>
      <c r="E868" s="382"/>
      <c r="F868" s="382"/>
      <c r="G868" s="382"/>
      <c r="H868" s="382"/>
      <c r="I868" s="382"/>
      <c r="J868" s="382"/>
      <c r="K868" s="382"/>
      <c r="L868" s="382"/>
      <c r="M868" s="382"/>
      <c r="N868" s="382"/>
      <c r="O868" s="382"/>
      <c r="P868" s="382"/>
      <c r="Q868" s="382"/>
      <c r="R868" s="382"/>
      <c r="S868" s="382"/>
      <c r="T868" s="382"/>
      <c r="U868" s="382"/>
      <c r="V868" s="383"/>
      <c r="W868" s="383"/>
      <c r="X868" s="383"/>
      <c r="Y868" s="383"/>
    </row>
    <row r="869">
      <c r="A869" s="382"/>
      <c r="B869" s="382"/>
      <c r="C869" s="382"/>
      <c r="D869" s="382"/>
      <c r="E869" s="382"/>
      <c r="F869" s="382"/>
      <c r="G869" s="382"/>
      <c r="H869" s="382"/>
      <c r="I869" s="382"/>
      <c r="J869" s="382"/>
      <c r="K869" s="382"/>
      <c r="L869" s="382"/>
      <c r="M869" s="382"/>
      <c r="N869" s="382"/>
      <c r="O869" s="382"/>
      <c r="P869" s="382"/>
      <c r="Q869" s="382"/>
      <c r="R869" s="382"/>
      <c r="S869" s="382"/>
      <c r="T869" s="382"/>
      <c r="U869" s="382"/>
      <c r="V869" s="383"/>
      <c r="W869" s="383"/>
      <c r="X869" s="383"/>
      <c r="Y869" s="383"/>
    </row>
    <row r="870">
      <c r="A870" s="382"/>
      <c r="B870" s="382"/>
      <c r="C870" s="382"/>
      <c r="D870" s="382"/>
      <c r="E870" s="382"/>
      <c r="F870" s="382"/>
      <c r="G870" s="382"/>
      <c r="H870" s="382"/>
      <c r="I870" s="382"/>
      <c r="J870" s="382"/>
      <c r="K870" s="382"/>
      <c r="L870" s="382"/>
      <c r="M870" s="382"/>
      <c r="N870" s="382"/>
      <c r="O870" s="382"/>
      <c r="P870" s="382"/>
      <c r="Q870" s="382"/>
      <c r="R870" s="382"/>
      <c r="S870" s="382"/>
      <c r="T870" s="382"/>
      <c r="U870" s="382"/>
      <c r="V870" s="383"/>
      <c r="W870" s="383"/>
      <c r="X870" s="383"/>
      <c r="Y870" s="383"/>
    </row>
    <row r="871">
      <c r="A871" s="382"/>
      <c r="B871" s="382"/>
      <c r="C871" s="382"/>
      <c r="D871" s="382"/>
      <c r="E871" s="382"/>
      <c r="F871" s="382"/>
      <c r="G871" s="382"/>
      <c r="H871" s="382"/>
      <c r="I871" s="382"/>
      <c r="J871" s="382"/>
      <c r="K871" s="382"/>
      <c r="L871" s="382"/>
      <c r="M871" s="382"/>
      <c r="N871" s="382"/>
      <c r="O871" s="382"/>
      <c r="P871" s="382"/>
      <c r="Q871" s="382"/>
      <c r="R871" s="382"/>
      <c r="S871" s="382"/>
      <c r="T871" s="382"/>
      <c r="U871" s="382"/>
      <c r="V871" s="383"/>
      <c r="W871" s="383"/>
      <c r="X871" s="383"/>
      <c r="Y871" s="383"/>
    </row>
    <row r="872">
      <c r="A872" s="382"/>
      <c r="B872" s="382"/>
      <c r="C872" s="382"/>
      <c r="D872" s="382"/>
      <c r="E872" s="382"/>
      <c r="F872" s="382"/>
      <c r="G872" s="382"/>
      <c r="H872" s="382"/>
      <c r="I872" s="382"/>
      <c r="J872" s="382"/>
      <c r="K872" s="382"/>
      <c r="L872" s="382"/>
      <c r="M872" s="382"/>
      <c r="N872" s="382"/>
      <c r="O872" s="382"/>
      <c r="P872" s="382"/>
      <c r="Q872" s="382"/>
      <c r="R872" s="382"/>
      <c r="S872" s="382"/>
      <c r="T872" s="382"/>
      <c r="U872" s="382"/>
      <c r="V872" s="383"/>
      <c r="W872" s="383"/>
      <c r="X872" s="383"/>
      <c r="Y872" s="383"/>
    </row>
    <row r="873">
      <c r="A873" s="382"/>
      <c r="B873" s="382"/>
      <c r="C873" s="382"/>
      <c r="D873" s="382"/>
      <c r="E873" s="382"/>
      <c r="F873" s="382"/>
      <c r="G873" s="382"/>
      <c r="H873" s="382"/>
      <c r="I873" s="382"/>
      <c r="J873" s="382"/>
      <c r="K873" s="382"/>
      <c r="L873" s="382"/>
      <c r="M873" s="382"/>
      <c r="N873" s="382"/>
      <c r="O873" s="382"/>
      <c r="P873" s="382"/>
      <c r="Q873" s="382"/>
      <c r="R873" s="382"/>
      <c r="S873" s="382"/>
      <c r="T873" s="382"/>
      <c r="U873" s="382"/>
      <c r="V873" s="383"/>
      <c r="W873" s="383"/>
      <c r="X873" s="383"/>
      <c r="Y873" s="383"/>
    </row>
    <row r="874">
      <c r="A874" s="382"/>
      <c r="B874" s="382"/>
      <c r="C874" s="382"/>
      <c r="D874" s="382"/>
      <c r="E874" s="382"/>
      <c r="F874" s="382"/>
      <c r="G874" s="382"/>
      <c r="H874" s="382"/>
      <c r="I874" s="382"/>
      <c r="J874" s="382"/>
      <c r="K874" s="382"/>
      <c r="L874" s="382"/>
      <c r="M874" s="382"/>
      <c r="N874" s="382"/>
      <c r="O874" s="382"/>
      <c r="P874" s="382"/>
      <c r="Q874" s="382"/>
      <c r="R874" s="382"/>
      <c r="S874" s="382"/>
      <c r="T874" s="382"/>
      <c r="U874" s="382"/>
      <c r="V874" s="383"/>
      <c r="W874" s="383"/>
      <c r="X874" s="383"/>
      <c r="Y874" s="383"/>
    </row>
    <row r="875">
      <c r="A875" s="382"/>
      <c r="B875" s="382"/>
      <c r="C875" s="382"/>
      <c r="D875" s="382"/>
      <c r="E875" s="382"/>
      <c r="F875" s="382"/>
      <c r="G875" s="382"/>
      <c r="H875" s="382"/>
      <c r="I875" s="382"/>
      <c r="J875" s="382"/>
      <c r="K875" s="382"/>
      <c r="L875" s="382"/>
      <c r="M875" s="382"/>
      <c r="N875" s="382"/>
      <c r="O875" s="382"/>
      <c r="P875" s="382"/>
      <c r="Q875" s="382"/>
      <c r="R875" s="382"/>
      <c r="S875" s="382"/>
      <c r="T875" s="382"/>
      <c r="U875" s="382"/>
      <c r="V875" s="383"/>
      <c r="W875" s="383"/>
      <c r="X875" s="383"/>
      <c r="Y875" s="383"/>
    </row>
    <row r="876">
      <c r="A876" s="382"/>
      <c r="B876" s="382"/>
      <c r="C876" s="382"/>
      <c r="D876" s="382"/>
      <c r="E876" s="382"/>
      <c r="F876" s="382"/>
      <c r="G876" s="382"/>
      <c r="H876" s="382"/>
      <c r="I876" s="382"/>
      <c r="J876" s="382"/>
      <c r="K876" s="382"/>
      <c r="L876" s="382"/>
      <c r="M876" s="382"/>
      <c r="N876" s="382"/>
      <c r="O876" s="382"/>
      <c r="P876" s="382"/>
      <c r="Q876" s="382"/>
      <c r="R876" s="382"/>
      <c r="S876" s="382"/>
      <c r="T876" s="382"/>
      <c r="U876" s="382"/>
      <c r="V876" s="383"/>
      <c r="W876" s="383"/>
      <c r="X876" s="383"/>
      <c r="Y876" s="383"/>
    </row>
    <row r="877">
      <c r="A877" s="382"/>
      <c r="B877" s="382"/>
      <c r="C877" s="382"/>
      <c r="D877" s="382"/>
      <c r="E877" s="382"/>
      <c r="F877" s="382"/>
      <c r="G877" s="382"/>
      <c r="H877" s="382"/>
      <c r="I877" s="382"/>
      <c r="J877" s="382"/>
      <c r="K877" s="382"/>
      <c r="L877" s="382"/>
      <c r="M877" s="382"/>
      <c r="N877" s="382"/>
      <c r="O877" s="382"/>
      <c r="P877" s="382"/>
      <c r="Q877" s="382"/>
      <c r="R877" s="382"/>
      <c r="S877" s="382"/>
      <c r="T877" s="382"/>
      <c r="U877" s="382"/>
      <c r="V877" s="383"/>
      <c r="W877" s="383"/>
      <c r="X877" s="383"/>
      <c r="Y877" s="383"/>
    </row>
    <row r="878">
      <c r="A878" s="382"/>
      <c r="B878" s="382"/>
      <c r="C878" s="382"/>
      <c r="D878" s="382"/>
      <c r="E878" s="382"/>
      <c r="F878" s="382"/>
      <c r="G878" s="382"/>
      <c r="H878" s="382"/>
      <c r="I878" s="382"/>
      <c r="J878" s="382"/>
      <c r="K878" s="382"/>
      <c r="L878" s="382"/>
      <c r="M878" s="382"/>
      <c r="N878" s="382"/>
      <c r="O878" s="382"/>
      <c r="P878" s="382"/>
      <c r="Q878" s="382"/>
      <c r="R878" s="382"/>
      <c r="S878" s="382"/>
      <c r="T878" s="382"/>
      <c r="U878" s="382"/>
      <c r="V878" s="383"/>
      <c r="W878" s="383"/>
      <c r="X878" s="383"/>
      <c r="Y878" s="383"/>
    </row>
    <row r="879">
      <c r="A879" s="382"/>
      <c r="B879" s="382"/>
      <c r="C879" s="382"/>
      <c r="D879" s="382"/>
      <c r="E879" s="382"/>
      <c r="F879" s="382"/>
      <c r="G879" s="382"/>
      <c r="H879" s="382"/>
      <c r="I879" s="382"/>
      <c r="J879" s="382"/>
      <c r="K879" s="382"/>
      <c r="L879" s="382"/>
      <c r="M879" s="382"/>
      <c r="N879" s="382"/>
      <c r="O879" s="382"/>
      <c r="P879" s="382"/>
      <c r="Q879" s="382"/>
      <c r="R879" s="382"/>
      <c r="S879" s="382"/>
      <c r="T879" s="382"/>
      <c r="U879" s="382"/>
      <c r="V879" s="383"/>
      <c r="W879" s="383"/>
      <c r="X879" s="383"/>
      <c r="Y879" s="383"/>
    </row>
    <row r="880">
      <c r="A880" s="382"/>
      <c r="B880" s="382"/>
      <c r="C880" s="382"/>
      <c r="D880" s="382"/>
      <c r="E880" s="382"/>
      <c r="F880" s="382"/>
      <c r="G880" s="382"/>
      <c r="H880" s="382"/>
      <c r="I880" s="382"/>
      <c r="J880" s="382"/>
      <c r="K880" s="382"/>
      <c r="L880" s="382"/>
      <c r="M880" s="382"/>
      <c r="N880" s="382"/>
      <c r="O880" s="382"/>
      <c r="P880" s="382"/>
      <c r="Q880" s="382"/>
      <c r="R880" s="382"/>
      <c r="S880" s="382"/>
      <c r="T880" s="382"/>
      <c r="U880" s="382"/>
      <c r="V880" s="383"/>
      <c r="W880" s="383"/>
      <c r="X880" s="383"/>
      <c r="Y880" s="383"/>
    </row>
    <row r="881">
      <c r="A881" s="382"/>
      <c r="B881" s="382"/>
      <c r="C881" s="382"/>
      <c r="D881" s="382"/>
      <c r="E881" s="382"/>
      <c r="F881" s="382"/>
      <c r="G881" s="382"/>
      <c r="H881" s="382"/>
      <c r="I881" s="382"/>
      <c r="J881" s="382"/>
      <c r="K881" s="382"/>
      <c r="L881" s="382"/>
      <c r="M881" s="382"/>
      <c r="N881" s="382"/>
      <c r="O881" s="382"/>
      <c r="P881" s="382"/>
      <c r="Q881" s="382"/>
      <c r="R881" s="382"/>
      <c r="S881" s="382"/>
      <c r="T881" s="382"/>
      <c r="U881" s="382"/>
      <c r="V881" s="383"/>
      <c r="W881" s="383"/>
      <c r="X881" s="383"/>
      <c r="Y881" s="383"/>
    </row>
    <row r="882">
      <c r="A882" s="382"/>
      <c r="B882" s="382"/>
      <c r="C882" s="382"/>
      <c r="D882" s="382"/>
      <c r="E882" s="382"/>
      <c r="F882" s="382"/>
      <c r="G882" s="382"/>
      <c r="H882" s="382"/>
      <c r="I882" s="382"/>
      <c r="J882" s="382"/>
      <c r="K882" s="382"/>
      <c r="L882" s="382"/>
      <c r="M882" s="382"/>
      <c r="N882" s="382"/>
      <c r="O882" s="382"/>
      <c r="P882" s="382"/>
      <c r="Q882" s="382"/>
      <c r="R882" s="382"/>
      <c r="S882" s="382"/>
      <c r="T882" s="382"/>
      <c r="U882" s="382"/>
      <c r="V882" s="383"/>
      <c r="W882" s="383"/>
      <c r="X882" s="383"/>
      <c r="Y882" s="383"/>
    </row>
    <row r="883">
      <c r="A883" s="382"/>
      <c r="B883" s="382"/>
      <c r="C883" s="382"/>
      <c r="D883" s="382"/>
      <c r="E883" s="382"/>
      <c r="F883" s="382"/>
      <c r="G883" s="382"/>
      <c r="H883" s="382"/>
      <c r="I883" s="382"/>
      <c r="J883" s="382"/>
      <c r="K883" s="382"/>
      <c r="L883" s="382"/>
      <c r="M883" s="382"/>
      <c r="N883" s="382"/>
      <c r="O883" s="382"/>
      <c r="P883" s="382"/>
      <c r="Q883" s="382"/>
      <c r="R883" s="382"/>
      <c r="S883" s="382"/>
      <c r="T883" s="382"/>
      <c r="U883" s="382"/>
      <c r="V883" s="383"/>
      <c r="W883" s="383"/>
      <c r="X883" s="383"/>
      <c r="Y883" s="383"/>
    </row>
    <row r="884">
      <c r="A884" s="382"/>
      <c r="B884" s="382"/>
      <c r="C884" s="382"/>
      <c r="D884" s="382"/>
      <c r="E884" s="382"/>
      <c r="F884" s="382"/>
      <c r="G884" s="382"/>
      <c r="H884" s="382"/>
      <c r="I884" s="382"/>
      <c r="J884" s="382"/>
      <c r="K884" s="382"/>
      <c r="L884" s="382"/>
      <c r="M884" s="382"/>
      <c r="N884" s="382"/>
      <c r="O884" s="382"/>
      <c r="P884" s="382"/>
      <c r="Q884" s="382"/>
      <c r="R884" s="382"/>
      <c r="S884" s="382"/>
      <c r="T884" s="382"/>
      <c r="U884" s="382"/>
      <c r="V884" s="383"/>
      <c r="W884" s="383"/>
      <c r="X884" s="383"/>
      <c r="Y884" s="383"/>
    </row>
    <row r="885">
      <c r="A885" s="382"/>
      <c r="B885" s="382"/>
      <c r="C885" s="382"/>
      <c r="D885" s="382"/>
      <c r="E885" s="382"/>
      <c r="F885" s="382"/>
      <c r="G885" s="382"/>
      <c r="H885" s="382"/>
      <c r="I885" s="382"/>
      <c r="J885" s="382"/>
      <c r="K885" s="382"/>
      <c r="L885" s="382"/>
      <c r="M885" s="382"/>
      <c r="N885" s="382"/>
      <c r="O885" s="382"/>
      <c r="P885" s="382"/>
      <c r="Q885" s="382"/>
      <c r="R885" s="382"/>
      <c r="S885" s="382"/>
      <c r="T885" s="382"/>
      <c r="U885" s="382"/>
      <c r="V885" s="383"/>
      <c r="W885" s="383"/>
      <c r="X885" s="383"/>
      <c r="Y885" s="383"/>
    </row>
    <row r="886">
      <c r="A886" s="382"/>
      <c r="B886" s="382"/>
      <c r="C886" s="382"/>
      <c r="D886" s="382"/>
      <c r="E886" s="382"/>
      <c r="F886" s="382"/>
      <c r="G886" s="382"/>
      <c r="H886" s="382"/>
      <c r="I886" s="382"/>
      <c r="J886" s="382"/>
      <c r="K886" s="382"/>
      <c r="L886" s="382"/>
      <c r="M886" s="382"/>
      <c r="N886" s="382"/>
      <c r="O886" s="382"/>
      <c r="P886" s="382"/>
      <c r="Q886" s="382"/>
      <c r="R886" s="382"/>
      <c r="S886" s="382"/>
      <c r="T886" s="382"/>
      <c r="U886" s="382"/>
      <c r="V886" s="383"/>
      <c r="W886" s="383"/>
      <c r="X886" s="383"/>
      <c r="Y886" s="383"/>
    </row>
    <row r="887">
      <c r="A887" s="382"/>
      <c r="B887" s="382"/>
      <c r="C887" s="382"/>
      <c r="D887" s="382"/>
      <c r="E887" s="382"/>
      <c r="F887" s="382"/>
      <c r="G887" s="382"/>
      <c r="H887" s="382"/>
      <c r="I887" s="382"/>
      <c r="J887" s="382"/>
      <c r="K887" s="382"/>
      <c r="L887" s="382"/>
      <c r="M887" s="382"/>
      <c r="N887" s="382"/>
      <c r="O887" s="382"/>
      <c r="P887" s="382"/>
      <c r="Q887" s="382"/>
      <c r="R887" s="382"/>
      <c r="S887" s="382"/>
      <c r="T887" s="382"/>
      <c r="U887" s="382"/>
      <c r="V887" s="383"/>
      <c r="W887" s="383"/>
      <c r="X887" s="383"/>
      <c r="Y887" s="383"/>
    </row>
    <row r="888">
      <c r="A888" s="382"/>
      <c r="B888" s="382"/>
      <c r="C888" s="382"/>
      <c r="D888" s="382"/>
      <c r="E888" s="382"/>
      <c r="F888" s="382"/>
      <c r="G888" s="382"/>
      <c r="H888" s="382"/>
      <c r="I888" s="382"/>
      <c r="J888" s="382"/>
      <c r="K888" s="382"/>
      <c r="L888" s="382"/>
      <c r="M888" s="382"/>
      <c r="N888" s="382"/>
      <c r="O888" s="382"/>
      <c r="P888" s="382"/>
      <c r="Q888" s="382"/>
      <c r="R888" s="382"/>
      <c r="S888" s="382"/>
      <c r="T888" s="382"/>
      <c r="U888" s="382"/>
      <c r="V888" s="383"/>
      <c r="W888" s="383"/>
      <c r="X888" s="383"/>
      <c r="Y888" s="383"/>
    </row>
    <row r="889">
      <c r="A889" s="382"/>
      <c r="B889" s="382"/>
      <c r="C889" s="382"/>
      <c r="D889" s="382"/>
      <c r="E889" s="382"/>
      <c r="F889" s="382"/>
      <c r="G889" s="382"/>
      <c r="H889" s="382"/>
      <c r="I889" s="382"/>
      <c r="J889" s="382"/>
      <c r="K889" s="382"/>
      <c r="L889" s="382"/>
      <c r="M889" s="382"/>
      <c r="N889" s="382"/>
      <c r="O889" s="382"/>
      <c r="P889" s="382"/>
      <c r="Q889" s="382"/>
      <c r="R889" s="382"/>
      <c r="S889" s="382"/>
      <c r="T889" s="382"/>
      <c r="U889" s="382"/>
      <c r="V889" s="383"/>
      <c r="W889" s="383"/>
      <c r="X889" s="383"/>
      <c r="Y889" s="383"/>
    </row>
    <row r="890">
      <c r="A890" s="382"/>
      <c r="B890" s="382"/>
      <c r="C890" s="382"/>
      <c r="D890" s="382"/>
      <c r="E890" s="382"/>
      <c r="F890" s="382"/>
      <c r="G890" s="382"/>
      <c r="H890" s="382"/>
      <c r="I890" s="382"/>
      <c r="J890" s="382"/>
      <c r="K890" s="382"/>
      <c r="L890" s="382"/>
      <c r="M890" s="382"/>
      <c r="N890" s="382"/>
      <c r="O890" s="382"/>
      <c r="P890" s="382"/>
      <c r="Q890" s="382"/>
      <c r="R890" s="382"/>
      <c r="S890" s="382"/>
      <c r="T890" s="382"/>
      <c r="U890" s="382"/>
      <c r="V890" s="383"/>
      <c r="W890" s="383"/>
      <c r="X890" s="383"/>
      <c r="Y890" s="383"/>
    </row>
    <row r="891">
      <c r="A891" s="382"/>
      <c r="B891" s="382"/>
      <c r="C891" s="382"/>
      <c r="D891" s="382"/>
      <c r="E891" s="382"/>
      <c r="F891" s="382"/>
      <c r="G891" s="382"/>
      <c r="H891" s="382"/>
      <c r="I891" s="382"/>
      <c r="J891" s="382"/>
      <c r="K891" s="382"/>
      <c r="L891" s="382"/>
      <c r="M891" s="382"/>
      <c r="N891" s="382"/>
      <c r="O891" s="382"/>
      <c r="P891" s="382"/>
      <c r="Q891" s="382"/>
      <c r="R891" s="382"/>
      <c r="S891" s="382"/>
      <c r="T891" s="382"/>
      <c r="U891" s="382"/>
      <c r="V891" s="383"/>
      <c r="W891" s="383"/>
      <c r="X891" s="383"/>
      <c r="Y891" s="383"/>
    </row>
    <row r="892">
      <c r="A892" s="382"/>
      <c r="B892" s="382"/>
      <c r="C892" s="382"/>
      <c r="D892" s="382"/>
      <c r="E892" s="382"/>
      <c r="F892" s="382"/>
      <c r="G892" s="382"/>
      <c r="H892" s="382"/>
      <c r="I892" s="382"/>
      <c r="J892" s="382"/>
      <c r="K892" s="382"/>
      <c r="L892" s="382"/>
      <c r="M892" s="382"/>
      <c r="N892" s="382"/>
      <c r="O892" s="382"/>
      <c r="P892" s="382"/>
      <c r="Q892" s="382"/>
      <c r="R892" s="382"/>
      <c r="S892" s="382"/>
      <c r="T892" s="382"/>
      <c r="U892" s="382"/>
      <c r="V892" s="383"/>
      <c r="W892" s="383"/>
      <c r="X892" s="383"/>
      <c r="Y892" s="383"/>
    </row>
    <row r="893">
      <c r="A893" s="382"/>
      <c r="B893" s="382"/>
      <c r="C893" s="382"/>
      <c r="D893" s="382"/>
      <c r="E893" s="382"/>
      <c r="F893" s="382"/>
      <c r="G893" s="382"/>
      <c r="H893" s="382"/>
      <c r="I893" s="382"/>
      <c r="J893" s="382"/>
      <c r="K893" s="382"/>
      <c r="L893" s="382"/>
      <c r="M893" s="382"/>
      <c r="N893" s="382"/>
      <c r="O893" s="382"/>
      <c r="P893" s="382"/>
      <c r="Q893" s="382"/>
      <c r="R893" s="382"/>
      <c r="S893" s="382"/>
      <c r="T893" s="382"/>
      <c r="U893" s="382"/>
      <c r="V893" s="383"/>
      <c r="W893" s="383"/>
      <c r="X893" s="383"/>
      <c r="Y893" s="383"/>
    </row>
    <row r="894">
      <c r="A894" s="382"/>
      <c r="B894" s="382"/>
      <c r="C894" s="382"/>
      <c r="D894" s="382"/>
      <c r="E894" s="382"/>
      <c r="F894" s="382"/>
      <c r="G894" s="382"/>
      <c r="H894" s="382"/>
      <c r="I894" s="382"/>
      <c r="J894" s="382"/>
      <c r="K894" s="382"/>
      <c r="L894" s="382"/>
      <c r="M894" s="382"/>
      <c r="N894" s="382"/>
      <c r="O894" s="382"/>
      <c r="P894" s="382"/>
      <c r="Q894" s="382"/>
      <c r="R894" s="382"/>
      <c r="S894" s="382"/>
      <c r="T894" s="382"/>
      <c r="U894" s="382"/>
      <c r="V894" s="383"/>
      <c r="W894" s="383"/>
      <c r="X894" s="383"/>
      <c r="Y894" s="383"/>
    </row>
    <row r="895">
      <c r="A895" s="382"/>
      <c r="B895" s="382"/>
      <c r="C895" s="382"/>
      <c r="D895" s="382"/>
      <c r="E895" s="382"/>
      <c r="F895" s="382"/>
      <c r="G895" s="382"/>
      <c r="H895" s="382"/>
      <c r="I895" s="382"/>
      <c r="J895" s="382"/>
      <c r="K895" s="382"/>
      <c r="L895" s="382"/>
      <c r="M895" s="382"/>
      <c r="N895" s="382"/>
      <c r="O895" s="382"/>
      <c r="P895" s="382"/>
      <c r="Q895" s="382"/>
      <c r="R895" s="382"/>
      <c r="S895" s="382"/>
      <c r="T895" s="382"/>
      <c r="U895" s="382"/>
      <c r="V895" s="383"/>
      <c r="W895" s="383"/>
      <c r="X895" s="383"/>
      <c r="Y895" s="383"/>
    </row>
    <row r="896">
      <c r="A896" s="382"/>
      <c r="B896" s="382"/>
      <c r="C896" s="382"/>
      <c r="D896" s="382"/>
      <c r="E896" s="382"/>
      <c r="F896" s="382"/>
      <c r="G896" s="382"/>
      <c r="H896" s="382"/>
      <c r="I896" s="382"/>
      <c r="J896" s="382"/>
      <c r="K896" s="382"/>
      <c r="L896" s="382"/>
      <c r="M896" s="382"/>
      <c r="N896" s="382"/>
      <c r="O896" s="382"/>
      <c r="P896" s="382"/>
      <c r="Q896" s="382"/>
      <c r="R896" s="382"/>
      <c r="S896" s="382"/>
      <c r="T896" s="382"/>
      <c r="U896" s="382"/>
      <c r="V896" s="383"/>
      <c r="W896" s="383"/>
      <c r="X896" s="383"/>
      <c r="Y896" s="383"/>
    </row>
    <row r="897">
      <c r="A897" s="382"/>
      <c r="B897" s="382"/>
      <c r="C897" s="382"/>
      <c r="D897" s="382"/>
      <c r="E897" s="382"/>
      <c r="F897" s="382"/>
      <c r="G897" s="382"/>
      <c r="H897" s="382"/>
      <c r="I897" s="382"/>
      <c r="J897" s="382"/>
      <c r="K897" s="382"/>
      <c r="L897" s="382"/>
      <c r="M897" s="382"/>
      <c r="N897" s="382"/>
      <c r="O897" s="382"/>
      <c r="P897" s="382"/>
      <c r="Q897" s="382"/>
      <c r="R897" s="382"/>
      <c r="S897" s="382"/>
      <c r="T897" s="382"/>
      <c r="U897" s="382"/>
      <c r="V897" s="383"/>
      <c r="W897" s="383"/>
      <c r="X897" s="383"/>
      <c r="Y897" s="383"/>
    </row>
    <row r="898">
      <c r="A898" s="382"/>
      <c r="B898" s="382"/>
      <c r="C898" s="382"/>
      <c r="D898" s="382"/>
      <c r="E898" s="382"/>
      <c r="F898" s="382"/>
      <c r="G898" s="382"/>
      <c r="H898" s="382"/>
      <c r="I898" s="382"/>
      <c r="J898" s="382"/>
      <c r="K898" s="382"/>
      <c r="L898" s="382"/>
      <c r="M898" s="382"/>
      <c r="N898" s="382"/>
      <c r="O898" s="382"/>
      <c r="P898" s="382"/>
      <c r="Q898" s="382"/>
      <c r="R898" s="382"/>
      <c r="S898" s="382"/>
      <c r="T898" s="382"/>
      <c r="U898" s="382"/>
      <c r="V898" s="383"/>
      <c r="W898" s="383"/>
      <c r="X898" s="383"/>
      <c r="Y898" s="383"/>
    </row>
    <row r="899">
      <c r="A899" s="382"/>
      <c r="B899" s="382"/>
      <c r="C899" s="382"/>
      <c r="D899" s="382"/>
      <c r="E899" s="382"/>
      <c r="F899" s="382"/>
      <c r="G899" s="382"/>
      <c r="H899" s="382"/>
      <c r="I899" s="382"/>
      <c r="J899" s="382"/>
      <c r="K899" s="382"/>
      <c r="L899" s="382"/>
      <c r="M899" s="382"/>
      <c r="N899" s="382"/>
      <c r="O899" s="382"/>
      <c r="P899" s="382"/>
      <c r="Q899" s="382"/>
      <c r="R899" s="382"/>
      <c r="S899" s="382"/>
      <c r="T899" s="382"/>
      <c r="U899" s="382"/>
      <c r="V899" s="383"/>
      <c r="W899" s="383"/>
      <c r="X899" s="383"/>
      <c r="Y899" s="383"/>
    </row>
    <row r="900">
      <c r="A900" s="382"/>
      <c r="B900" s="382"/>
      <c r="C900" s="382"/>
      <c r="D900" s="382"/>
      <c r="E900" s="382"/>
      <c r="F900" s="382"/>
      <c r="G900" s="382"/>
      <c r="H900" s="382"/>
      <c r="I900" s="382"/>
      <c r="J900" s="382"/>
      <c r="K900" s="382"/>
      <c r="L900" s="382"/>
      <c r="M900" s="382"/>
      <c r="N900" s="382"/>
      <c r="O900" s="382"/>
      <c r="P900" s="382"/>
      <c r="Q900" s="382"/>
      <c r="R900" s="382"/>
      <c r="S900" s="382"/>
      <c r="T900" s="382"/>
      <c r="U900" s="382"/>
      <c r="V900" s="383"/>
      <c r="W900" s="383"/>
      <c r="X900" s="383"/>
      <c r="Y900" s="383"/>
    </row>
    <row r="901">
      <c r="A901" s="382"/>
      <c r="B901" s="382"/>
      <c r="C901" s="382"/>
      <c r="D901" s="382"/>
      <c r="E901" s="382"/>
      <c r="F901" s="382"/>
      <c r="G901" s="382"/>
      <c r="H901" s="382"/>
      <c r="I901" s="382"/>
      <c r="J901" s="382"/>
      <c r="K901" s="382"/>
      <c r="L901" s="382"/>
      <c r="M901" s="382"/>
      <c r="N901" s="382"/>
      <c r="O901" s="382"/>
      <c r="P901" s="382"/>
      <c r="Q901" s="382"/>
      <c r="R901" s="382"/>
      <c r="S901" s="382"/>
      <c r="T901" s="382"/>
      <c r="U901" s="382"/>
      <c r="V901" s="383"/>
      <c r="W901" s="383"/>
      <c r="X901" s="383"/>
      <c r="Y901" s="383"/>
    </row>
    <row r="902">
      <c r="A902" s="382"/>
      <c r="B902" s="382"/>
      <c r="C902" s="382"/>
      <c r="D902" s="382"/>
      <c r="E902" s="382"/>
      <c r="F902" s="382"/>
      <c r="G902" s="382"/>
      <c r="H902" s="382"/>
      <c r="I902" s="382"/>
      <c r="J902" s="382"/>
      <c r="K902" s="382"/>
      <c r="L902" s="382"/>
      <c r="M902" s="382"/>
      <c r="N902" s="382"/>
      <c r="O902" s="382"/>
      <c r="P902" s="382"/>
      <c r="Q902" s="382"/>
      <c r="R902" s="382"/>
      <c r="S902" s="382"/>
      <c r="T902" s="382"/>
      <c r="U902" s="382"/>
      <c r="V902" s="383"/>
      <c r="W902" s="383"/>
      <c r="X902" s="383"/>
      <c r="Y902" s="383"/>
    </row>
    <row r="903">
      <c r="A903" s="382"/>
      <c r="B903" s="382"/>
      <c r="C903" s="382"/>
      <c r="D903" s="382"/>
      <c r="E903" s="382"/>
      <c r="F903" s="382"/>
      <c r="G903" s="382"/>
      <c r="H903" s="382"/>
      <c r="I903" s="382"/>
      <c r="J903" s="382"/>
      <c r="K903" s="382"/>
      <c r="L903" s="382"/>
      <c r="M903" s="382"/>
      <c r="N903" s="382"/>
      <c r="O903" s="382"/>
      <c r="P903" s="382"/>
      <c r="Q903" s="382"/>
      <c r="R903" s="382"/>
      <c r="S903" s="382"/>
      <c r="T903" s="382"/>
      <c r="U903" s="382"/>
      <c r="V903" s="383"/>
      <c r="W903" s="383"/>
      <c r="X903" s="383"/>
      <c r="Y903" s="383"/>
    </row>
    <row r="904">
      <c r="A904" s="382"/>
      <c r="B904" s="382"/>
      <c r="C904" s="382"/>
      <c r="D904" s="382"/>
      <c r="E904" s="382"/>
      <c r="F904" s="382"/>
      <c r="G904" s="382"/>
      <c r="H904" s="382"/>
      <c r="I904" s="382"/>
      <c r="J904" s="382"/>
      <c r="K904" s="382"/>
      <c r="L904" s="382"/>
      <c r="M904" s="382"/>
      <c r="N904" s="382"/>
      <c r="O904" s="382"/>
      <c r="P904" s="382"/>
      <c r="Q904" s="382"/>
      <c r="R904" s="382"/>
      <c r="S904" s="382"/>
      <c r="T904" s="382"/>
      <c r="U904" s="382"/>
      <c r="V904" s="383"/>
      <c r="W904" s="383"/>
      <c r="X904" s="383"/>
      <c r="Y904" s="383"/>
    </row>
    <row r="905">
      <c r="A905" s="382"/>
      <c r="B905" s="382"/>
      <c r="C905" s="382"/>
      <c r="D905" s="382"/>
      <c r="E905" s="382"/>
      <c r="F905" s="382"/>
      <c r="G905" s="382"/>
      <c r="H905" s="382"/>
      <c r="I905" s="382"/>
      <c r="J905" s="382"/>
      <c r="K905" s="382"/>
      <c r="L905" s="382"/>
      <c r="M905" s="382"/>
      <c r="N905" s="382"/>
      <c r="O905" s="382"/>
      <c r="P905" s="382"/>
      <c r="Q905" s="382"/>
      <c r="R905" s="382"/>
      <c r="S905" s="382"/>
      <c r="T905" s="382"/>
      <c r="U905" s="382"/>
      <c r="V905" s="383"/>
      <c r="W905" s="383"/>
      <c r="X905" s="383"/>
      <c r="Y905" s="383"/>
    </row>
    <row r="906">
      <c r="A906" s="382"/>
      <c r="B906" s="382"/>
      <c r="C906" s="382"/>
      <c r="D906" s="382"/>
      <c r="E906" s="382"/>
      <c r="F906" s="382"/>
      <c r="G906" s="382"/>
      <c r="H906" s="382"/>
      <c r="I906" s="382"/>
      <c r="J906" s="382"/>
      <c r="K906" s="382"/>
      <c r="L906" s="382"/>
      <c r="M906" s="382"/>
      <c r="N906" s="382"/>
      <c r="O906" s="382"/>
      <c r="P906" s="382"/>
      <c r="Q906" s="382"/>
      <c r="R906" s="382"/>
      <c r="S906" s="382"/>
      <c r="T906" s="382"/>
      <c r="U906" s="382"/>
      <c r="V906" s="383"/>
      <c r="W906" s="383"/>
      <c r="X906" s="383"/>
      <c r="Y906" s="383"/>
    </row>
    <row r="907">
      <c r="A907" s="382"/>
      <c r="B907" s="382"/>
      <c r="C907" s="382"/>
      <c r="D907" s="382"/>
      <c r="E907" s="382"/>
      <c r="F907" s="382"/>
      <c r="G907" s="382"/>
      <c r="H907" s="382"/>
      <c r="I907" s="382"/>
      <c r="J907" s="382"/>
      <c r="K907" s="382"/>
      <c r="L907" s="382"/>
      <c r="M907" s="382"/>
      <c r="N907" s="382"/>
      <c r="O907" s="382"/>
      <c r="P907" s="382"/>
      <c r="Q907" s="382"/>
      <c r="R907" s="382"/>
      <c r="S907" s="382"/>
      <c r="T907" s="382"/>
      <c r="U907" s="382"/>
      <c r="V907" s="383"/>
      <c r="W907" s="383"/>
      <c r="X907" s="383"/>
      <c r="Y907" s="383"/>
    </row>
    <row r="908">
      <c r="A908" s="382"/>
      <c r="B908" s="382"/>
      <c r="C908" s="382"/>
      <c r="D908" s="382"/>
      <c r="E908" s="382"/>
      <c r="F908" s="382"/>
      <c r="G908" s="382"/>
      <c r="H908" s="382"/>
      <c r="I908" s="382"/>
      <c r="J908" s="382"/>
      <c r="K908" s="382"/>
      <c r="L908" s="382"/>
      <c r="M908" s="382"/>
      <c r="N908" s="382"/>
      <c r="O908" s="382"/>
      <c r="P908" s="382"/>
      <c r="Q908" s="382"/>
      <c r="R908" s="382"/>
      <c r="S908" s="382"/>
      <c r="T908" s="382"/>
      <c r="U908" s="382"/>
      <c r="V908" s="383"/>
      <c r="W908" s="383"/>
      <c r="X908" s="383"/>
      <c r="Y908" s="383"/>
    </row>
    <row r="909">
      <c r="A909" s="382"/>
      <c r="B909" s="382"/>
      <c r="C909" s="382"/>
      <c r="D909" s="382"/>
      <c r="E909" s="382"/>
      <c r="F909" s="382"/>
      <c r="G909" s="382"/>
      <c r="H909" s="382"/>
      <c r="I909" s="382"/>
      <c r="J909" s="382"/>
      <c r="K909" s="382"/>
      <c r="L909" s="382"/>
      <c r="M909" s="382"/>
      <c r="N909" s="382"/>
      <c r="O909" s="382"/>
      <c r="P909" s="382"/>
      <c r="Q909" s="382"/>
      <c r="R909" s="382"/>
      <c r="S909" s="382"/>
      <c r="T909" s="382"/>
      <c r="U909" s="382"/>
      <c r="V909" s="383"/>
      <c r="W909" s="383"/>
      <c r="X909" s="383"/>
      <c r="Y909" s="383"/>
    </row>
    <row r="910">
      <c r="A910" s="382"/>
      <c r="B910" s="382"/>
      <c r="C910" s="382"/>
      <c r="D910" s="382"/>
      <c r="E910" s="382"/>
      <c r="F910" s="382"/>
      <c r="G910" s="382"/>
      <c r="H910" s="382"/>
      <c r="I910" s="382"/>
      <c r="J910" s="382"/>
      <c r="K910" s="382"/>
      <c r="L910" s="382"/>
      <c r="M910" s="382"/>
      <c r="N910" s="382"/>
      <c r="O910" s="382"/>
      <c r="P910" s="382"/>
      <c r="Q910" s="382"/>
      <c r="R910" s="382"/>
      <c r="S910" s="382"/>
      <c r="T910" s="382"/>
      <c r="U910" s="382"/>
      <c r="V910" s="383"/>
      <c r="W910" s="383"/>
      <c r="X910" s="383"/>
      <c r="Y910" s="383"/>
    </row>
    <row r="911">
      <c r="A911" s="382"/>
      <c r="B911" s="382"/>
      <c r="C911" s="382"/>
      <c r="D911" s="382"/>
      <c r="E911" s="382"/>
      <c r="F911" s="382"/>
      <c r="G911" s="382"/>
      <c r="H911" s="382"/>
      <c r="I911" s="382"/>
      <c r="J911" s="382"/>
      <c r="K911" s="382"/>
      <c r="L911" s="382"/>
      <c r="M911" s="382"/>
      <c r="N911" s="382"/>
      <c r="O911" s="382"/>
      <c r="P911" s="382"/>
      <c r="Q911" s="382"/>
      <c r="R911" s="382"/>
      <c r="S911" s="382"/>
      <c r="T911" s="382"/>
      <c r="U911" s="382"/>
      <c r="V911" s="383"/>
      <c r="W911" s="383"/>
      <c r="X911" s="383"/>
      <c r="Y911" s="383"/>
    </row>
    <row r="912">
      <c r="A912" s="382"/>
      <c r="B912" s="382"/>
      <c r="C912" s="382"/>
      <c r="D912" s="382"/>
      <c r="E912" s="382"/>
      <c r="F912" s="382"/>
      <c r="G912" s="382"/>
      <c r="H912" s="382"/>
      <c r="I912" s="382"/>
      <c r="J912" s="382"/>
      <c r="K912" s="382"/>
      <c r="L912" s="382"/>
      <c r="M912" s="382"/>
      <c r="N912" s="382"/>
      <c r="O912" s="382"/>
      <c r="P912" s="382"/>
      <c r="Q912" s="382"/>
      <c r="R912" s="382"/>
      <c r="S912" s="382"/>
      <c r="T912" s="382"/>
      <c r="U912" s="382"/>
      <c r="V912" s="383"/>
      <c r="W912" s="383"/>
      <c r="X912" s="383"/>
      <c r="Y912" s="383"/>
    </row>
    <row r="913">
      <c r="A913" s="382"/>
      <c r="B913" s="382"/>
      <c r="C913" s="382"/>
      <c r="D913" s="382"/>
      <c r="E913" s="382"/>
      <c r="F913" s="382"/>
      <c r="G913" s="382"/>
      <c r="H913" s="382"/>
      <c r="I913" s="382"/>
      <c r="J913" s="382"/>
      <c r="K913" s="382"/>
      <c r="L913" s="382"/>
      <c r="M913" s="382"/>
      <c r="N913" s="382"/>
      <c r="O913" s="382"/>
      <c r="P913" s="382"/>
      <c r="Q913" s="382"/>
      <c r="R913" s="382"/>
      <c r="S913" s="382"/>
      <c r="T913" s="382"/>
      <c r="U913" s="382"/>
      <c r="V913" s="383"/>
      <c r="W913" s="383"/>
      <c r="X913" s="383"/>
      <c r="Y913" s="383"/>
    </row>
    <row r="914">
      <c r="A914" s="382"/>
      <c r="B914" s="382"/>
      <c r="C914" s="382"/>
      <c r="D914" s="382"/>
      <c r="E914" s="382"/>
      <c r="F914" s="382"/>
      <c r="G914" s="382"/>
      <c r="H914" s="382"/>
      <c r="I914" s="382"/>
      <c r="J914" s="382"/>
      <c r="K914" s="382"/>
      <c r="L914" s="382"/>
      <c r="M914" s="382"/>
      <c r="N914" s="382"/>
      <c r="O914" s="382"/>
      <c r="P914" s="382"/>
      <c r="Q914" s="382"/>
      <c r="R914" s="382"/>
      <c r="S914" s="382"/>
      <c r="T914" s="382"/>
      <c r="U914" s="382"/>
      <c r="V914" s="383"/>
      <c r="W914" s="383"/>
      <c r="X914" s="383"/>
      <c r="Y914" s="383"/>
    </row>
    <row r="915">
      <c r="A915" s="382"/>
      <c r="B915" s="382"/>
      <c r="C915" s="382"/>
      <c r="D915" s="382"/>
      <c r="E915" s="382"/>
      <c r="F915" s="382"/>
      <c r="G915" s="382"/>
      <c r="H915" s="382"/>
      <c r="I915" s="382"/>
      <c r="J915" s="382"/>
      <c r="K915" s="382"/>
      <c r="L915" s="382"/>
      <c r="M915" s="382"/>
      <c r="N915" s="382"/>
      <c r="O915" s="382"/>
      <c r="P915" s="382"/>
      <c r="Q915" s="382"/>
      <c r="R915" s="382"/>
      <c r="S915" s="382"/>
      <c r="T915" s="382"/>
      <c r="U915" s="382"/>
      <c r="V915" s="383"/>
      <c r="W915" s="383"/>
      <c r="X915" s="383"/>
      <c r="Y915" s="383"/>
    </row>
    <row r="916">
      <c r="A916" s="382"/>
      <c r="B916" s="382"/>
      <c r="C916" s="382"/>
      <c r="D916" s="382"/>
      <c r="E916" s="382"/>
      <c r="F916" s="382"/>
      <c r="G916" s="382"/>
      <c r="H916" s="382"/>
      <c r="I916" s="382"/>
      <c r="J916" s="382"/>
      <c r="K916" s="382"/>
      <c r="L916" s="382"/>
      <c r="M916" s="382"/>
      <c r="N916" s="382"/>
      <c r="O916" s="382"/>
      <c r="P916" s="382"/>
      <c r="Q916" s="382"/>
      <c r="R916" s="382"/>
      <c r="S916" s="382"/>
      <c r="T916" s="382"/>
      <c r="U916" s="382"/>
      <c r="V916" s="383"/>
      <c r="W916" s="383"/>
      <c r="X916" s="383"/>
      <c r="Y916" s="383"/>
    </row>
    <row r="917">
      <c r="A917" s="382"/>
      <c r="B917" s="382"/>
      <c r="C917" s="382"/>
      <c r="D917" s="382"/>
      <c r="E917" s="382"/>
      <c r="F917" s="382"/>
      <c r="G917" s="382"/>
      <c r="H917" s="382"/>
      <c r="I917" s="382"/>
      <c r="J917" s="382"/>
      <c r="K917" s="382"/>
      <c r="L917" s="382"/>
      <c r="M917" s="382"/>
      <c r="N917" s="382"/>
      <c r="O917" s="382"/>
      <c r="P917" s="382"/>
      <c r="Q917" s="382"/>
      <c r="R917" s="382"/>
      <c r="S917" s="382"/>
      <c r="T917" s="382"/>
      <c r="U917" s="382"/>
      <c r="V917" s="383"/>
      <c r="W917" s="383"/>
      <c r="X917" s="383"/>
      <c r="Y917" s="383"/>
    </row>
    <row r="918">
      <c r="A918" s="382"/>
      <c r="B918" s="382"/>
      <c r="C918" s="382"/>
      <c r="D918" s="382"/>
      <c r="E918" s="382"/>
      <c r="F918" s="382"/>
      <c r="G918" s="382"/>
      <c r="H918" s="382"/>
      <c r="I918" s="382"/>
      <c r="J918" s="382"/>
      <c r="K918" s="382"/>
      <c r="L918" s="382"/>
      <c r="M918" s="382"/>
      <c r="N918" s="382"/>
      <c r="O918" s="382"/>
      <c r="P918" s="382"/>
      <c r="Q918" s="382"/>
      <c r="R918" s="382"/>
      <c r="S918" s="382"/>
      <c r="T918" s="382"/>
      <c r="U918" s="382"/>
      <c r="V918" s="383"/>
      <c r="W918" s="383"/>
      <c r="X918" s="383"/>
      <c r="Y918" s="383"/>
    </row>
    <row r="919">
      <c r="A919" s="382"/>
      <c r="B919" s="382"/>
      <c r="C919" s="382"/>
      <c r="D919" s="382"/>
      <c r="E919" s="382"/>
      <c r="F919" s="382"/>
      <c r="G919" s="382"/>
      <c r="H919" s="382"/>
      <c r="I919" s="382"/>
      <c r="J919" s="382"/>
      <c r="K919" s="382"/>
      <c r="L919" s="382"/>
      <c r="M919" s="382"/>
      <c r="N919" s="382"/>
      <c r="O919" s="382"/>
      <c r="P919" s="382"/>
      <c r="Q919" s="382"/>
      <c r="R919" s="382"/>
      <c r="S919" s="382"/>
      <c r="T919" s="382"/>
      <c r="U919" s="382"/>
      <c r="V919" s="383"/>
      <c r="W919" s="383"/>
      <c r="X919" s="383"/>
      <c r="Y919" s="383"/>
    </row>
    <row r="920">
      <c r="A920" s="382"/>
      <c r="B920" s="382"/>
      <c r="C920" s="382"/>
      <c r="D920" s="382"/>
      <c r="E920" s="382"/>
      <c r="F920" s="382"/>
      <c r="G920" s="382"/>
      <c r="H920" s="382"/>
      <c r="I920" s="382"/>
      <c r="J920" s="382"/>
      <c r="K920" s="382"/>
      <c r="L920" s="382"/>
      <c r="M920" s="382"/>
      <c r="N920" s="382"/>
      <c r="O920" s="382"/>
      <c r="P920" s="382"/>
      <c r="Q920" s="382"/>
      <c r="R920" s="382"/>
      <c r="S920" s="382"/>
      <c r="T920" s="382"/>
      <c r="U920" s="382"/>
      <c r="V920" s="383"/>
      <c r="W920" s="383"/>
      <c r="X920" s="383"/>
      <c r="Y920" s="383"/>
    </row>
    <row r="921">
      <c r="A921" s="382"/>
      <c r="B921" s="382"/>
      <c r="C921" s="382"/>
      <c r="D921" s="382"/>
      <c r="E921" s="382"/>
      <c r="F921" s="382"/>
      <c r="G921" s="382"/>
      <c r="H921" s="382"/>
      <c r="I921" s="382"/>
      <c r="J921" s="382"/>
      <c r="K921" s="382"/>
      <c r="L921" s="382"/>
      <c r="M921" s="382"/>
      <c r="N921" s="382"/>
      <c r="O921" s="382"/>
      <c r="P921" s="382"/>
      <c r="Q921" s="382"/>
      <c r="R921" s="382"/>
      <c r="S921" s="382"/>
      <c r="T921" s="382"/>
      <c r="U921" s="382"/>
      <c r="V921" s="383"/>
      <c r="W921" s="383"/>
      <c r="X921" s="383"/>
      <c r="Y921" s="383"/>
    </row>
    <row r="922">
      <c r="A922" s="382"/>
      <c r="B922" s="382"/>
      <c r="C922" s="382"/>
      <c r="D922" s="382"/>
      <c r="E922" s="382"/>
      <c r="F922" s="382"/>
      <c r="G922" s="382"/>
      <c r="H922" s="382"/>
      <c r="I922" s="382"/>
      <c r="J922" s="382"/>
      <c r="K922" s="382"/>
      <c r="L922" s="382"/>
      <c r="M922" s="382"/>
      <c r="N922" s="382"/>
      <c r="O922" s="382"/>
      <c r="P922" s="382"/>
      <c r="Q922" s="382"/>
      <c r="R922" s="382"/>
      <c r="S922" s="382"/>
      <c r="T922" s="382"/>
      <c r="U922" s="382"/>
      <c r="V922" s="383"/>
      <c r="W922" s="383"/>
      <c r="X922" s="383"/>
      <c r="Y922" s="383"/>
    </row>
    <row r="923">
      <c r="A923" s="382"/>
      <c r="B923" s="382"/>
      <c r="C923" s="382"/>
      <c r="D923" s="382"/>
      <c r="E923" s="382"/>
      <c r="F923" s="382"/>
      <c r="G923" s="382"/>
      <c r="H923" s="382"/>
      <c r="I923" s="382"/>
      <c r="J923" s="382"/>
      <c r="K923" s="382"/>
      <c r="L923" s="382"/>
      <c r="M923" s="382"/>
      <c r="N923" s="382"/>
      <c r="O923" s="382"/>
      <c r="P923" s="382"/>
      <c r="Q923" s="382"/>
      <c r="R923" s="382"/>
      <c r="S923" s="382"/>
      <c r="T923" s="382"/>
      <c r="U923" s="382"/>
      <c r="V923" s="383"/>
      <c r="W923" s="383"/>
      <c r="X923" s="383"/>
      <c r="Y923" s="383"/>
    </row>
    <row r="924">
      <c r="A924" s="382"/>
      <c r="B924" s="382"/>
      <c r="C924" s="382"/>
      <c r="D924" s="382"/>
      <c r="E924" s="382"/>
      <c r="F924" s="382"/>
      <c r="G924" s="382"/>
      <c r="H924" s="382"/>
      <c r="I924" s="382"/>
      <c r="J924" s="382"/>
      <c r="K924" s="382"/>
      <c r="L924" s="382"/>
      <c r="M924" s="382"/>
      <c r="N924" s="382"/>
      <c r="O924" s="382"/>
      <c r="P924" s="382"/>
      <c r="Q924" s="382"/>
      <c r="R924" s="382"/>
      <c r="S924" s="382"/>
      <c r="T924" s="382"/>
      <c r="U924" s="382"/>
      <c r="V924" s="383"/>
      <c r="W924" s="383"/>
      <c r="X924" s="383"/>
      <c r="Y924" s="383"/>
    </row>
    <row r="925">
      <c r="A925" s="382"/>
      <c r="B925" s="382"/>
      <c r="C925" s="382"/>
      <c r="D925" s="382"/>
      <c r="E925" s="382"/>
      <c r="F925" s="382"/>
      <c r="G925" s="382"/>
      <c r="H925" s="382"/>
      <c r="I925" s="382"/>
      <c r="J925" s="382"/>
      <c r="K925" s="382"/>
      <c r="L925" s="382"/>
      <c r="M925" s="382"/>
      <c r="N925" s="382"/>
      <c r="O925" s="382"/>
      <c r="P925" s="382"/>
      <c r="Q925" s="382"/>
      <c r="R925" s="382"/>
      <c r="S925" s="382"/>
      <c r="T925" s="382"/>
      <c r="U925" s="382"/>
      <c r="V925" s="383"/>
      <c r="W925" s="383"/>
      <c r="X925" s="383"/>
      <c r="Y925" s="383"/>
    </row>
    <row r="926">
      <c r="A926" s="382"/>
      <c r="B926" s="382"/>
      <c r="C926" s="382"/>
      <c r="D926" s="382"/>
      <c r="E926" s="382"/>
      <c r="F926" s="382"/>
      <c r="G926" s="382"/>
      <c r="H926" s="382"/>
      <c r="I926" s="382"/>
      <c r="J926" s="382"/>
      <c r="K926" s="382"/>
      <c r="L926" s="382"/>
      <c r="M926" s="382"/>
      <c r="N926" s="382"/>
      <c r="O926" s="382"/>
      <c r="P926" s="382"/>
      <c r="Q926" s="382"/>
      <c r="R926" s="382"/>
      <c r="S926" s="382"/>
      <c r="T926" s="382"/>
      <c r="U926" s="382"/>
      <c r="V926" s="383"/>
      <c r="W926" s="383"/>
      <c r="X926" s="383"/>
      <c r="Y926" s="383"/>
    </row>
    <row r="927">
      <c r="A927" s="382"/>
      <c r="B927" s="382"/>
      <c r="C927" s="382"/>
      <c r="D927" s="382"/>
      <c r="E927" s="382"/>
      <c r="F927" s="382"/>
      <c r="G927" s="382"/>
      <c r="H927" s="382"/>
      <c r="I927" s="382"/>
      <c r="J927" s="382"/>
      <c r="K927" s="382"/>
      <c r="L927" s="382"/>
      <c r="M927" s="382"/>
      <c r="N927" s="382"/>
      <c r="O927" s="382"/>
      <c r="P927" s="382"/>
      <c r="Q927" s="382"/>
      <c r="R927" s="382"/>
      <c r="S927" s="382"/>
      <c r="T927" s="382"/>
      <c r="U927" s="382"/>
      <c r="V927" s="383"/>
      <c r="W927" s="383"/>
      <c r="X927" s="383"/>
      <c r="Y927" s="383"/>
    </row>
    <row r="928">
      <c r="A928" s="382"/>
      <c r="B928" s="382"/>
      <c r="C928" s="382"/>
      <c r="D928" s="382"/>
      <c r="E928" s="382"/>
      <c r="F928" s="382"/>
      <c r="G928" s="382"/>
      <c r="H928" s="382"/>
      <c r="I928" s="382"/>
      <c r="J928" s="382"/>
      <c r="K928" s="382"/>
      <c r="L928" s="382"/>
      <c r="M928" s="382"/>
      <c r="N928" s="382"/>
      <c r="O928" s="382"/>
      <c r="P928" s="382"/>
      <c r="Q928" s="382"/>
      <c r="R928" s="382"/>
      <c r="S928" s="382"/>
      <c r="T928" s="382"/>
      <c r="U928" s="382"/>
      <c r="V928" s="383"/>
      <c r="W928" s="383"/>
      <c r="X928" s="383"/>
      <c r="Y928" s="383"/>
    </row>
    <row r="929">
      <c r="A929" s="382"/>
      <c r="B929" s="382"/>
      <c r="C929" s="382"/>
      <c r="D929" s="382"/>
      <c r="E929" s="382"/>
      <c r="F929" s="382"/>
      <c r="G929" s="382"/>
      <c r="H929" s="382"/>
      <c r="I929" s="382"/>
      <c r="J929" s="382"/>
      <c r="K929" s="382"/>
      <c r="L929" s="382"/>
      <c r="M929" s="382"/>
      <c r="N929" s="382"/>
      <c r="O929" s="382"/>
      <c r="P929" s="382"/>
      <c r="Q929" s="382"/>
      <c r="R929" s="382"/>
      <c r="S929" s="382"/>
      <c r="T929" s="382"/>
      <c r="U929" s="382"/>
      <c r="V929" s="383"/>
      <c r="W929" s="383"/>
      <c r="X929" s="383"/>
      <c r="Y929" s="383"/>
    </row>
    <row r="930">
      <c r="A930" s="382"/>
      <c r="B930" s="382"/>
      <c r="C930" s="382"/>
      <c r="D930" s="382"/>
      <c r="E930" s="382"/>
      <c r="F930" s="382"/>
      <c r="G930" s="382"/>
      <c r="H930" s="382"/>
      <c r="I930" s="382"/>
      <c r="J930" s="382"/>
      <c r="K930" s="382"/>
      <c r="L930" s="382"/>
      <c r="M930" s="382"/>
      <c r="N930" s="382"/>
      <c r="O930" s="382"/>
      <c r="P930" s="382"/>
      <c r="Q930" s="382"/>
      <c r="R930" s="382"/>
      <c r="S930" s="382"/>
      <c r="T930" s="382"/>
      <c r="U930" s="382"/>
      <c r="V930" s="383"/>
      <c r="W930" s="383"/>
      <c r="X930" s="383"/>
      <c r="Y930" s="383"/>
    </row>
    <row r="931">
      <c r="A931" s="382"/>
      <c r="B931" s="382"/>
      <c r="C931" s="382"/>
      <c r="D931" s="382"/>
      <c r="E931" s="382"/>
      <c r="F931" s="382"/>
      <c r="G931" s="382"/>
      <c r="H931" s="382"/>
      <c r="I931" s="382"/>
      <c r="J931" s="382"/>
      <c r="K931" s="382"/>
      <c r="L931" s="382"/>
      <c r="M931" s="382"/>
      <c r="N931" s="382"/>
      <c r="O931" s="382"/>
      <c r="P931" s="382"/>
      <c r="Q931" s="382"/>
      <c r="R931" s="382"/>
      <c r="S931" s="382"/>
      <c r="T931" s="382"/>
      <c r="U931" s="382"/>
      <c r="V931" s="383"/>
      <c r="W931" s="383"/>
      <c r="X931" s="383"/>
      <c r="Y931" s="383"/>
    </row>
    <row r="932">
      <c r="A932" s="382"/>
      <c r="B932" s="382"/>
      <c r="C932" s="382"/>
      <c r="D932" s="382"/>
      <c r="E932" s="382"/>
      <c r="F932" s="382"/>
      <c r="G932" s="382"/>
      <c r="H932" s="382"/>
      <c r="I932" s="382"/>
      <c r="J932" s="382"/>
      <c r="K932" s="382"/>
      <c r="L932" s="382"/>
      <c r="M932" s="382"/>
      <c r="N932" s="382"/>
      <c r="O932" s="382"/>
      <c r="P932" s="382"/>
      <c r="Q932" s="382"/>
      <c r="R932" s="382"/>
      <c r="S932" s="382"/>
      <c r="T932" s="382"/>
      <c r="U932" s="382"/>
      <c r="V932" s="383"/>
      <c r="W932" s="383"/>
      <c r="X932" s="383"/>
      <c r="Y932" s="383"/>
    </row>
    <row r="933">
      <c r="A933" s="382"/>
      <c r="B933" s="382"/>
      <c r="C933" s="382"/>
      <c r="D933" s="382"/>
      <c r="E933" s="382"/>
      <c r="F933" s="382"/>
      <c r="G933" s="382"/>
      <c r="H933" s="382"/>
      <c r="I933" s="382"/>
      <c r="J933" s="382"/>
      <c r="K933" s="382"/>
      <c r="L933" s="382"/>
      <c r="M933" s="382"/>
      <c r="N933" s="382"/>
      <c r="O933" s="382"/>
      <c r="P933" s="382"/>
      <c r="Q933" s="382"/>
      <c r="R933" s="382"/>
      <c r="S933" s="382"/>
      <c r="T933" s="382"/>
      <c r="U933" s="382"/>
      <c r="V933" s="383"/>
      <c r="W933" s="383"/>
      <c r="X933" s="383"/>
      <c r="Y933" s="383"/>
    </row>
    <row r="934">
      <c r="A934" s="382"/>
      <c r="B934" s="382"/>
      <c r="C934" s="382"/>
      <c r="D934" s="382"/>
      <c r="E934" s="382"/>
      <c r="F934" s="382"/>
      <c r="G934" s="382"/>
      <c r="H934" s="382"/>
      <c r="I934" s="382"/>
      <c r="J934" s="382"/>
      <c r="K934" s="382"/>
      <c r="L934" s="382"/>
      <c r="M934" s="382"/>
      <c r="N934" s="382"/>
      <c r="O934" s="382"/>
      <c r="P934" s="382"/>
      <c r="Q934" s="382"/>
      <c r="R934" s="382"/>
      <c r="S934" s="382"/>
      <c r="T934" s="382"/>
      <c r="U934" s="382"/>
      <c r="V934" s="383"/>
      <c r="W934" s="383"/>
      <c r="X934" s="383"/>
      <c r="Y934" s="383"/>
    </row>
    <row r="935">
      <c r="A935" s="382"/>
      <c r="B935" s="382"/>
      <c r="C935" s="382"/>
      <c r="D935" s="382"/>
      <c r="E935" s="382"/>
      <c r="F935" s="382"/>
      <c r="G935" s="382"/>
      <c r="H935" s="382"/>
      <c r="I935" s="382"/>
      <c r="J935" s="382"/>
      <c r="K935" s="382"/>
      <c r="L935" s="382"/>
      <c r="M935" s="382"/>
      <c r="N935" s="382"/>
      <c r="O935" s="382"/>
      <c r="P935" s="382"/>
      <c r="Q935" s="382"/>
      <c r="R935" s="382"/>
      <c r="S935" s="382"/>
      <c r="T935" s="382"/>
      <c r="U935" s="382"/>
      <c r="V935" s="383"/>
      <c r="W935" s="383"/>
      <c r="X935" s="383"/>
      <c r="Y935" s="383"/>
    </row>
    <row r="936">
      <c r="A936" s="382"/>
      <c r="B936" s="382"/>
      <c r="C936" s="382"/>
      <c r="D936" s="382"/>
      <c r="E936" s="382"/>
      <c r="F936" s="382"/>
      <c r="G936" s="382"/>
      <c r="H936" s="382"/>
      <c r="I936" s="382"/>
      <c r="J936" s="382"/>
      <c r="K936" s="382"/>
      <c r="L936" s="382"/>
      <c r="M936" s="382"/>
      <c r="N936" s="382"/>
      <c r="O936" s="382"/>
      <c r="P936" s="382"/>
      <c r="Q936" s="382"/>
      <c r="R936" s="382"/>
      <c r="S936" s="382"/>
      <c r="T936" s="382"/>
      <c r="U936" s="382"/>
      <c r="V936" s="383"/>
      <c r="W936" s="383"/>
      <c r="X936" s="383"/>
      <c r="Y936" s="383"/>
    </row>
    <row r="937">
      <c r="A937" s="382"/>
      <c r="B937" s="382"/>
      <c r="C937" s="382"/>
      <c r="D937" s="382"/>
      <c r="E937" s="382"/>
      <c r="F937" s="382"/>
      <c r="G937" s="382"/>
      <c r="H937" s="382"/>
      <c r="I937" s="382"/>
      <c r="J937" s="382"/>
      <c r="K937" s="382"/>
      <c r="L937" s="382"/>
      <c r="M937" s="382"/>
      <c r="N937" s="382"/>
      <c r="O937" s="382"/>
      <c r="P937" s="382"/>
      <c r="Q937" s="382"/>
      <c r="R937" s="382"/>
      <c r="S937" s="382"/>
      <c r="T937" s="382"/>
      <c r="U937" s="382"/>
      <c r="V937" s="383"/>
      <c r="W937" s="383"/>
      <c r="X937" s="383"/>
      <c r="Y937" s="383"/>
    </row>
    <row r="938">
      <c r="A938" s="382"/>
      <c r="B938" s="382"/>
      <c r="C938" s="382"/>
      <c r="D938" s="382"/>
      <c r="E938" s="382"/>
      <c r="F938" s="382"/>
      <c r="G938" s="382"/>
      <c r="H938" s="382"/>
      <c r="I938" s="382"/>
      <c r="J938" s="382"/>
      <c r="K938" s="382"/>
      <c r="L938" s="382"/>
      <c r="M938" s="382"/>
      <c r="N938" s="382"/>
      <c r="O938" s="382"/>
      <c r="P938" s="382"/>
      <c r="Q938" s="382"/>
      <c r="R938" s="382"/>
      <c r="S938" s="382"/>
      <c r="T938" s="382"/>
      <c r="U938" s="382"/>
      <c r="V938" s="383"/>
      <c r="W938" s="383"/>
      <c r="X938" s="383"/>
      <c r="Y938" s="383"/>
    </row>
    <row r="939">
      <c r="A939" s="382"/>
      <c r="B939" s="382"/>
      <c r="C939" s="382"/>
      <c r="D939" s="382"/>
      <c r="E939" s="382"/>
      <c r="F939" s="382"/>
      <c r="G939" s="382"/>
      <c r="H939" s="382"/>
      <c r="I939" s="382"/>
      <c r="J939" s="382"/>
      <c r="K939" s="382"/>
      <c r="L939" s="382"/>
      <c r="M939" s="382"/>
      <c r="N939" s="382"/>
      <c r="O939" s="382"/>
      <c r="P939" s="382"/>
      <c r="Q939" s="382"/>
      <c r="R939" s="382"/>
      <c r="S939" s="382"/>
      <c r="T939" s="382"/>
      <c r="U939" s="382"/>
      <c r="V939" s="383"/>
      <c r="W939" s="383"/>
      <c r="X939" s="383"/>
      <c r="Y939" s="383"/>
    </row>
    <row r="940">
      <c r="A940" s="382"/>
      <c r="B940" s="382"/>
      <c r="C940" s="382"/>
      <c r="D940" s="382"/>
      <c r="E940" s="382"/>
      <c r="F940" s="382"/>
      <c r="G940" s="382"/>
      <c r="H940" s="382"/>
      <c r="I940" s="382"/>
      <c r="J940" s="382"/>
      <c r="K940" s="382"/>
      <c r="L940" s="382"/>
      <c r="M940" s="382"/>
      <c r="N940" s="382"/>
      <c r="O940" s="382"/>
      <c r="P940" s="382"/>
      <c r="Q940" s="382"/>
      <c r="R940" s="382"/>
      <c r="S940" s="382"/>
      <c r="T940" s="382"/>
      <c r="U940" s="382"/>
      <c r="V940" s="383"/>
      <c r="W940" s="383"/>
      <c r="X940" s="383"/>
      <c r="Y940" s="383"/>
    </row>
    <row r="941">
      <c r="A941" s="382"/>
      <c r="B941" s="382"/>
      <c r="C941" s="382"/>
      <c r="D941" s="382"/>
      <c r="E941" s="382"/>
      <c r="F941" s="382"/>
      <c r="G941" s="382"/>
      <c r="H941" s="382"/>
      <c r="I941" s="382"/>
      <c r="J941" s="382"/>
      <c r="K941" s="382"/>
      <c r="L941" s="382"/>
      <c r="M941" s="382"/>
      <c r="N941" s="382"/>
      <c r="O941" s="382"/>
      <c r="P941" s="382"/>
      <c r="Q941" s="382"/>
      <c r="R941" s="382"/>
      <c r="S941" s="382"/>
      <c r="T941" s="382"/>
      <c r="U941" s="382"/>
      <c r="V941" s="383"/>
      <c r="W941" s="383"/>
      <c r="X941" s="383"/>
      <c r="Y941" s="383"/>
    </row>
    <row r="942">
      <c r="A942" s="382"/>
      <c r="B942" s="382"/>
      <c r="C942" s="382"/>
      <c r="D942" s="382"/>
      <c r="E942" s="382"/>
      <c r="F942" s="382"/>
      <c r="G942" s="382"/>
      <c r="H942" s="382"/>
      <c r="I942" s="382"/>
      <c r="J942" s="382"/>
      <c r="K942" s="382"/>
      <c r="L942" s="382"/>
      <c r="M942" s="382"/>
      <c r="N942" s="382"/>
      <c r="O942" s="382"/>
      <c r="P942" s="382"/>
      <c r="Q942" s="382"/>
      <c r="R942" s="382"/>
      <c r="S942" s="382"/>
      <c r="T942" s="382"/>
      <c r="U942" s="382"/>
      <c r="V942" s="383"/>
      <c r="W942" s="383"/>
      <c r="X942" s="383"/>
      <c r="Y942" s="383"/>
    </row>
    <row r="943">
      <c r="A943" s="382"/>
      <c r="B943" s="382"/>
      <c r="C943" s="382"/>
      <c r="D943" s="382"/>
      <c r="E943" s="382"/>
      <c r="F943" s="382"/>
      <c r="G943" s="382"/>
      <c r="H943" s="382"/>
      <c r="I943" s="382"/>
      <c r="J943" s="382"/>
      <c r="K943" s="382"/>
      <c r="L943" s="382"/>
      <c r="M943" s="382"/>
      <c r="N943" s="382"/>
      <c r="O943" s="382"/>
      <c r="P943" s="382"/>
      <c r="Q943" s="382"/>
      <c r="R943" s="382"/>
      <c r="S943" s="382"/>
      <c r="T943" s="382"/>
      <c r="U943" s="382"/>
      <c r="V943" s="383"/>
      <c r="W943" s="383"/>
      <c r="X943" s="383"/>
      <c r="Y943" s="383"/>
    </row>
    <row r="944">
      <c r="A944" s="382"/>
      <c r="B944" s="382"/>
      <c r="C944" s="382"/>
      <c r="D944" s="382"/>
      <c r="E944" s="382"/>
      <c r="F944" s="382"/>
      <c r="G944" s="382"/>
      <c r="H944" s="382"/>
      <c r="I944" s="382"/>
      <c r="J944" s="382"/>
      <c r="K944" s="382"/>
      <c r="L944" s="382"/>
      <c r="M944" s="382"/>
      <c r="N944" s="382"/>
      <c r="O944" s="382"/>
      <c r="P944" s="382"/>
      <c r="Q944" s="382"/>
      <c r="R944" s="382"/>
      <c r="S944" s="382"/>
      <c r="T944" s="382"/>
      <c r="U944" s="382"/>
      <c r="V944" s="383"/>
      <c r="W944" s="383"/>
      <c r="X944" s="383"/>
      <c r="Y944" s="383"/>
    </row>
    <row r="945">
      <c r="A945" s="382"/>
      <c r="B945" s="382"/>
      <c r="C945" s="382"/>
      <c r="D945" s="382"/>
      <c r="E945" s="382"/>
      <c r="F945" s="382"/>
      <c r="G945" s="382"/>
      <c r="H945" s="382"/>
      <c r="I945" s="382"/>
      <c r="J945" s="382"/>
      <c r="K945" s="382"/>
      <c r="L945" s="382"/>
      <c r="M945" s="382"/>
      <c r="N945" s="382"/>
      <c r="O945" s="382"/>
      <c r="P945" s="382"/>
      <c r="Q945" s="382"/>
      <c r="R945" s="382"/>
      <c r="S945" s="382"/>
      <c r="T945" s="382"/>
      <c r="U945" s="382"/>
      <c r="V945" s="383"/>
      <c r="W945" s="383"/>
      <c r="X945" s="383"/>
      <c r="Y945" s="383"/>
    </row>
    <row r="946">
      <c r="A946" s="382"/>
      <c r="B946" s="382"/>
      <c r="C946" s="382"/>
      <c r="D946" s="382"/>
      <c r="E946" s="382"/>
      <c r="F946" s="382"/>
      <c r="G946" s="382"/>
      <c r="H946" s="382"/>
      <c r="I946" s="382"/>
      <c r="J946" s="382"/>
      <c r="K946" s="382"/>
      <c r="L946" s="382"/>
      <c r="M946" s="382"/>
      <c r="N946" s="382"/>
      <c r="O946" s="382"/>
      <c r="P946" s="382"/>
      <c r="Q946" s="382"/>
      <c r="R946" s="382"/>
      <c r="S946" s="382"/>
      <c r="T946" s="382"/>
      <c r="U946" s="382"/>
      <c r="V946" s="383"/>
      <c r="W946" s="383"/>
      <c r="X946" s="383"/>
      <c r="Y946" s="383"/>
    </row>
    <row r="947">
      <c r="A947" s="382"/>
      <c r="B947" s="382"/>
      <c r="C947" s="382"/>
      <c r="D947" s="382"/>
      <c r="E947" s="382"/>
      <c r="F947" s="382"/>
      <c r="G947" s="382"/>
      <c r="H947" s="382"/>
      <c r="I947" s="382"/>
      <c r="J947" s="382"/>
      <c r="K947" s="382"/>
      <c r="L947" s="382"/>
      <c r="M947" s="382"/>
      <c r="N947" s="382"/>
      <c r="O947" s="382"/>
      <c r="P947" s="382"/>
      <c r="Q947" s="382"/>
      <c r="R947" s="382"/>
      <c r="S947" s="382"/>
      <c r="T947" s="382"/>
      <c r="U947" s="382"/>
      <c r="V947" s="383"/>
      <c r="W947" s="383"/>
      <c r="X947" s="383"/>
      <c r="Y947" s="383"/>
    </row>
    <row r="948">
      <c r="A948" s="382"/>
      <c r="B948" s="382"/>
      <c r="C948" s="382"/>
      <c r="D948" s="382"/>
      <c r="E948" s="382"/>
      <c r="F948" s="382"/>
      <c r="G948" s="382"/>
      <c r="H948" s="382"/>
      <c r="I948" s="382"/>
      <c r="J948" s="382"/>
      <c r="K948" s="382"/>
      <c r="L948" s="382"/>
      <c r="M948" s="382"/>
      <c r="N948" s="382"/>
      <c r="O948" s="382"/>
      <c r="P948" s="382"/>
      <c r="Q948" s="382"/>
      <c r="R948" s="382"/>
      <c r="S948" s="382"/>
      <c r="T948" s="382"/>
      <c r="U948" s="382"/>
      <c r="V948" s="383"/>
      <c r="W948" s="383"/>
      <c r="X948" s="383"/>
      <c r="Y948" s="383"/>
    </row>
    <row r="949">
      <c r="A949" s="382"/>
      <c r="B949" s="382"/>
      <c r="C949" s="382"/>
      <c r="D949" s="382"/>
      <c r="E949" s="382"/>
      <c r="F949" s="382"/>
      <c r="G949" s="382"/>
      <c r="H949" s="382"/>
      <c r="I949" s="382"/>
      <c r="J949" s="382"/>
      <c r="K949" s="382"/>
      <c r="L949" s="382"/>
      <c r="M949" s="382"/>
      <c r="N949" s="382"/>
      <c r="O949" s="382"/>
      <c r="P949" s="382"/>
      <c r="Q949" s="382"/>
      <c r="R949" s="382"/>
      <c r="S949" s="382"/>
      <c r="T949" s="382"/>
      <c r="U949" s="382"/>
      <c r="V949" s="383"/>
      <c r="W949" s="383"/>
      <c r="X949" s="383"/>
      <c r="Y949" s="383"/>
    </row>
    <row r="950">
      <c r="A950" s="382"/>
      <c r="B950" s="382"/>
      <c r="C950" s="382"/>
      <c r="D950" s="382"/>
      <c r="E950" s="382"/>
      <c r="F950" s="382"/>
      <c r="G950" s="382"/>
      <c r="H950" s="382"/>
      <c r="I950" s="382"/>
      <c r="J950" s="382"/>
      <c r="K950" s="382"/>
      <c r="L950" s="382"/>
      <c r="M950" s="382"/>
      <c r="N950" s="382"/>
      <c r="O950" s="382"/>
      <c r="P950" s="382"/>
      <c r="Q950" s="382"/>
      <c r="R950" s="382"/>
      <c r="S950" s="382"/>
      <c r="T950" s="382"/>
      <c r="U950" s="382"/>
      <c r="V950" s="383"/>
      <c r="W950" s="383"/>
      <c r="X950" s="383"/>
      <c r="Y950" s="383"/>
    </row>
    <row r="951">
      <c r="A951" s="382"/>
      <c r="B951" s="382"/>
      <c r="C951" s="382"/>
      <c r="D951" s="382"/>
      <c r="E951" s="382"/>
      <c r="F951" s="382"/>
      <c r="G951" s="382"/>
      <c r="H951" s="382"/>
      <c r="I951" s="382"/>
      <c r="J951" s="382"/>
      <c r="K951" s="382"/>
      <c r="L951" s="382"/>
      <c r="M951" s="382"/>
      <c r="N951" s="382"/>
      <c r="O951" s="382"/>
      <c r="P951" s="382"/>
      <c r="Q951" s="382"/>
      <c r="R951" s="382"/>
      <c r="S951" s="382"/>
      <c r="T951" s="382"/>
      <c r="U951" s="382"/>
      <c r="V951" s="383"/>
      <c r="W951" s="383"/>
      <c r="X951" s="383"/>
      <c r="Y951" s="383"/>
    </row>
    <row r="952">
      <c r="A952" s="382"/>
      <c r="B952" s="382"/>
      <c r="C952" s="382"/>
      <c r="D952" s="382"/>
      <c r="E952" s="382"/>
      <c r="F952" s="382"/>
      <c r="G952" s="382"/>
      <c r="H952" s="382"/>
      <c r="I952" s="382"/>
      <c r="J952" s="382"/>
      <c r="K952" s="382"/>
      <c r="L952" s="382"/>
      <c r="M952" s="382"/>
      <c r="N952" s="382"/>
      <c r="O952" s="382"/>
      <c r="P952" s="382"/>
      <c r="Q952" s="382"/>
      <c r="R952" s="382"/>
      <c r="S952" s="382"/>
      <c r="T952" s="382"/>
      <c r="U952" s="382"/>
      <c r="V952" s="383"/>
      <c r="W952" s="383"/>
      <c r="X952" s="383"/>
      <c r="Y952" s="383"/>
    </row>
    <row r="953">
      <c r="A953" s="382"/>
      <c r="B953" s="382"/>
      <c r="C953" s="382"/>
      <c r="D953" s="382"/>
      <c r="E953" s="382"/>
      <c r="F953" s="382"/>
      <c r="G953" s="382"/>
      <c r="H953" s="382"/>
      <c r="I953" s="382"/>
      <c r="J953" s="382"/>
      <c r="K953" s="382"/>
      <c r="L953" s="382"/>
      <c r="M953" s="382"/>
      <c r="N953" s="382"/>
      <c r="O953" s="382"/>
      <c r="P953" s="382"/>
      <c r="Q953" s="382"/>
      <c r="R953" s="382"/>
      <c r="S953" s="382"/>
      <c r="T953" s="382"/>
      <c r="U953" s="382"/>
      <c r="V953" s="383"/>
      <c r="W953" s="383"/>
      <c r="X953" s="383"/>
      <c r="Y953" s="383"/>
    </row>
    <row r="954">
      <c r="A954" s="382"/>
      <c r="B954" s="382"/>
      <c r="C954" s="382"/>
      <c r="D954" s="382"/>
      <c r="E954" s="382"/>
      <c r="F954" s="382"/>
      <c r="G954" s="382"/>
      <c r="H954" s="382"/>
      <c r="I954" s="382"/>
      <c r="J954" s="382"/>
      <c r="K954" s="382"/>
      <c r="L954" s="382"/>
      <c r="M954" s="382"/>
      <c r="N954" s="382"/>
      <c r="O954" s="382"/>
      <c r="P954" s="382"/>
      <c r="Q954" s="382"/>
      <c r="R954" s="382"/>
      <c r="S954" s="382"/>
      <c r="T954" s="382"/>
      <c r="U954" s="382"/>
      <c r="V954" s="383"/>
      <c r="W954" s="383"/>
      <c r="X954" s="383"/>
      <c r="Y954" s="383"/>
    </row>
    <row r="955">
      <c r="A955" s="382"/>
      <c r="B955" s="382"/>
      <c r="C955" s="382"/>
      <c r="D955" s="382"/>
      <c r="E955" s="382"/>
      <c r="F955" s="382"/>
      <c r="G955" s="382"/>
      <c r="H955" s="382"/>
      <c r="I955" s="382"/>
      <c r="J955" s="382"/>
      <c r="K955" s="382"/>
      <c r="L955" s="382"/>
      <c r="M955" s="382"/>
      <c r="N955" s="382"/>
      <c r="O955" s="382"/>
      <c r="P955" s="382"/>
      <c r="Q955" s="382"/>
      <c r="R955" s="382"/>
      <c r="S955" s="382"/>
      <c r="T955" s="382"/>
      <c r="U955" s="382"/>
      <c r="V955" s="383"/>
      <c r="W955" s="383"/>
      <c r="X955" s="383"/>
      <c r="Y955" s="383"/>
    </row>
    <row r="956">
      <c r="A956" s="382"/>
      <c r="B956" s="382"/>
      <c r="C956" s="382"/>
      <c r="D956" s="382"/>
      <c r="E956" s="382"/>
      <c r="F956" s="382"/>
      <c r="G956" s="382"/>
      <c r="H956" s="382"/>
      <c r="I956" s="382"/>
      <c r="J956" s="382"/>
      <c r="K956" s="382"/>
      <c r="L956" s="382"/>
      <c r="M956" s="382"/>
      <c r="N956" s="382"/>
      <c r="O956" s="382"/>
      <c r="P956" s="382"/>
      <c r="Q956" s="382"/>
      <c r="R956" s="382"/>
      <c r="S956" s="382"/>
      <c r="T956" s="382"/>
      <c r="U956" s="382"/>
      <c r="V956" s="383"/>
      <c r="W956" s="383"/>
      <c r="X956" s="383"/>
      <c r="Y956" s="383"/>
    </row>
    <row r="957">
      <c r="A957" s="382"/>
      <c r="B957" s="382"/>
      <c r="C957" s="382"/>
      <c r="D957" s="382"/>
      <c r="E957" s="382"/>
      <c r="F957" s="382"/>
      <c r="G957" s="382"/>
      <c r="H957" s="382"/>
      <c r="I957" s="382"/>
      <c r="J957" s="382"/>
      <c r="K957" s="382"/>
      <c r="L957" s="382"/>
      <c r="M957" s="382"/>
      <c r="N957" s="382"/>
      <c r="O957" s="382"/>
      <c r="P957" s="382"/>
      <c r="Q957" s="382"/>
      <c r="R957" s="382"/>
      <c r="S957" s="382"/>
      <c r="T957" s="382"/>
      <c r="U957" s="382"/>
      <c r="V957" s="383"/>
      <c r="W957" s="383"/>
      <c r="X957" s="383"/>
      <c r="Y957" s="383"/>
    </row>
    <row r="958">
      <c r="A958" s="382"/>
      <c r="B958" s="382"/>
      <c r="C958" s="382"/>
      <c r="D958" s="382"/>
      <c r="E958" s="382"/>
      <c r="F958" s="382"/>
      <c r="G958" s="382"/>
      <c r="H958" s="382"/>
      <c r="I958" s="382"/>
      <c r="J958" s="382"/>
      <c r="K958" s="382"/>
      <c r="L958" s="382"/>
      <c r="M958" s="382"/>
      <c r="N958" s="382"/>
      <c r="O958" s="382"/>
      <c r="P958" s="382"/>
      <c r="Q958" s="382"/>
      <c r="R958" s="382"/>
      <c r="S958" s="382"/>
      <c r="T958" s="382"/>
      <c r="U958" s="382"/>
      <c r="V958" s="383"/>
      <c r="W958" s="383"/>
      <c r="X958" s="383"/>
      <c r="Y958" s="383"/>
    </row>
    <row r="959">
      <c r="A959" s="382"/>
      <c r="B959" s="382"/>
      <c r="C959" s="382"/>
      <c r="D959" s="382"/>
      <c r="E959" s="382"/>
      <c r="F959" s="382"/>
      <c r="G959" s="382"/>
      <c r="H959" s="382"/>
      <c r="I959" s="382"/>
      <c r="J959" s="382"/>
      <c r="K959" s="382"/>
      <c r="L959" s="382"/>
      <c r="M959" s="382"/>
      <c r="N959" s="382"/>
      <c r="O959" s="382"/>
      <c r="P959" s="382"/>
      <c r="Q959" s="382"/>
      <c r="R959" s="382"/>
      <c r="S959" s="382"/>
      <c r="T959" s="382"/>
      <c r="U959" s="382"/>
      <c r="V959" s="383"/>
      <c r="W959" s="383"/>
      <c r="X959" s="383"/>
      <c r="Y959" s="383"/>
    </row>
    <row r="960">
      <c r="A960" s="382"/>
      <c r="B960" s="382"/>
      <c r="C960" s="382"/>
      <c r="D960" s="382"/>
      <c r="E960" s="382"/>
      <c r="F960" s="382"/>
      <c r="G960" s="382"/>
      <c r="H960" s="382"/>
      <c r="I960" s="382"/>
      <c r="J960" s="382"/>
      <c r="K960" s="382"/>
      <c r="L960" s="382"/>
      <c r="M960" s="382"/>
      <c r="N960" s="382"/>
      <c r="O960" s="382"/>
      <c r="P960" s="382"/>
      <c r="Q960" s="382"/>
      <c r="R960" s="382"/>
      <c r="S960" s="382"/>
      <c r="T960" s="382"/>
      <c r="U960" s="382"/>
      <c r="V960" s="383"/>
      <c r="W960" s="383"/>
      <c r="X960" s="383"/>
      <c r="Y960" s="383"/>
    </row>
    <row r="961">
      <c r="A961" s="382"/>
      <c r="B961" s="382"/>
      <c r="C961" s="382"/>
      <c r="D961" s="382"/>
      <c r="E961" s="382"/>
      <c r="F961" s="382"/>
      <c r="G961" s="382"/>
      <c r="H961" s="382"/>
      <c r="I961" s="382"/>
      <c r="J961" s="382"/>
      <c r="K961" s="382"/>
      <c r="L961" s="382"/>
      <c r="M961" s="382"/>
      <c r="N961" s="382"/>
      <c r="O961" s="382"/>
      <c r="P961" s="382"/>
      <c r="Q961" s="382"/>
      <c r="R961" s="382"/>
      <c r="S961" s="382"/>
      <c r="T961" s="382"/>
      <c r="U961" s="382"/>
      <c r="V961" s="383"/>
      <c r="W961" s="383"/>
      <c r="X961" s="383"/>
      <c r="Y961" s="383"/>
    </row>
    <row r="962">
      <c r="A962" s="382"/>
      <c r="B962" s="382"/>
      <c r="C962" s="382"/>
      <c r="D962" s="382"/>
      <c r="E962" s="382"/>
      <c r="F962" s="382"/>
      <c r="G962" s="382"/>
      <c r="H962" s="382"/>
      <c r="I962" s="382"/>
      <c r="J962" s="382"/>
      <c r="K962" s="382"/>
      <c r="L962" s="382"/>
      <c r="M962" s="382"/>
      <c r="N962" s="382"/>
      <c r="O962" s="382"/>
      <c r="P962" s="382"/>
      <c r="Q962" s="382"/>
      <c r="R962" s="382"/>
      <c r="S962" s="382"/>
      <c r="T962" s="382"/>
      <c r="U962" s="382"/>
      <c r="V962" s="383"/>
      <c r="W962" s="383"/>
      <c r="X962" s="383"/>
      <c r="Y962" s="383"/>
    </row>
    <row r="963">
      <c r="A963" s="382"/>
      <c r="B963" s="382"/>
      <c r="C963" s="382"/>
      <c r="D963" s="382"/>
      <c r="E963" s="382"/>
      <c r="F963" s="382"/>
      <c r="G963" s="382"/>
      <c r="H963" s="382"/>
      <c r="I963" s="382"/>
      <c r="J963" s="382"/>
      <c r="K963" s="382"/>
      <c r="L963" s="382"/>
      <c r="M963" s="382"/>
      <c r="N963" s="382"/>
      <c r="O963" s="382"/>
      <c r="P963" s="382"/>
      <c r="Q963" s="382"/>
      <c r="R963" s="382"/>
      <c r="S963" s="382"/>
      <c r="T963" s="382"/>
      <c r="U963" s="382"/>
      <c r="V963" s="383"/>
      <c r="W963" s="383"/>
      <c r="X963" s="383"/>
      <c r="Y963" s="383"/>
    </row>
    <row r="964">
      <c r="A964" s="382"/>
      <c r="B964" s="382"/>
      <c r="C964" s="382"/>
      <c r="D964" s="382"/>
      <c r="E964" s="382"/>
      <c r="F964" s="382"/>
      <c r="G964" s="382"/>
      <c r="H964" s="382"/>
      <c r="I964" s="382"/>
      <c r="J964" s="382"/>
      <c r="K964" s="382"/>
      <c r="L964" s="382"/>
      <c r="M964" s="382"/>
      <c r="N964" s="382"/>
      <c r="O964" s="382"/>
      <c r="P964" s="382"/>
      <c r="Q964" s="382"/>
      <c r="R964" s="382"/>
      <c r="S964" s="382"/>
      <c r="T964" s="382"/>
      <c r="U964" s="382"/>
      <c r="V964" s="383"/>
      <c r="W964" s="383"/>
      <c r="X964" s="383"/>
      <c r="Y964" s="383"/>
    </row>
    <row r="965">
      <c r="A965" s="382"/>
      <c r="B965" s="382"/>
      <c r="C965" s="382"/>
      <c r="D965" s="382"/>
      <c r="E965" s="382"/>
      <c r="F965" s="382"/>
      <c r="G965" s="382"/>
      <c r="H965" s="382"/>
      <c r="I965" s="382"/>
      <c r="J965" s="382"/>
      <c r="K965" s="382"/>
      <c r="L965" s="382"/>
      <c r="M965" s="382"/>
      <c r="N965" s="382"/>
      <c r="O965" s="382"/>
      <c r="P965" s="382"/>
      <c r="Q965" s="382"/>
      <c r="R965" s="382"/>
      <c r="S965" s="382"/>
      <c r="T965" s="382"/>
      <c r="U965" s="382"/>
      <c r="V965" s="383"/>
      <c r="W965" s="383"/>
      <c r="X965" s="383"/>
      <c r="Y965" s="383"/>
    </row>
    <row r="966">
      <c r="A966" s="382"/>
      <c r="B966" s="382"/>
      <c r="C966" s="382"/>
      <c r="D966" s="382"/>
      <c r="E966" s="382"/>
      <c r="F966" s="382"/>
      <c r="G966" s="382"/>
      <c r="H966" s="382"/>
      <c r="I966" s="382"/>
      <c r="J966" s="382"/>
      <c r="K966" s="382"/>
      <c r="L966" s="382"/>
      <c r="M966" s="382"/>
      <c r="N966" s="382"/>
      <c r="O966" s="382"/>
      <c r="P966" s="382"/>
      <c r="Q966" s="382"/>
      <c r="R966" s="382"/>
      <c r="S966" s="382"/>
      <c r="T966" s="382"/>
      <c r="U966" s="382"/>
      <c r="V966" s="383"/>
      <c r="W966" s="383"/>
      <c r="X966" s="383"/>
      <c r="Y966" s="383"/>
    </row>
    <row r="967">
      <c r="A967" s="382"/>
      <c r="B967" s="382"/>
      <c r="C967" s="382"/>
      <c r="D967" s="382"/>
      <c r="E967" s="382"/>
      <c r="F967" s="382"/>
      <c r="G967" s="382"/>
      <c r="H967" s="382"/>
      <c r="I967" s="382"/>
      <c r="J967" s="382"/>
      <c r="K967" s="382"/>
      <c r="L967" s="382"/>
      <c r="M967" s="382"/>
      <c r="N967" s="382"/>
      <c r="O967" s="382"/>
      <c r="P967" s="382"/>
      <c r="Q967" s="382"/>
      <c r="R967" s="382"/>
      <c r="S967" s="382"/>
      <c r="T967" s="382"/>
      <c r="U967" s="382"/>
      <c r="V967" s="383"/>
      <c r="W967" s="383"/>
      <c r="X967" s="383"/>
      <c r="Y967" s="383"/>
    </row>
    <row r="968">
      <c r="A968" s="382"/>
      <c r="B968" s="382"/>
      <c r="C968" s="382"/>
      <c r="D968" s="382"/>
      <c r="E968" s="382"/>
      <c r="F968" s="382"/>
      <c r="G968" s="382"/>
      <c r="H968" s="382"/>
      <c r="I968" s="382"/>
      <c r="J968" s="382"/>
      <c r="K968" s="382"/>
      <c r="L968" s="382"/>
      <c r="M968" s="382"/>
      <c r="N968" s="382"/>
      <c r="O968" s="382"/>
      <c r="P968" s="382"/>
      <c r="Q968" s="382"/>
      <c r="R968" s="382"/>
      <c r="S968" s="382"/>
      <c r="T968" s="382"/>
      <c r="U968" s="382"/>
      <c r="V968" s="383"/>
      <c r="W968" s="383"/>
      <c r="X968" s="383"/>
      <c r="Y968" s="383"/>
    </row>
    <row r="969">
      <c r="A969" s="382"/>
      <c r="B969" s="382"/>
      <c r="C969" s="382"/>
      <c r="D969" s="382"/>
      <c r="E969" s="382"/>
      <c r="F969" s="382"/>
      <c r="G969" s="382"/>
      <c r="H969" s="382"/>
      <c r="I969" s="382"/>
      <c r="J969" s="382"/>
      <c r="K969" s="382"/>
      <c r="L969" s="382"/>
      <c r="M969" s="382"/>
      <c r="N969" s="382"/>
      <c r="O969" s="382"/>
      <c r="P969" s="382"/>
      <c r="Q969" s="382"/>
      <c r="R969" s="382"/>
      <c r="S969" s="382"/>
      <c r="T969" s="382"/>
      <c r="U969" s="382"/>
      <c r="V969" s="383"/>
      <c r="W969" s="383"/>
      <c r="X969" s="383"/>
      <c r="Y969" s="383"/>
    </row>
    <row r="970">
      <c r="A970" s="382"/>
      <c r="B970" s="382"/>
      <c r="C970" s="382"/>
      <c r="D970" s="382"/>
      <c r="E970" s="382"/>
      <c r="F970" s="382"/>
      <c r="G970" s="382"/>
      <c r="H970" s="382"/>
      <c r="I970" s="382"/>
      <c r="J970" s="382"/>
      <c r="K970" s="382"/>
      <c r="L970" s="382"/>
      <c r="M970" s="382"/>
      <c r="N970" s="382"/>
      <c r="O970" s="382"/>
      <c r="P970" s="382"/>
      <c r="Q970" s="382"/>
      <c r="R970" s="382"/>
      <c r="S970" s="382"/>
      <c r="T970" s="382"/>
      <c r="U970" s="382"/>
      <c r="V970" s="383"/>
      <c r="W970" s="383"/>
      <c r="X970" s="383"/>
      <c r="Y970" s="383"/>
    </row>
    <row r="971">
      <c r="A971" s="382"/>
      <c r="B971" s="382"/>
      <c r="C971" s="382"/>
      <c r="D971" s="382"/>
      <c r="E971" s="382"/>
      <c r="F971" s="382"/>
      <c r="G971" s="382"/>
      <c r="H971" s="382"/>
      <c r="I971" s="382"/>
      <c r="J971" s="382"/>
      <c r="K971" s="382"/>
      <c r="L971" s="382"/>
      <c r="M971" s="382"/>
      <c r="N971" s="382"/>
      <c r="O971" s="382"/>
      <c r="P971" s="382"/>
      <c r="Q971" s="382"/>
      <c r="R971" s="382"/>
      <c r="S971" s="382"/>
      <c r="T971" s="382"/>
      <c r="U971" s="382"/>
      <c r="V971" s="383"/>
      <c r="W971" s="383"/>
      <c r="X971" s="383"/>
      <c r="Y971" s="383"/>
    </row>
    <row r="972">
      <c r="A972" s="382"/>
      <c r="B972" s="382"/>
      <c r="C972" s="382"/>
      <c r="D972" s="382"/>
      <c r="E972" s="382"/>
      <c r="F972" s="382"/>
      <c r="G972" s="382"/>
      <c r="H972" s="382"/>
      <c r="I972" s="382"/>
      <c r="J972" s="382"/>
      <c r="K972" s="382"/>
      <c r="L972" s="382"/>
      <c r="M972" s="382"/>
      <c r="N972" s="382"/>
      <c r="O972" s="382"/>
      <c r="P972" s="382"/>
      <c r="Q972" s="382"/>
      <c r="R972" s="382"/>
      <c r="S972" s="382"/>
      <c r="T972" s="382"/>
      <c r="U972" s="382"/>
      <c r="V972" s="383"/>
      <c r="W972" s="383"/>
      <c r="X972" s="383"/>
      <c r="Y972" s="383"/>
    </row>
    <row r="973">
      <c r="A973" s="382"/>
      <c r="B973" s="382"/>
      <c r="C973" s="382"/>
      <c r="D973" s="382"/>
      <c r="E973" s="382"/>
      <c r="F973" s="382"/>
      <c r="G973" s="382"/>
      <c r="H973" s="382"/>
      <c r="I973" s="382"/>
      <c r="J973" s="382"/>
      <c r="K973" s="382"/>
      <c r="L973" s="382"/>
      <c r="M973" s="382"/>
      <c r="N973" s="382"/>
      <c r="O973" s="382"/>
      <c r="P973" s="382"/>
      <c r="Q973" s="382"/>
      <c r="R973" s="382"/>
      <c r="S973" s="382"/>
      <c r="T973" s="382"/>
      <c r="U973" s="382"/>
      <c r="V973" s="383"/>
      <c r="W973" s="383"/>
      <c r="X973" s="383"/>
      <c r="Y973" s="383"/>
    </row>
    <row r="974">
      <c r="A974" s="382"/>
      <c r="B974" s="382"/>
      <c r="C974" s="382"/>
      <c r="D974" s="382"/>
      <c r="E974" s="382"/>
      <c r="F974" s="382"/>
      <c r="G974" s="382"/>
      <c r="H974" s="382"/>
      <c r="I974" s="382"/>
      <c r="J974" s="382"/>
      <c r="K974" s="382"/>
      <c r="L974" s="382"/>
      <c r="M974" s="382"/>
      <c r="N974" s="382"/>
      <c r="O974" s="382"/>
      <c r="P974" s="382"/>
      <c r="Q974" s="382"/>
      <c r="R974" s="382"/>
      <c r="S974" s="382"/>
      <c r="T974" s="382"/>
      <c r="U974" s="382"/>
      <c r="V974" s="383"/>
      <c r="W974" s="383"/>
      <c r="X974" s="383"/>
      <c r="Y974" s="383"/>
    </row>
    <row r="975">
      <c r="A975" s="382"/>
      <c r="B975" s="382"/>
      <c r="C975" s="382"/>
      <c r="D975" s="382"/>
      <c r="E975" s="382"/>
      <c r="F975" s="382"/>
      <c r="G975" s="382"/>
      <c r="H975" s="382"/>
      <c r="I975" s="382"/>
      <c r="J975" s="382"/>
      <c r="K975" s="382"/>
      <c r="L975" s="382"/>
      <c r="M975" s="382"/>
      <c r="N975" s="382"/>
      <c r="O975" s="382"/>
      <c r="P975" s="382"/>
      <c r="Q975" s="382"/>
      <c r="R975" s="382"/>
      <c r="S975" s="382"/>
      <c r="T975" s="382"/>
      <c r="U975" s="382"/>
      <c r="V975" s="383"/>
      <c r="W975" s="383"/>
      <c r="X975" s="383"/>
      <c r="Y975" s="383"/>
    </row>
    <row r="976">
      <c r="A976" s="382"/>
      <c r="B976" s="382"/>
      <c r="C976" s="382"/>
      <c r="D976" s="382"/>
      <c r="E976" s="382"/>
      <c r="F976" s="382"/>
      <c r="G976" s="382"/>
      <c r="H976" s="382"/>
      <c r="I976" s="382"/>
      <c r="J976" s="382"/>
      <c r="K976" s="382"/>
      <c r="L976" s="382"/>
      <c r="M976" s="382"/>
      <c r="N976" s="382"/>
      <c r="O976" s="382"/>
      <c r="P976" s="382"/>
      <c r="Q976" s="382"/>
      <c r="R976" s="382"/>
      <c r="S976" s="382"/>
      <c r="T976" s="382"/>
      <c r="U976" s="382"/>
      <c r="V976" s="383"/>
      <c r="W976" s="383"/>
      <c r="X976" s="383"/>
      <c r="Y976" s="383"/>
    </row>
    <row r="977">
      <c r="A977" s="382"/>
      <c r="B977" s="382"/>
      <c r="C977" s="382"/>
      <c r="D977" s="382"/>
      <c r="E977" s="382"/>
      <c r="F977" s="382"/>
      <c r="G977" s="382"/>
      <c r="H977" s="382"/>
      <c r="I977" s="382"/>
      <c r="J977" s="382"/>
      <c r="K977" s="382"/>
      <c r="L977" s="382"/>
      <c r="M977" s="382"/>
      <c r="N977" s="382"/>
      <c r="O977" s="382"/>
      <c r="P977" s="382"/>
      <c r="Q977" s="382"/>
      <c r="R977" s="382"/>
      <c r="S977" s="382"/>
      <c r="T977" s="382"/>
      <c r="U977" s="382"/>
      <c r="V977" s="383"/>
      <c r="W977" s="383"/>
      <c r="X977" s="383"/>
      <c r="Y977" s="383"/>
    </row>
    <row r="978">
      <c r="A978" s="382"/>
      <c r="B978" s="382"/>
      <c r="C978" s="382"/>
      <c r="D978" s="382"/>
      <c r="E978" s="382"/>
      <c r="F978" s="382"/>
      <c r="G978" s="382"/>
      <c r="H978" s="382"/>
      <c r="I978" s="382"/>
      <c r="J978" s="382"/>
      <c r="K978" s="382"/>
      <c r="L978" s="382"/>
      <c r="M978" s="382"/>
      <c r="N978" s="382"/>
      <c r="O978" s="382"/>
      <c r="P978" s="382"/>
      <c r="Q978" s="382"/>
      <c r="R978" s="382"/>
      <c r="S978" s="382"/>
      <c r="T978" s="382"/>
      <c r="U978" s="382"/>
      <c r="V978" s="383"/>
      <c r="W978" s="383"/>
      <c r="X978" s="383"/>
      <c r="Y978" s="383"/>
    </row>
    <row r="979">
      <c r="A979" s="382"/>
      <c r="B979" s="382"/>
      <c r="C979" s="382"/>
      <c r="D979" s="382"/>
      <c r="E979" s="382"/>
      <c r="F979" s="382"/>
      <c r="G979" s="382"/>
      <c r="H979" s="382"/>
      <c r="I979" s="382"/>
      <c r="J979" s="382"/>
      <c r="K979" s="382"/>
      <c r="L979" s="382"/>
      <c r="M979" s="382"/>
      <c r="N979" s="382"/>
      <c r="O979" s="382"/>
      <c r="P979" s="382"/>
      <c r="Q979" s="382"/>
      <c r="R979" s="382"/>
      <c r="S979" s="382"/>
      <c r="T979" s="382"/>
      <c r="U979" s="382"/>
      <c r="V979" s="383"/>
      <c r="W979" s="383"/>
      <c r="X979" s="383"/>
      <c r="Y979" s="383"/>
    </row>
    <row r="980">
      <c r="A980" s="382"/>
      <c r="B980" s="382"/>
      <c r="C980" s="382"/>
      <c r="D980" s="382"/>
      <c r="E980" s="382"/>
      <c r="F980" s="382"/>
      <c r="G980" s="382"/>
      <c r="H980" s="382"/>
      <c r="I980" s="382"/>
      <c r="J980" s="382"/>
      <c r="K980" s="382"/>
      <c r="L980" s="382"/>
      <c r="M980" s="382"/>
      <c r="N980" s="382"/>
      <c r="O980" s="382"/>
      <c r="P980" s="382"/>
      <c r="Q980" s="382"/>
      <c r="R980" s="382"/>
      <c r="S980" s="382"/>
      <c r="T980" s="382"/>
      <c r="U980" s="382"/>
      <c r="V980" s="383"/>
      <c r="W980" s="383"/>
      <c r="X980" s="383"/>
      <c r="Y980" s="383"/>
    </row>
    <row r="981">
      <c r="A981" s="382"/>
      <c r="B981" s="382"/>
      <c r="C981" s="382"/>
      <c r="D981" s="382"/>
      <c r="E981" s="382"/>
      <c r="F981" s="382"/>
      <c r="G981" s="382"/>
      <c r="H981" s="382"/>
      <c r="I981" s="382"/>
      <c r="J981" s="382"/>
      <c r="K981" s="382"/>
      <c r="L981" s="382"/>
      <c r="M981" s="382"/>
      <c r="N981" s="382"/>
      <c r="O981" s="382"/>
      <c r="P981" s="382"/>
      <c r="Q981" s="382"/>
      <c r="R981" s="382"/>
      <c r="S981" s="382"/>
      <c r="T981" s="382"/>
      <c r="U981" s="382"/>
      <c r="V981" s="383"/>
      <c r="W981" s="383"/>
      <c r="X981" s="383"/>
      <c r="Y981" s="383"/>
    </row>
    <row r="982">
      <c r="A982" s="382"/>
      <c r="B982" s="382"/>
      <c r="C982" s="382"/>
      <c r="D982" s="382"/>
      <c r="E982" s="382"/>
      <c r="F982" s="382"/>
      <c r="G982" s="382"/>
      <c r="H982" s="382"/>
      <c r="I982" s="382"/>
      <c r="J982" s="382"/>
      <c r="K982" s="382"/>
      <c r="L982" s="382"/>
      <c r="M982" s="382"/>
      <c r="N982" s="382"/>
      <c r="O982" s="382"/>
      <c r="P982" s="382"/>
      <c r="Q982" s="382"/>
      <c r="R982" s="382"/>
      <c r="S982" s="382"/>
      <c r="T982" s="382"/>
      <c r="U982" s="382"/>
      <c r="V982" s="383"/>
      <c r="W982" s="383"/>
      <c r="X982" s="383"/>
      <c r="Y982" s="383"/>
    </row>
    <row r="983">
      <c r="A983" s="382"/>
      <c r="B983" s="382"/>
      <c r="C983" s="382"/>
      <c r="D983" s="382"/>
      <c r="E983" s="382"/>
      <c r="F983" s="382"/>
      <c r="G983" s="382"/>
      <c r="H983" s="382"/>
      <c r="I983" s="382"/>
      <c r="J983" s="382"/>
      <c r="K983" s="382"/>
      <c r="L983" s="382"/>
      <c r="M983" s="382"/>
      <c r="N983" s="382"/>
      <c r="O983" s="382"/>
      <c r="P983" s="382"/>
      <c r="Q983" s="382"/>
      <c r="R983" s="382"/>
      <c r="S983" s="382"/>
      <c r="T983" s="382"/>
      <c r="U983" s="382"/>
      <c r="V983" s="383"/>
      <c r="W983" s="383"/>
      <c r="X983" s="383"/>
      <c r="Y983" s="383"/>
    </row>
    <row r="984">
      <c r="A984" s="382"/>
      <c r="B984" s="382"/>
      <c r="C984" s="382"/>
      <c r="D984" s="382"/>
      <c r="E984" s="382"/>
      <c r="F984" s="382"/>
      <c r="G984" s="382"/>
      <c r="H984" s="382"/>
      <c r="I984" s="382"/>
      <c r="J984" s="382"/>
      <c r="K984" s="382"/>
      <c r="L984" s="382"/>
      <c r="M984" s="382"/>
      <c r="N984" s="382"/>
      <c r="O984" s="382"/>
      <c r="P984" s="382"/>
      <c r="Q984" s="382"/>
      <c r="R984" s="382"/>
      <c r="S984" s="382"/>
      <c r="T984" s="382"/>
      <c r="U984" s="382"/>
      <c r="V984" s="383"/>
      <c r="W984" s="383"/>
      <c r="X984" s="383"/>
      <c r="Y984" s="383"/>
    </row>
    <row r="985">
      <c r="A985" s="382"/>
      <c r="B985" s="382"/>
      <c r="C985" s="382"/>
      <c r="D985" s="382"/>
      <c r="E985" s="382"/>
      <c r="F985" s="382"/>
      <c r="G985" s="382"/>
      <c r="H985" s="382"/>
      <c r="I985" s="382"/>
      <c r="J985" s="382"/>
      <c r="K985" s="382"/>
      <c r="L985" s="382"/>
      <c r="M985" s="382"/>
      <c r="N985" s="382"/>
      <c r="O985" s="382"/>
      <c r="P985" s="382"/>
      <c r="Q985" s="382"/>
      <c r="R985" s="382"/>
      <c r="S985" s="382"/>
      <c r="T985" s="382"/>
      <c r="U985" s="382"/>
      <c r="V985" s="383"/>
      <c r="W985" s="383"/>
      <c r="X985" s="383"/>
      <c r="Y985" s="383"/>
    </row>
    <row r="986">
      <c r="A986" s="382"/>
      <c r="B986" s="382"/>
      <c r="C986" s="382"/>
      <c r="D986" s="382"/>
      <c r="E986" s="382"/>
      <c r="F986" s="382"/>
      <c r="G986" s="382"/>
      <c r="H986" s="382"/>
      <c r="I986" s="382"/>
      <c r="J986" s="382"/>
      <c r="K986" s="382"/>
      <c r="L986" s="382"/>
      <c r="M986" s="382"/>
      <c r="N986" s="382"/>
      <c r="O986" s="382"/>
      <c r="P986" s="382"/>
      <c r="Q986" s="382"/>
      <c r="R986" s="382"/>
      <c r="S986" s="382"/>
      <c r="T986" s="382"/>
      <c r="U986" s="382"/>
      <c r="V986" s="383"/>
      <c r="W986" s="383"/>
      <c r="X986" s="383"/>
      <c r="Y986" s="383"/>
    </row>
    <row r="987">
      <c r="A987" s="382"/>
      <c r="B987" s="382"/>
      <c r="C987" s="382"/>
      <c r="D987" s="382"/>
      <c r="E987" s="382"/>
      <c r="F987" s="382"/>
      <c r="G987" s="382"/>
      <c r="H987" s="382"/>
      <c r="I987" s="382"/>
      <c r="J987" s="382"/>
      <c r="K987" s="382"/>
      <c r="L987" s="382"/>
      <c r="M987" s="382"/>
      <c r="N987" s="382"/>
      <c r="O987" s="382"/>
      <c r="P987" s="382"/>
      <c r="Q987" s="382"/>
      <c r="R987" s="382"/>
      <c r="S987" s="382"/>
      <c r="T987" s="382"/>
      <c r="U987" s="382"/>
      <c r="V987" s="383"/>
      <c r="W987" s="383"/>
      <c r="X987" s="383"/>
      <c r="Y987" s="383"/>
    </row>
    <row r="988">
      <c r="A988" s="382"/>
      <c r="B988" s="382"/>
      <c r="C988" s="382"/>
      <c r="D988" s="382"/>
      <c r="E988" s="382"/>
      <c r="F988" s="382"/>
      <c r="G988" s="382"/>
      <c r="H988" s="382"/>
      <c r="I988" s="382"/>
      <c r="J988" s="382"/>
      <c r="K988" s="382"/>
      <c r="L988" s="382"/>
      <c r="M988" s="382"/>
      <c r="N988" s="382"/>
      <c r="O988" s="382"/>
      <c r="P988" s="382"/>
      <c r="Q988" s="382"/>
      <c r="R988" s="382"/>
      <c r="S988" s="382"/>
      <c r="T988" s="382"/>
      <c r="U988" s="382"/>
      <c r="V988" s="383"/>
      <c r="W988" s="383"/>
      <c r="X988" s="383"/>
      <c r="Y988" s="383"/>
    </row>
    <row r="989">
      <c r="A989" s="382"/>
      <c r="B989" s="382"/>
      <c r="C989" s="382"/>
      <c r="D989" s="382"/>
      <c r="E989" s="382"/>
      <c r="F989" s="382"/>
      <c r="G989" s="382"/>
      <c r="H989" s="382"/>
      <c r="I989" s="382"/>
      <c r="J989" s="382"/>
      <c r="K989" s="382"/>
      <c r="L989" s="382"/>
      <c r="M989" s="382"/>
      <c r="N989" s="382"/>
      <c r="O989" s="382"/>
      <c r="P989" s="382"/>
      <c r="Q989" s="382"/>
      <c r="R989" s="382"/>
      <c r="S989" s="382"/>
      <c r="T989" s="382"/>
      <c r="U989" s="382"/>
      <c r="V989" s="383"/>
      <c r="W989" s="383"/>
      <c r="X989" s="383"/>
      <c r="Y989" s="383"/>
    </row>
    <row r="990">
      <c r="A990" s="382"/>
      <c r="B990" s="382"/>
      <c r="C990" s="382"/>
      <c r="D990" s="382"/>
      <c r="E990" s="382"/>
      <c r="F990" s="382"/>
      <c r="G990" s="382"/>
      <c r="H990" s="382"/>
      <c r="I990" s="382"/>
      <c r="J990" s="382"/>
      <c r="K990" s="382"/>
      <c r="L990" s="382"/>
      <c r="M990" s="382"/>
      <c r="N990" s="382"/>
      <c r="O990" s="382"/>
      <c r="P990" s="382"/>
      <c r="Q990" s="382"/>
      <c r="R990" s="382"/>
      <c r="S990" s="382"/>
      <c r="T990" s="382"/>
      <c r="U990" s="382"/>
      <c r="V990" s="383"/>
      <c r="W990" s="383"/>
      <c r="X990" s="383"/>
      <c r="Y990" s="383"/>
    </row>
    <row r="991">
      <c r="A991" s="382"/>
      <c r="B991" s="382"/>
      <c r="C991" s="382"/>
      <c r="D991" s="382"/>
      <c r="E991" s="382"/>
      <c r="F991" s="382"/>
      <c r="G991" s="382"/>
      <c r="H991" s="382"/>
      <c r="I991" s="382"/>
      <c r="J991" s="382"/>
      <c r="K991" s="382"/>
      <c r="L991" s="382"/>
      <c r="M991" s="382"/>
      <c r="N991" s="382"/>
      <c r="O991" s="382"/>
      <c r="P991" s="382"/>
      <c r="Q991" s="382"/>
      <c r="R991" s="382"/>
      <c r="S991" s="382"/>
      <c r="T991" s="382"/>
      <c r="U991" s="382"/>
      <c r="V991" s="383"/>
      <c r="W991" s="383"/>
      <c r="X991" s="383"/>
      <c r="Y991" s="383"/>
    </row>
    <row r="992">
      <c r="A992" s="382"/>
      <c r="B992" s="382"/>
      <c r="C992" s="382"/>
      <c r="D992" s="382"/>
      <c r="E992" s="382"/>
      <c r="F992" s="382"/>
      <c r="G992" s="382"/>
      <c r="H992" s="382"/>
      <c r="I992" s="382"/>
      <c r="J992" s="382"/>
      <c r="K992" s="382"/>
      <c r="L992" s="382"/>
      <c r="M992" s="382"/>
      <c r="N992" s="382"/>
      <c r="O992" s="382"/>
      <c r="P992" s="382"/>
      <c r="Q992" s="382"/>
      <c r="R992" s="382"/>
      <c r="S992" s="382"/>
      <c r="T992" s="382"/>
      <c r="U992" s="382"/>
      <c r="V992" s="383"/>
      <c r="W992" s="383"/>
      <c r="X992" s="383"/>
      <c r="Y992" s="383"/>
    </row>
    <row r="993">
      <c r="A993" s="382"/>
      <c r="B993" s="382"/>
      <c r="C993" s="382"/>
      <c r="D993" s="382"/>
      <c r="E993" s="382"/>
      <c r="F993" s="382"/>
      <c r="G993" s="382"/>
      <c r="H993" s="382"/>
      <c r="I993" s="382"/>
      <c r="J993" s="382"/>
      <c r="K993" s="382"/>
      <c r="L993" s="382"/>
      <c r="M993" s="382"/>
      <c r="N993" s="382"/>
      <c r="O993" s="382"/>
      <c r="P993" s="382"/>
      <c r="Q993" s="382"/>
      <c r="R993" s="382"/>
      <c r="S993" s="382"/>
      <c r="T993" s="382"/>
      <c r="U993" s="382"/>
      <c r="V993" s="383"/>
      <c r="W993" s="383"/>
      <c r="X993" s="383"/>
      <c r="Y993" s="383"/>
    </row>
    <row r="994">
      <c r="A994" s="382"/>
      <c r="B994" s="382"/>
      <c r="C994" s="382"/>
      <c r="D994" s="382"/>
      <c r="E994" s="382"/>
      <c r="F994" s="382"/>
      <c r="G994" s="382"/>
      <c r="H994" s="382"/>
      <c r="I994" s="382"/>
      <c r="J994" s="382"/>
      <c r="K994" s="382"/>
      <c r="L994" s="382"/>
      <c r="M994" s="382"/>
      <c r="N994" s="382"/>
      <c r="O994" s="382"/>
      <c r="P994" s="382"/>
      <c r="Q994" s="382"/>
      <c r="R994" s="382"/>
      <c r="S994" s="382"/>
      <c r="T994" s="382"/>
      <c r="U994" s="382"/>
      <c r="V994" s="383"/>
      <c r="W994" s="383"/>
      <c r="X994" s="383"/>
      <c r="Y994" s="383"/>
    </row>
    <row r="995">
      <c r="A995" s="382"/>
      <c r="B995" s="382"/>
      <c r="C995" s="382"/>
      <c r="D995" s="382"/>
      <c r="E995" s="382"/>
      <c r="F995" s="382"/>
      <c r="G995" s="382"/>
      <c r="H995" s="382"/>
      <c r="I995" s="382"/>
      <c r="J995" s="382"/>
      <c r="K995" s="382"/>
      <c r="L995" s="382"/>
      <c r="M995" s="382"/>
      <c r="N995" s="382"/>
      <c r="O995" s="382"/>
      <c r="P995" s="382"/>
      <c r="Q995" s="382"/>
      <c r="R995" s="382"/>
      <c r="S995" s="382"/>
      <c r="T995" s="382"/>
      <c r="U995" s="382"/>
      <c r="V995" s="383"/>
      <c r="W995" s="383"/>
      <c r="X995" s="383"/>
      <c r="Y995" s="383"/>
    </row>
    <row r="996">
      <c r="A996" s="382"/>
      <c r="B996" s="382"/>
      <c r="C996" s="382"/>
      <c r="D996" s="382"/>
      <c r="E996" s="382"/>
      <c r="F996" s="382"/>
      <c r="G996" s="382"/>
      <c r="H996" s="382"/>
      <c r="I996" s="382"/>
      <c r="J996" s="382"/>
      <c r="K996" s="382"/>
      <c r="L996" s="382"/>
      <c r="M996" s="382"/>
      <c r="N996" s="382"/>
      <c r="O996" s="382"/>
      <c r="P996" s="382"/>
      <c r="Q996" s="382"/>
      <c r="R996" s="382"/>
      <c r="S996" s="382"/>
      <c r="T996" s="382"/>
      <c r="U996" s="382"/>
      <c r="V996" s="383"/>
      <c r="W996" s="383"/>
      <c r="X996" s="383"/>
      <c r="Y996" s="383"/>
    </row>
    <row r="997">
      <c r="A997" s="382"/>
      <c r="B997" s="382"/>
      <c r="C997" s="382"/>
      <c r="D997" s="382"/>
      <c r="E997" s="382"/>
      <c r="F997" s="382"/>
      <c r="G997" s="382"/>
      <c r="H997" s="382"/>
      <c r="I997" s="382"/>
      <c r="J997" s="382"/>
      <c r="K997" s="382"/>
      <c r="L997" s="382"/>
      <c r="M997" s="382"/>
      <c r="N997" s="382"/>
      <c r="O997" s="382"/>
      <c r="P997" s="382"/>
      <c r="Q997" s="382"/>
      <c r="R997" s="382"/>
      <c r="S997" s="382"/>
      <c r="T997" s="382"/>
      <c r="U997" s="382"/>
      <c r="V997" s="383"/>
      <c r="W997" s="383"/>
      <c r="X997" s="383"/>
      <c r="Y997" s="383"/>
    </row>
    <row r="998">
      <c r="A998" s="382"/>
      <c r="B998" s="382"/>
      <c r="C998" s="382"/>
      <c r="D998" s="382"/>
      <c r="E998" s="382"/>
      <c r="F998" s="382"/>
      <c r="G998" s="382"/>
      <c r="H998" s="382"/>
      <c r="I998" s="382"/>
      <c r="J998" s="382"/>
      <c r="K998" s="382"/>
      <c r="L998" s="382"/>
      <c r="M998" s="382"/>
      <c r="N998" s="382"/>
      <c r="O998" s="382"/>
      <c r="P998" s="382"/>
      <c r="Q998" s="382"/>
      <c r="R998" s="382"/>
      <c r="S998" s="382"/>
      <c r="T998" s="382"/>
      <c r="U998" s="382"/>
      <c r="V998" s="383"/>
      <c r="W998" s="383"/>
      <c r="X998" s="383"/>
      <c r="Y998" s="383"/>
    </row>
    <row r="999">
      <c r="A999" s="382"/>
      <c r="B999" s="382"/>
      <c r="C999" s="382"/>
      <c r="D999" s="382"/>
      <c r="E999" s="382"/>
      <c r="F999" s="382"/>
      <c r="G999" s="382"/>
      <c r="H999" s="382"/>
      <c r="I999" s="382"/>
      <c r="J999" s="382"/>
      <c r="K999" s="382"/>
      <c r="L999" s="382"/>
      <c r="M999" s="382"/>
      <c r="N999" s="382"/>
      <c r="O999" s="382"/>
      <c r="P999" s="382"/>
      <c r="Q999" s="382"/>
      <c r="R999" s="382"/>
      <c r="S999" s="382"/>
      <c r="T999" s="382"/>
      <c r="U999" s="382"/>
      <c r="V999" s="383"/>
      <c r="W999" s="383"/>
      <c r="X999" s="383"/>
      <c r="Y999" s="383"/>
    </row>
    <row r="1000">
      <c r="A1000" s="382"/>
      <c r="B1000" s="382"/>
      <c r="C1000" s="382"/>
      <c r="D1000" s="382"/>
      <c r="E1000" s="382"/>
      <c r="F1000" s="382"/>
      <c r="G1000" s="382"/>
      <c r="H1000" s="382"/>
      <c r="I1000" s="382"/>
      <c r="J1000" s="382"/>
      <c r="K1000" s="382"/>
      <c r="L1000" s="382"/>
      <c r="M1000" s="382"/>
      <c r="N1000" s="382"/>
      <c r="O1000" s="382"/>
      <c r="P1000" s="382"/>
      <c r="Q1000" s="382"/>
      <c r="R1000" s="382"/>
      <c r="S1000" s="382"/>
      <c r="T1000" s="382"/>
      <c r="U1000" s="382"/>
      <c r="V1000" s="383"/>
      <c r="W1000" s="383"/>
      <c r="X1000" s="383"/>
      <c r="Y1000" s="383"/>
    </row>
    <row r="1001">
      <c r="A1001" s="382"/>
      <c r="B1001" s="382"/>
      <c r="C1001" s="382"/>
      <c r="D1001" s="382"/>
      <c r="E1001" s="382"/>
      <c r="F1001" s="382"/>
      <c r="G1001" s="382"/>
      <c r="H1001" s="382"/>
      <c r="I1001" s="382"/>
      <c r="J1001" s="382"/>
      <c r="K1001" s="382"/>
      <c r="L1001" s="382"/>
      <c r="M1001" s="382"/>
      <c r="N1001" s="382"/>
      <c r="O1001" s="382"/>
      <c r="P1001" s="382"/>
      <c r="Q1001" s="382"/>
      <c r="R1001" s="382"/>
      <c r="S1001" s="382"/>
      <c r="T1001" s="382"/>
      <c r="U1001" s="382"/>
      <c r="V1001" s="383"/>
      <c r="W1001" s="383"/>
      <c r="X1001" s="383"/>
      <c r="Y1001" s="383"/>
    </row>
    <row r="1002">
      <c r="A1002" s="382"/>
      <c r="B1002" s="382"/>
      <c r="C1002" s="382"/>
      <c r="D1002" s="382"/>
      <c r="E1002" s="382"/>
      <c r="F1002" s="382"/>
      <c r="G1002" s="382"/>
      <c r="H1002" s="382"/>
      <c r="I1002" s="382"/>
      <c r="J1002" s="382"/>
      <c r="K1002" s="382"/>
      <c r="L1002" s="382"/>
      <c r="M1002" s="382"/>
      <c r="N1002" s="382"/>
      <c r="O1002" s="382"/>
      <c r="P1002" s="382"/>
      <c r="Q1002" s="382"/>
      <c r="R1002" s="382"/>
      <c r="S1002" s="382"/>
      <c r="T1002" s="382"/>
      <c r="U1002" s="382"/>
      <c r="V1002" s="383"/>
      <c r="W1002" s="383"/>
      <c r="X1002" s="383"/>
      <c r="Y1002" s="383"/>
    </row>
    <row r="1003">
      <c r="A1003" s="382"/>
      <c r="B1003" s="382"/>
      <c r="C1003" s="382"/>
      <c r="D1003" s="382"/>
      <c r="E1003" s="382"/>
      <c r="F1003" s="382"/>
      <c r="G1003" s="382"/>
      <c r="H1003" s="382"/>
      <c r="I1003" s="382"/>
      <c r="J1003" s="382"/>
      <c r="K1003" s="382"/>
      <c r="L1003" s="382"/>
      <c r="M1003" s="382"/>
      <c r="N1003" s="382"/>
      <c r="O1003" s="382"/>
      <c r="P1003" s="382"/>
      <c r="Q1003" s="382"/>
      <c r="R1003" s="382"/>
      <c r="S1003" s="382"/>
      <c r="T1003" s="382"/>
      <c r="U1003" s="382"/>
      <c r="V1003" s="383"/>
      <c r="W1003" s="383"/>
      <c r="X1003" s="383"/>
      <c r="Y1003" s="383"/>
    </row>
    <row r="1004">
      <c r="A1004" s="382"/>
      <c r="B1004" s="382"/>
      <c r="C1004" s="382"/>
      <c r="D1004" s="382"/>
      <c r="E1004" s="382"/>
      <c r="F1004" s="382"/>
      <c r="G1004" s="382"/>
      <c r="H1004" s="382"/>
      <c r="I1004" s="382"/>
      <c r="J1004" s="382"/>
      <c r="K1004" s="382"/>
      <c r="L1004" s="382"/>
      <c r="M1004" s="382"/>
      <c r="N1004" s="382"/>
      <c r="O1004" s="382"/>
      <c r="P1004" s="382"/>
      <c r="Q1004" s="382"/>
      <c r="R1004" s="382"/>
      <c r="S1004" s="382"/>
      <c r="T1004" s="382"/>
      <c r="U1004" s="382"/>
      <c r="V1004" s="383"/>
      <c r="W1004" s="383"/>
      <c r="X1004" s="383"/>
      <c r="Y1004" s="383"/>
    </row>
    <row r="1005">
      <c r="A1005" s="382"/>
      <c r="B1005" s="382"/>
      <c r="C1005" s="382"/>
      <c r="D1005" s="382"/>
      <c r="E1005" s="382"/>
      <c r="F1005" s="382"/>
      <c r="G1005" s="382"/>
      <c r="H1005" s="382"/>
      <c r="I1005" s="382"/>
      <c r="J1005" s="382"/>
      <c r="K1005" s="382"/>
      <c r="L1005" s="382"/>
      <c r="M1005" s="382"/>
      <c r="N1005" s="382"/>
      <c r="O1005" s="382"/>
      <c r="P1005" s="382"/>
      <c r="Q1005" s="382"/>
      <c r="R1005" s="382"/>
      <c r="S1005" s="382"/>
      <c r="T1005" s="382"/>
      <c r="U1005" s="382"/>
      <c r="V1005" s="383"/>
      <c r="W1005" s="383"/>
      <c r="X1005" s="383"/>
      <c r="Y1005" s="383"/>
    </row>
    <row r="1006">
      <c r="A1006" s="382"/>
      <c r="B1006" s="382"/>
      <c r="C1006" s="382"/>
      <c r="D1006" s="382"/>
      <c r="E1006" s="382"/>
      <c r="F1006" s="382"/>
      <c r="G1006" s="382"/>
      <c r="H1006" s="382"/>
      <c r="I1006" s="382"/>
      <c r="J1006" s="382"/>
      <c r="K1006" s="382"/>
      <c r="L1006" s="382"/>
      <c r="M1006" s="382"/>
      <c r="N1006" s="382"/>
      <c r="O1006" s="382"/>
      <c r="P1006" s="382"/>
      <c r="Q1006" s="382"/>
      <c r="R1006" s="382"/>
      <c r="S1006" s="382"/>
      <c r="T1006" s="382"/>
      <c r="U1006" s="382"/>
      <c r="V1006" s="383"/>
      <c r="W1006" s="383"/>
      <c r="X1006" s="383"/>
      <c r="Y1006" s="383"/>
    </row>
    <row r="1007">
      <c r="A1007" s="382"/>
      <c r="B1007" s="382"/>
      <c r="C1007" s="382"/>
      <c r="D1007" s="382"/>
      <c r="E1007" s="382"/>
      <c r="F1007" s="382"/>
      <c r="G1007" s="382"/>
      <c r="H1007" s="382"/>
      <c r="I1007" s="382"/>
      <c r="J1007" s="382"/>
      <c r="K1007" s="382"/>
      <c r="L1007" s="382"/>
      <c r="M1007" s="382"/>
      <c r="N1007" s="382"/>
      <c r="O1007" s="382"/>
      <c r="P1007" s="382"/>
      <c r="Q1007" s="382"/>
      <c r="R1007" s="382"/>
      <c r="S1007" s="382"/>
      <c r="T1007" s="382"/>
      <c r="U1007" s="382"/>
      <c r="V1007" s="383"/>
      <c r="W1007" s="383"/>
      <c r="X1007" s="383"/>
      <c r="Y1007" s="383"/>
    </row>
    <row r="1008">
      <c r="A1008" s="382"/>
      <c r="B1008" s="382"/>
      <c r="C1008" s="382"/>
      <c r="D1008" s="382"/>
      <c r="E1008" s="382"/>
      <c r="F1008" s="382"/>
      <c r="G1008" s="382"/>
      <c r="H1008" s="382"/>
      <c r="I1008" s="382"/>
      <c r="J1008" s="382"/>
      <c r="K1008" s="382"/>
      <c r="L1008" s="382"/>
      <c r="M1008" s="382"/>
      <c r="N1008" s="382"/>
      <c r="O1008" s="382"/>
      <c r="P1008" s="382"/>
      <c r="Q1008" s="382"/>
      <c r="R1008" s="382"/>
      <c r="S1008" s="382"/>
      <c r="T1008" s="382"/>
      <c r="U1008" s="382"/>
      <c r="V1008" s="383"/>
      <c r="W1008" s="383"/>
      <c r="X1008" s="383"/>
      <c r="Y1008" s="383"/>
    </row>
    <row r="1009">
      <c r="A1009" s="382"/>
      <c r="B1009" s="382"/>
      <c r="C1009" s="382"/>
      <c r="D1009" s="382"/>
      <c r="E1009" s="382"/>
      <c r="F1009" s="382"/>
      <c r="G1009" s="382"/>
      <c r="H1009" s="382"/>
      <c r="I1009" s="382"/>
      <c r="J1009" s="382"/>
      <c r="K1009" s="382"/>
      <c r="L1009" s="382"/>
      <c r="M1009" s="382"/>
      <c r="N1009" s="382"/>
      <c r="O1009" s="382"/>
      <c r="P1009" s="382"/>
      <c r="Q1009" s="382"/>
      <c r="R1009" s="382"/>
      <c r="S1009" s="382"/>
      <c r="T1009" s="382"/>
      <c r="U1009" s="382"/>
      <c r="V1009" s="383"/>
      <c r="W1009" s="383"/>
      <c r="X1009" s="383"/>
      <c r="Y1009" s="383"/>
    </row>
    <row r="1010">
      <c r="A1010" s="382"/>
      <c r="B1010" s="382"/>
      <c r="C1010" s="382"/>
      <c r="D1010" s="382"/>
      <c r="E1010" s="382"/>
      <c r="F1010" s="382"/>
      <c r="G1010" s="382"/>
      <c r="H1010" s="382"/>
      <c r="I1010" s="382"/>
      <c r="J1010" s="382"/>
      <c r="K1010" s="382"/>
      <c r="L1010" s="382"/>
      <c r="M1010" s="382"/>
      <c r="N1010" s="382"/>
      <c r="O1010" s="382"/>
      <c r="P1010" s="382"/>
      <c r="Q1010" s="382"/>
      <c r="R1010" s="382"/>
      <c r="S1010" s="382"/>
      <c r="T1010" s="382"/>
      <c r="U1010" s="382"/>
      <c r="V1010" s="383"/>
      <c r="W1010" s="383"/>
      <c r="X1010" s="383"/>
      <c r="Y1010" s="383"/>
    </row>
    <row r="1011">
      <c r="A1011" s="382"/>
      <c r="B1011" s="382"/>
      <c r="C1011" s="382"/>
      <c r="D1011" s="382"/>
      <c r="E1011" s="382"/>
      <c r="F1011" s="382"/>
      <c r="G1011" s="382"/>
      <c r="H1011" s="382"/>
      <c r="I1011" s="382"/>
      <c r="J1011" s="382"/>
      <c r="K1011" s="382"/>
      <c r="L1011" s="382"/>
      <c r="M1011" s="382"/>
      <c r="N1011" s="382"/>
      <c r="O1011" s="382"/>
      <c r="P1011" s="382"/>
      <c r="Q1011" s="382"/>
      <c r="R1011" s="382"/>
      <c r="S1011" s="382"/>
      <c r="T1011" s="382"/>
      <c r="U1011" s="382"/>
      <c r="V1011" s="383"/>
      <c r="W1011" s="383"/>
      <c r="X1011" s="383"/>
      <c r="Y1011" s="383"/>
    </row>
    <row r="1012">
      <c r="A1012" s="382"/>
      <c r="B1012" s="382"/>
      <c r="C1012" s="382"/>
      <c r="D1012" s="382"/>
      <c r="E1012" s="382"/>
      <c r="F1012" s="382"/>
      <c r="G1012" s="382"/>
      <c r="H1012" s="382"/>
      <c r="I1012" s="382"/>
      <c r="J1012" s="382"/>
      <c r="K1012" s="382"/>
      <c r="L1012" s="382"/>
      <c r="M1012" s="382"/>
      <c r="N1012" s="382"/>
      <c r="O1012" s="382"/>
      <c r="P1012" s="382"/>
      <c r="Q1012" s="382"/>
      <c r="R1012" s="382"/>
      <c r="S1012" s="382"/>
      <c r="T1012" s="382"/>
      <c r="U1012" s="382"/>
      <c r="V1012" s="383"/>
      <c r="W1012" s="383"/>
      <c r="X1012" s="383"/>
      <c r="Y1012" s="383"/>
    </row>
    <row r="1013">
      <c r="A1013" s="382"/>
      <c r="B1013" s="382"/>
      <c r="C1013" s="382"/>
      <c r="D1013" s="382"/>
      <c r="E1013" s="382"/>
      <c r="F1013" s="382"/>
      <c r="G1013" s="382"/>
      <c r="H1013" s="382"/>
      <c r="I1013" s="382"/>
      <c r="J1013" s="382"/>
      <c r="K1013" s="382"/>
      <c r="L1013" s="382"/>
      <c r="M1013" s="382"/>
      <c r="N1013" s="382"/>
      <c r="O1013" s="382"/>
      <c r="P1013" s="382"/>
      <c r="Q1013" s="382"/>
      <c r="R1013" s="382"/>
      <c r="S1013" s="382"/>
      <c r="T1013" s="382"/>
      <c r="U1013" s="382"/>
      <c r="V1013" s="383"/>
      <c r="W1013" s="383"/>
      <c r="X1013" s="383"/>
      <c r="Y1013" s="383"/>
    </row>
    <row r="1014">
      <c r="A1014" s="382"/>
      <c r="B1014" s="382"/>
      <c r="C1014" s="382"/>
      <c r="D1014" s="382"/>
      <c r="E1014" s="382"/>
      <c r="F1014" s="382"/>
      <c r="G1014" s="382"/>
      <c r="H1014" s="382"/>
      <c r="I1014" s="382"/>
      <c r="J1014" s="382"/>
      <c r="K1014" s="382"/>
      <c r="L1014" s="382"/>
      <c r="M1014" s="382"/>
      <c r="N1014" s="382"/>
      <c r="O1014" s="382"/>
      <c r="P1014" s="382"/>
      <c r="Q1014" s="382"/>
      <c r="R1014" s="382"/>
      <c r="S1014" s="382"/>
      <c r="T1014" s="382"/>
      <c r="U1014" s="382"/>
      <c r="V1014" s="383"/>
      <c r="W1014" s="383"/>
      <c r="X1014" s="383"/>
      <c r="Y1014" s="383"/>
    </row>
    <row r="1015">
      <c r="A1015" s="382"/>
      <c r="B1015" s="382"/>
      <c r="C1015" s="382"/>
      <c r="D1015" s="382"/>
      <c r="E1015" s="382"/>
      <c r="F1015" s="382"/>
      <c r="G1015" s="382"/>
      <c r="H1015" s="382"/>
      <c r="I1015" s="382"/>
      <c r="J1015" s="382"/>
      <c r="K1015" s="382"/>
      <c r="L1015" s="382"/>
      <c r="M1015" s="382"/>
      <c r="N1015" s="382"/>
      <c r="O1015" s="382"/>
      <c r="P1015" s="382"/>
      <c r="Q1015" s="382"/>
      <c r="R1015" s="382"/>
      <c r="S1015" s="382"/>
      <c r="T1015" s="382"/>
      <c r="U1015" s="382"/>
      <c r="V1015" s="383"/>
      <c r="W1015" s="383"/>
      <c r="X1015" s="383"/>
      <c r="Y1015" s="383"/>
    </row>
    <row r="1016">
      <c r="A1016" s="382"/>
      <c r="B1016" s="382"/>
      <c r="C1016" s="382"/>
      <c r="D1016" s="382"/>
      <c r="E1016" s="382"/>
      <c r="F1016" s="382"/>
      <c r="G1016" s="382"/>
      <c r="H1016" s="382"/>
      <c r="I1016" s="382"/>
      <c r="J1016" s="382"/>
      <c r="K1016" s="382"/>
      <c r="L1016" s="382"/>
      <c r="M1016" s="382"/>
      <c r="N1016" s="382"/>
      <c r="O1016" s="382"/>
      <c r="P1016" s="382"/>
      <c r="Q1016" s="382"/>
      <c r="R1016" s="382"/>
      <c r="S1016" s="382"/>
      <c r="T1016" s="382"/>
      <c r="U1016" s="382"/>
      <c r="V1016" s="383"/>
      <c r="W1016" s="383"/>
      <c r="X1016" s="383"/>
      <c r="Y1016" s="383"/>
    </row>
    <row r="1017">
      <c r="A1017" s="382"/>
      <c r="B1017" s="382"/>
      <c r="C1017" s="382"/>
      <c r="D1017" s="382"/>
      <c r="E1017" s="382"/>
      <c r="F1017" s="382"/>
      <c r="G1017" s="382"/>
      <c r="H1017" s="382"/>
      <c r="I1017" s="382"/>
      <c r="J1017" s="382"/>
      <c r="K1017" s="382"/>
      <c r="L1017" s="382"/>
      <c r="M1017" s="382"/>
      <c r="N1017" s="382"/>
      <c r="O1017" s="382"/>
      <c r="P1017" s="382"/>
      <c r="Q1017" s="382"/>
      <c r="R1017" s="382"/>
      <c r="S1017" s="382"/>
      <c r="T1017" s="382"/>
      <c r="U1017" s="382"/>
      <c r="V1017" s="383"/>
      <c r="W1017" s="383"/>
      <c r="X1017" s="383"/>
      <c r="Y1017" s="383"/>
    </row>
    <row r="1018">
      <c r="A1018" s="382"/>
      <c r="B1018" s="382"/>
      <c r="C1018" s="382"/>
      <c r="D1018" s="382"/>
      <c r="E1018" s="382"/>
      <c r="F1018" s="382"/>
      <c r="G1018" s="382"/>
      <c r="H1018" s="382"/>
      <c r="I1018" s="382"/>
      <c r="J1018" s="382"/>
      <c r="K1018" s="382"/>
      <c r="L1018" s="382"/>
      <c r="M1018" s="382"/>
      <c r="N1018" s="382"/>
      <c r="O1018" s="382"/>
      <c r="P1018" s="382"/>
      <c r="Q1018" s="382"/>
      <c r="R1018" s="382"/>
      <c r="S1018" s="382"/>
      <c r="T1018" s="382"/>
      <c r="U1018" s="382"/>
      <c r="V1018" s="383"/>
      <c r="W1018" s="383"/>
      <c r="X1018" s="383"/>
      <c r="Y1018" s="383"/>
    </row>
    <row r="1019">
      <c r="A1019" s="382"/>
      <c r="B1019" s="382"/>
      <c r="C1019" s="382"/>
      <c r="D1019" s="382"/>
      <c r="E1019" s="382"/>
      <c r="F1019" s="382"/>
      <c r="G1019" s="382"/>
      <c r="H1019" s="382"/>
      <c r="I1019" s="382"/>
      <c r="J1019" s="382"/>
      <c r="K1019" s="382"/>
      <c r="L1019" s="382"/>
      <c r="M1019" s="382"/>
      <c r="N1019" s="382"/>
      <c r="O1019" s="382"/>
      <c r="P1019" s="382"/>
      <c r="Q1019" s="382"/>
      <c r="R1019" s="382"/>
      <c r="S1019" s="382"/>
      <c r="T1019" s="382"/>
      <c r="U1019" s="382"/>
      <c r="V1019" s="383"/>
      <c r="W1019" s="383"/>
      <c r="X1019" s="383"/>
      <c r="Y1019" s="383"/>
    </row>
    <row r="1020">
      <c r="A1020" s="382"/>
      <c r="B1020" s="382"/>
      <c r="C1020" s="382"/>
      <c r="D1020" s="382"/>
      <c r="E1020" s="382"/>
      <c r="F1020" s="382"/>
      <c r="G1020" s="382"/>
      <c r="H1020" s="382"/>
      <c r="I1020" s="382"/>
      <c r="J1020" s="382"/>
      <c r="K1020" s="382"/>
      <c r="L1020" s="382"/>
      <c r="M1020" s="382"/>
      <c r="N1020" s="382"/>
      <c r="O1020" s="382"/>
      <c r="P1020" s="382"/>
      <c r="Q1020" s="382"/>
      <c r="R1020" s="382"/>
      <c r="S1020" s="382"/>
      <c r="T1020" s="382"/>
      <c r="U1020" s="382"/>
      <c r="V1020" s="383"/>
      <c r="W1020" s="383"/>
      <c r="X1020" s="383"/>
      <c r="Y1020" s="383"/>
    </row>
    <row r="1021">
      <c r="A1021" s="382"/>
      <c r="B1021" s="382"/>
      <c r="C1021" s="382"/>
      <c r="D1021" s="382"/>
      <c r="E1021" s="382"/>
      <c r="F1021" s="382"/>
      <c r="G1021" s="382"/>
      <c r="H1021" s="382"/>
      <c r="I1021" s="382"/>
      <c r="J1021" s="382"/>
      <c r="K1021" s="382"/>
      <c r="L1021" s="382"/>
      <c r="M1021" s="382"/>
      <c r="N1021" s="382"/>
      <c r="O1021" s="382"/>
      <c r="P1021" s="382"/>
      <c r="Q1021" s="382"/>
      <c r="R1021" s="382"/>
      <c r="S1021" s="382"/>
      <c r="T1021" s="382"/>
      <c r="U1021" s="382"/>
      <c r="V1021" s="383"/>
      <c r="W1021" s="383"/>
      <c r="X1021" s="383"/>
      <c r="Y1021" s="383"/>
    </row>
    <row r="1022">
      <c r="A1022" s="382"/>
      <c r="B1022" s="382"/>
      <c r="C1022" s="382"/>
      <c r="D1022" s="382"/>
      <c r="E1022" s="382"/>
      <c r="F1022" s="382"/>
      <c r="G1022" s="382"/>
      <c r="H1022" s="382"/>
      <c r="I1022" s="382"/>
      <c r="J1022" s="382"/>
      <c r="K1022" s="382"/>
      <c r="L1022" s="382"/>
      <c r="M1022" s="382"/>
      <c r="N1022" s="382"/>
      <c r="O1022" s="382"/>
      <c r="P1022" s="382"/>
      <c r="Q1022" s="382"/>
      <c r="R1022" s="382"/>
      <c r="S1022" s="382"/>
      <c r="T1022" s="382"/>
      <c r="U1022" s="382"/>
      <c r="V1022" s="383"/>
      <c r="W1022" s="383"/>
      <c r="X1022" s="383"/>
      <c r="Y1022" s="383"/>
    </row>
    <row r="1023">
      <c r="A1023" s="382"/>
      <c r="B1023" s="382"/>
      <c r="C1023" s="382"/>
      <c r="D1023" s="382"/>
      <c r="E1023" s="382"/>
      <c r="F1023" s="382"/>
      <c r="G1023" s="382"/>
      <c r="H1023" s="382"/>
      <c r="I1023" s="382"/>
      <c r="J1023" s="382"/>
      <c r="K1023" s="382"/>
      <c r="L1023" s="382"/>
      <c r="M1023" s="382"/>
      <c r="N1023" s="382"/>
      <c r="O1023" s="382"/>
      <c r="P1023" s="382"/>
      <c r="Q1023" s="382"/>
      <c r="R1023" s="382"/>
      <c r="S1023" s="382"/>
      <c r="T1023" s="382"/>
      <c r="U1023" s="382"/>
      <c r="V1023" s="383"/>
      <c r="W1023" s="383"/>
      <c r="X1023" s="383"/>
      <c r="Y1023" s="383"/>
    </row>
    <row r="1024">
      <c r="A1024" s="382"/>
      <c r="B1024" s="382"/>
      <c r="C1024" s="382"/>
      <c r="D1024" s="382"/>
      <c r="E1024" s="382"/>
      <c r="F1024" s="382"/>
      <c r="G1024" s="382"/>
      <c r="H1024" s="382"/>
      <c r="I1024" s="382"/>
      <c r="J1024" s="382"/>
      <c r="K1024" s="382"/>
      <c r="L1024" s="382"/>
      <c r="M1024" s="382"/>
      <c r="N1024" s="382"/>
      <c r="O1024" s="382"/>
      <c r="P1024" s="382"/>
      <c r="Q1024" s="382"/>
      <c r="R1024" s="382"/>
      <c r="S1024" s="382"/>
      <c r="T1024" s="382"/>
      <c r="U1024" s="382"/>
      <c r="V1024" s="383"/>
      <c r="W1024" s="383"/>
      <c r="X1024" s="383"/>
      <c r="Y1024" s="383"/>
    </row>
    <row r="1025">
      <c r="A1025" s="382"/>
      <c r="B1025" s="382"/>
      <c r="C1025" s="382"/>
      <c r="D1025" s="382"/>
      <c r="E1025" s="382"/>
      <c r="F1025" s="382"/>
      <c r="G1025" s="382"/>
      <c r="H1025" s="382"/>
      <c r="I1025" s="382"/>
      <c r="J1025" s="382"/>
      <c r="K1025" s="382"/>
      <c r="L1025" s="382"/>
      <c r="M1025" s="382"/>
      <c r="N1025" s="382"/>
      <c r="O1025" s="382"/>
      <c r="P1025" s="382"/>
      <c r="Q1025" s="382"/>
      <c r="R1025" s="382"/>
      <c r="S1025" s="382"/>
      <c r="T1025" s="382"/>
      <c r="U1025" s="382"/>
      <c r="V1025" s="383"/>
      <c r="W1025" s="383"/>
      <c r="X1025" s="383"/>
      <c r="Y1025" s="383"/>
    </row>
    <row r="1026">
      <c r="A1026" s="382"/>
      <c r="B1026" s="382"/>
      <c r="C1026" s="382"/>
      <c r="D1026" s="382"/>
      <c r="E1026" s="382"/>
      <c r="F1026" s="382"/>
      <c r="G1026" s="382"/>
      <c r="H1026" s="382"/>
      <c r="I1026" s="382"/>
      <c r="J1026" s="382"/>
      <c r="K1026" s="382"/>
      <c r="L1026" s="382"/>
      <c r="M1026" s="382"/>
      <c r="N1026" s="382"/>
      <c r="O1026" s="382"/>
      <c r="P1026" s="382"/>
      <c r="Q1026" s="382"/>
      <c r="R1026" s="382"/>
      <c r="S1026" s="382"/>
      <c r="T1026" s="382"/>
      <c r="U1026" s="382"/>
      <c r="V1026" s="383"/>
      <c r="W1026" s="383"/>
      <c r="X1026" s="383"/>
      <c r="Y1026" s="383"/>
    </row>
    <row r="1027">
      <c r="A1027" s="382"/>
      <c r="B1027" s="382"/>
      <c r="C1027" s="382"/>
      <c r="D1027" s="382"/>
      <c r="E1027" s="382"/>
      <c r="F1027" s="382"/>
      <c r="G1027" s="382"/>
      <c r="H1027" s="382"/>
      <c r="I1027" s="382"/>
      <c r="J1027" s="382"/>
      <c r="K1027" s="382"/>
      <c r="L1027" s="382"/>
      <c r="M1027" s="382"/>
      <c r="N1027" s="382"/>
      <c r="O1027" s="382"/>
      <c r="P1027" s="382"/>
      <c r="Q1027" s="382"/>
      <c r="R1027" s="382"/>
      <c r="S1027" s="382"/>
      <c r="T1027" s="382"/>
      <c r="U1027" s="382"/>
      <c r="V1027" s="383"/>
      <c r="W1027" s="383"/>
      <c r="X1027" s="383"/>
      <c r="Y1027" s="383"/>
    </row>
    <row r="1028">
      <c r="A1028" s="382"/>
      <c r="B1028" s="382"/>
      <c r="C1028" s="382"/>
      <c r="D1028" s="382"/>
      <c r="E1028" s="382"/>
      <c r="F1028" s="382"/>
      <c r="G1028" s="382"/>
      <c r="H1028" s="382"/>
      <c r="I1028" s="382"/>
      <c r="J1028" s="382"/>
      <c r="K1028" s="382"/>
      <c r="L1028" s="382"/>
      <c r="M1028" s="382"/>
      <c r="N1028" s="382"/>
      <c r="O1028" s="382"/>
      <c r="P1028" s="382"/>
      <c r="Q1028" s="382"/>
      <c r="R1028" s="382"/>
      <c r="S1028" s="382"/>
      <c r="T1028" s="382"/>
      <c r="U1028" s="382"/>
      <c r="V1028" s="383"/>
      <c r="W1028" s="383"/>
      <c r="X1028" s="383"/>
      <c r="Y1028" s="383"/>
    </row>
    <row r="1029">
      <c r="A1029" s="382"/>
      <c r="B1029" s="382"/>
      <c r="C1029" s="382"/>
      <c r="D1029" s="382"/>
      <c r="E1029" s="382"/>
      <c r="F1029" s="382"/>
      <c r="G1029" s="382"/>
      <c r="H1029" s="382"/>
      <c r="I1029" s="382"/>
      <c r="J1029" s="382"/>
      <c r="K1029" s="382"/>
      <c r="L1029" s="382"/>
      <c r="M1029" s="382"/>
      <c r="N1029" s="382"/>
      <c r="O1029" s="382"/>
      <c r="P1029" s="382"/>
      <c r="Q1029" s="382"/>
      <c r="R1029" s="382"/>
      <c r="S1029" s="382"/>
      <c r="T1029" s="382"/>
      <c r="U1029" s="382"/>
      <c r="V1029" s="383"/>
      <c r="W1029" s="383"/>
      <c r="X1029" s="383"/>
      <c r="Y1029" s="383"/>
    </row>
    <row r="1030">
      <c r="A1030" s="382"/>
      <c r="B1030" s="382"/>
      <c r="C1030" s="382"/>
      <c r="D1030" s="382"/>
      <c r="E1030" s="382"/>
      <c r="F1030" s="382"/>
      <c r="G1030" s="382"/>
      <c r="H1030" s="382"/>
      <c r="I1030" s="382"/>
      <c r="J1030" s="382"/>
      <c r="K1030" s="382"/>
      <c r="L1030" s="382"/>
      <c r="M1030" s="382"/>
      <c r="N1030" s="382"/>
      <c r="O1030" s="382"/>
      <c r="P1030" s="382"/>
      <c r="Q1030" s="382"/>
      <c r="R1030" s="382"/>
      <c r="S1030" s="382"/>
      <c r="T1030" s="382"/>
      <c r="U1030" s="382"/>
      <c r="V1030" s="383"/>
      <c r="W1030" s="383"/>
      <c r="X1030" s="383"/>
      <c r="Y1030" s="383"/>
    </row>
    <row r="1031">
      <c r="A1031" s="382"/>
      <c r="B1031" s="382"/>
      <c r="C1031" s="382"/>
      <c r="D1031" s="382"/>
      <c r="E1031" s="382"/>
      <c r="F1031" s="382"/>
      <c r="G1031" s="382"/>
      <c r="H1031" s="382"/>
      <c r="I1031" s="382"/>
      <c r="J1031" s="382"/>
      <c r="K1031" s="382"/>
      <c r="L1031" s="382"/>
      <c r="M1031" s="382"/>
      <c r="N1031" s="382"/>
      <c r="O1031" s="382"/>
      <c r="P1031" s="382"/>
      <c r="Q1031" s="382"/>
      <c r="R1031" s="382"/>
      <c r="S1031" s="382"/>
      <c r="T1031" s="382"/>
      <c r="U1031" s="382"/>
      <c r="V1031" s="383"/>
      <c r="W1031" s="383"/>
      <c r="X1031" s="383"/>
      <c r="Y1031" s="383"/>
    </row>
    <row r="1032">
      <c r="A1032" s="382"/>
      <c r="B1032" s="382"/>
      <c r="C1032" s="382"/>
      <c r="D1032" s="382"/>
      <c r="E1032" s="382"/>
      <c r="F1032" s="382"/>
      <c r="G1032" s="382"/>
      <c r="H1032" s="382"/>
      <c r="I1032" s="382"/>
      <c r="J1032" s="382"/>
      <c r="K1032" s="382"/>
      <c r="L1032" s="382"/>
      <c r="M1032" s="382"/>
      <c r="N1032" s="382"/>
      <c r="O1032" s="382"/>
      <c r="P1032" s="382"/>
      <c r="Q1032" s="382"/>
      <c r="R1032" s="382"/>
      <c r="S1032" s="382"/>
      <c r="T1032" s="382"/>
      <c r="U1032" s="382"/>
      <c r="V1032" s="383"/>
      <c r="W1032" s="383"/>
      <c r="X1032" s="383"/>
      <c r="Y1032" s="383"/>
    </row>
    <row r="1033">
      <c r="A1033" s="382"/>
      <c r="B1033" s="382"/>
      <c r="C1033" s="382"/>
      <c r="D1033" s="382"/>
      <c r="E1033" s="382"/>
      <c r="F1033" s="382"/>
      <c r="G1033" s="382"/>
      <c r="H1033" s="382"/>
      <c r="I1033" s="382"/>
      <c r="J1033" s="382"/>
      <c r="K1033" s="382"/>
      <c r="L1033" s="382"/>
      <c r="M1033" s="382"/>
      <c r="N1033" s="382"/>
      <c r="O1033" s="382"/>
      <c r="P1033" s="382"/>
      <c r="Q1033" s="382"/>
      <c r="R1033" s="382"/>
      <c r="S1033" s="382"/>
      <c r="T1033" s="382"/>
      <c r="U1033" s="382"/>
      <c r="V1033" s="383"/>
      <c r="W1033" s="383"/>
      <c r="X1033" s="383"/>
      <c r="Y1033" s="383"/>
    </row>
    <row r="1034">
      <c r="A1034" s="382"/>
      <c r="B1034" s="382"/>
      <c r="C1034" s="382"/>
      <c r="D1034" s="382"/>
      <c r="E1034" s="382"/>
      <c r="F1034" s="382"/>
      <c r="G1034" s="382"/>
      <c r="H1034" s="382"/>
      <c r="I1034" s="382"/>
      <c r="J1034" s="382"/>
      <c r="K1034" s="382"/>
      <c r="L1034" s="382"/>
      <c r="M1034" s="382"/>
      <c r="N1034" s="382"/>
      <c r="O1034" s="382"/>
      <c r="P1034" s="382"/>
      <c r="Q1034" s="382"/>
      <c r="R1034" s="382"/>
      <c r="S1034" s="382"/>
      <c r="T1034" s="382"/>
      <c r="U1034" s="382"/>
      <c r="V1034" s="383"/>
      <c r="W1034" s="383"/>
      <c r="X1034" s="383"/>
      <c r="Y1034" s="383"/>
    </row>
    <row r="1035">
      <c r="A1035" s="382"/>
      <c r="B1035" s="382"/>
      <c r="C1035" s="382"/>
      <c r="D1035" s="382"/>
      <c r="E1035" s="382"/>
      <c r="F1035" s="382"/>
      <c r="G1035" s="382"/>
      <c r="H1035" s="382"/>
      <c r="I1035" s="382"/>
      <c r="J1035" s="382"/>
      <c r="K1035" s="382"/>
      <c r="L1035" s="382"/>
      <c r="M1035" s="382"/>
      <c r="N1035" s="382"/>
      <c r="O1035" s="382"/>
      <c r="P1035" s="382"/>
      <c r="Q1035" s="382"/>
      <c r="R1035" s="382"/>
      <c r="S1035" s="382"/>
      <c r="T1035" s="382"/>
      <c r="U1035" s="382"/>
      <c r="V1035" s="383"/>
      <c r="W1035" s="383"/>
      <c r="X1035" s="383"/>
      <c r="Y1035" s="383"/>
    </row>
    <row r="1036">
      <c r="A1036" s="382"/>
      <c r="B1036" s="382"/>
      <c r="C1036" s="382"/>
      <c r="D1036" s="382"/>
      <c r="E1036" s="382"/>
      <c r="F1036" s="382"/>
      <c r="G1036" s="382"/>
      <c r="H1036" s="382"/>
      <c r="I1036" s="382"/>
      <c r="J1036" s="382"/>
      <c r="K1036" s="382"/>
      <c r="L1036" s="382"/>
      <c r="M1036" s="382"/>
      <c r="N1036" s="382"/>
      <c r="O1036" s="382"/>
      <c r="P1036" s="382"/>
      <c r="Q1036" s="382"/>
      <c r="R1036" s="382"/>
      <c r="S1036" s="382"/>
      <c r="T1036" s="382"/>
      <c r="U1036" s="382"/>
      <c r="V1036" s="383"/>
      <c r="W1036" s="383"/>
      <c r="X1036" s="383"/>
      <c r="Y1036" s="383"/>
    </row>
    <row r="1037">
      <c r="A1037" s="382"/>
      <c r="B1037" s="382"/>
      <c r="C1037" s="382"/>
      <c r="D1037" s="382"/>
      <c r="E1037" s="382"/>
      <c r="F1037" s="382"/>
      <c r="G1037" s="382"/>
      <c r="H1037" s="382"/>
      <c r="I1037" s="382"/>
      <c r="J1037" s="382"/>
      <c r="K1037" s="382"/>
      <c r="L1037" s="382"/>
      <c r="M1037" s="382"/>
      <c r="N1037" s="382"/>
      <c r="O1037" s="382"/>
      <c r="P1037" s="382"/>
      <c r="Q1037" s="382"/>
      <c r="R1037" s="382"/>
      <c r="S1037" s="382"/>
      <c r="T1037" s="382"/>
      <c r="U1037" s="382"/>
      <c r="V1037" s="383"/>
      <c r="W1037" s="383"/>
      <c r="X1037" s="383"/>
      <c r="Y1037" s="383"/>
    </row>
    <row r="1038">
      <c r="A1038" s="382"/>
      <c r="B1038" s="382"/>
      <c r="C1038" s="382"/>
      <c r="D1038" s="382"/>
      <c r="E1038" s="382"/>
      <c r="F1038" s="382"/>
      <c r="G1038" s="382"/>
      <c r="H1038" s="382"/>
      <c r="I1038" s="382"/>
      <c r="J1038" s="382"/>
      <c r="K1038" s="382"/>
      <c r="L1038" s="382"/>
      <c r="M1038" s="382"/>
      <c r="N1038" s="382"/>
      <c r="O1038" s="382"/>
      <c r="P1038" s="382"/>
      <c r="Q1038" s="382"/>
      <c r="R1038" s="382"/>
      <c r="S1038" s="382"/>
      <c r="T1038" s="382"/>
      <c r="U1038" s="382"/>
      <c r="V1038" s="383"/>
      <c r="W1038" s="383"/>
      <c r="X1038" s="383"/>
      <c r="Y1038" s="383"/>
    </row>
    <row r="1039">
      <c r="A1039" s="382"/>
      <c r="B1039" s="382"/>
      <c r="C1039" s="382"/>
      <c r="D1039" s="382"/>
      <c r="E1039" s="382"/>
      <c r="F1039" s="382"/>
      <c r="G1039" s="382"/>
      <c r="H1039" s="382"/>
      <c r="I1039" s="382"/>
      <c r="J1039" s="382"/>
      <c r="K1039" s="382"/>
      <c r="L1039" s="382"/>
      <c r="M1039" s="382"/>
      <c r="N1039" s="382"/>
      <c r="O1039" s="382"/>
      <c r="P1039" s="382"/>
      <c r="Q1039" s="382"/>
      <c r="R1039" s="382"/>
      <c r="S1039" s="382"/>
      <c r="T1039" s="382"/>
      <c r="U1039" s="382"/>
      <c r="V1039" s="383"/>
      <c r="W1039" s="383"/>
      <c r="X1039" s="383"/>
      <c r="Y1039" s="383"/>
    </row>
    <row r="1040">
      <c r="A1040" s="382"/>
      <c r="B1040" s="382"/>
      <c r="C1040" s="382"/>
      <c r="D1040" s="382"/>
      <c r="E1040" s="382"/>
      <c r="F1040" s="382"/>
      <c r="G1040" s="382"/>
      <c r="H1040" s="382"/>
      <c r="I1040" s="382"/>
      <c r="J1040" s="382"/>
      <c r="K1040" s="382"/>
      <c r="L1040" s="382"/>
      <c r="M1040" s="382"/>
      <c r="N1040" s="382"/>
      <c r="O1040" s="382"/>
      <c r="P1040" s="382"/>
      <c r="Q1040" s="382"/>
      <c r="R1040" s="382"/>
      <c r="S1040" s="382"/>
      <c r="T1040" s="382"/>
      <c r="U1040" s="382"/>
      <c r="V1040" s="383"/>
      <c r="W1040" s="383"/>
      <c r="X1040" s="383"/>
      <c r="Y1040" s="383"/>
    </row>
    <row r="1041">
      <c r="A1041" s="382"/>
      <c r="B1041" s="382"/>
      <c r="C1041" s="382"/>
      <c r="D1041" s="382"/>
      <c r="E1041" s="382"/>
      <c r="F1041" s="382"/>
      <c r="G1041" s="382"/>
      <c r="H1041" s="382"/>
      <c r="I1041" s="382"/>
      <c r="J1041" s="382"/>
      <c r="K1041" s="382"/>
      <c r="L1041" s="382"/>
      <c r="M1041" s="382"/>
      <c r="N1041" s="382"/>
      <c r="O1041" s="382"/>
      <c r="P1041" s="382"/>
      <c r="Q1041" s="382"/>
      <c r="R1041" s="382"/>
      <c r="S1041" s="382"/>
      <c r="T1041" s="382"/>
      <c r="U1041" s="382"/>
      <c r="V1041" s="383"/>
      <c r="W1041" s="383"/>
      <c r="X1041" s="383"/>
      <c r="Y1041" s="383"/>
    </row>
    <row r="1042">
      <c r="A1042" s="382"/>
      <c r="B1042" s="382"/>
      <c r="C1042" s="382"/>
      <c r="D1042" s="382"/>
      <c r="E1042" s="382"/>
      <c r="F1042" s="382"/>
      <c r="G1042" s="382"/>
      <c r="H1042" s="382"/>
      <c r="I1042" s="382"/>
      <c r="J1042" s="382"/>
      <c r="K1042" s="382"/>
      <c r="L1042" s="382"/>
      <c r="M1042" s="382"/>
      <c r="N1042" s="382"/>
      <c r="O1042" s="382"/>
      <c r="P1042" s="382"/>
      <c r="Q1042" s="382"/>
      <c r="R1042" s="382"/>
      <c r="S1042" s="382"/>
      <c r="T1042" s="382"/>
      <c r="U1042" s="382"/>
      <c r="V1042" s="383"/>
      <c r="W1042" s="383"/>
      <c r="X1042" s="383"/>
      <c r="Y1042" s="383"/>
    </row>
    <row r="1043">
      <c r="A1043" s="382"/>
      <c r="B1043" s="382"/>
      <c r="C1043" s="382"/>
      <c r="D1043" s="382"/>
      <c r="E1043" s="382"/>
      <c r="F1043" s="382"/>
      <c r="G1043" s="382"/>
      <c r="H1043" s="382"/>
      <c r="I1043" s="382"/>
      <c r="J1043" s="382"/>
      <c r="K1043" s="382"/>
      <c r="L1043" s="382"/>
      <c r="M1043" s="382"/>
      <c r="N1043" s="382"/>
      <c r="O1043" s="382"/>
      <c r="P1043" s="382"/>
      <c r="Q1043" s="382"/>
      <c r="R1043" s="382"/>
      <c r="S1043" s="382"/>
      <c r="T1043" s="382"/>
      <c r="U1043" s="382"/>
      <c r="V1043" s="383"/>
      <c r="W1043" s="383"/>
      <c r="X1043" s="383"/>
      <c r="Y1043" s="383"/>
    </row>
    <row r="1044">
      <c r="A1044" s="382"/>
      <c r="B1044" s="382"/>
      <c r="C1044" s="382"/>
      <c r="D1044" s="382"/>
      <c r="E1044" s="382"/>
      <c r="F1044" s="382"/>
      <c r="G1044" s="382"/>
      <c r="H1044" s="382"/>
      <c r="I1044" s="382"/>
      <c r="J1044" s="382"/>
      <c r="K1044" s="382"/>
      <c r="L1044" s="382"/>
      <c r="M1044" s="382"/>
      <c r="N1044" s="382"/>
      <c r="O1044" s="382"/>
      <c r="P1044" s="382"/>
      <c r="Q1044" s="382"/>
      <c r="R1044" s="382"/>
      <c r="S1044" s="382"/>
      <c r="T1044" s="382"/>
      <c r="U1044" s="382"/>
      <c r="V1044" s="383"/>
      <c r="W1044" s="383"/>
      <c r="X1044" s="383"/>
      <c r="Y1044" s="383"/>
    </row>
    <row r="1045">
      <c r="A1045" s="382"/>
      <c r="B1045" s="382"/>
      <c r="C1045" s="382"/>
      <c r="D1045" s="382"/>
      <c r="E1045" s="382"/>
      <c r="F1045" s="382"/>
      <c r="G1045" s="382"/>
      <c r="H1045" s="382"/>
      <c r="I1045" s="382"/>
      <c r="J1045" s="382"/>
      <c r="K1045" s="382"/>
      <c r="L1045" s="382"/>
      <c r="M1045" s="382"/>
      <c r="N1045" s="382"/>
      <c r="O1045" s="382"/>
      <c r="P1045" s="382"/>
      <c r="Q1045" s="382"/>
      <c r="R1045" s="382"/>
      <c r="S1045" s="382"/>
      <c r="T1045" s="382"/>
      <c r="U1045" s="382"/>
      <c r="V1045" s="383"/>
      <c r="W1045" s="383"/>
      <c r="X1045" s="383"/>
      <c r="Y1045" s="383"/>
    </row>
    <row r="1046">
      <c r="A1046" s="382"/>
      <c r="B1046" s="382"/>
      <c r="C1046" s="382"/>
      <c r="D1046" s="382"/>
      <c r="E1046" s="382"/>
      <c r="F1046" s="382"/>
      <c r="G1046" s="382"/>
      <c r="H1046" s="382"/>
      <c r="I1046" s="382"/>
      <c r="J1046" s="382"/>
      <c r="K1046" s="382"/>
      <c r="L1046" s="382"/>
      <c r="M1046" s="382"/>
      <c r="N1046" s="382"/>
      <c r="O1046" s="382"/>
      <c r="P1046" s="382"/>
      <c r="Q1046" s="382"/>
      <c r="R1046" s="382"/>
      <c r="S1046" s="382"/>
      <c r="T1046" s="382"/>
      <c r="U1046" s="382"/>
      <c r="V1046" s="383"/>
      <c r="W1046" s="383"/>
      <c r="X1046" s="383"/>
      <c r="Y1046" s="383"/>
    </row>
    <row r="1047">
      <c r="A1047" s="382"/>
      <c r="B1047" s="382"/>
      <c r="C1047" s="382"/>
      <c r="D1047" s="382"/>
      <c r="E1047" s="382"/>
      <c r="F1047" s="382"/>
      <c r="G1047" s="382"/>
      <c r="H1047" s="382"/>
      <c r="I1047" s="382"/>
      <c r="J1047" s="382"/>
      <c r="K1047" s="382"/>
      <c r="L1047" s="382"/>
      <c r="M1047" s="382"/>
      <c r="N1047" s="382"/>
      <c r="O1047" s="382"/>
      <c r="P1047" s="382"/>
      <c r="Q1047" s="382"/>
      <c r="R1047" s="382"/>
      <c r="S1047" s="382"/>
      <c r="T1047" s="382"/>
      <c r="U1047" s="382"/>
      <c r="V1047" s="383"/>
      <c r="W1047" s="383"/>
      <c r="X1047" s="383"/>
      <c r="Y1047" s="383"/>
    </row>
    <row r="1048">
      <c r="A1048" s="382"/>
      <c r="B1048" s="382"/>
      <c r="C1048" s="382"/>
      <c r="D1048" s="382"/>
      <c r="E1048" s="382"/>
      <c r="F1048" s="382"/>
      <c r="G1048" s="382"/>
      <c r="H1048" s="382"/>
      <c r="I1048" s="382"/>
      <c r="J1048" s="382"/>
      <c r="K1048" s="382"/>
      <c r="L1048" s="382"/>
      <c r="M1048" s="382"/>
      <c r="N1048" s="382"/>
      <c r="O1048" s="382"/>
      <c r="P1048" s="382"/>
      <c r="Q1048" s="382"/>
      <c r="R1048" s="382"/>
      <c r="S1048" s="382"/>
      <c r="T1048" s="382"/>
      <c r="U1048" s="382"/>
      <c r="V1048" s="383"/>
      <c r="W1048" s="383"/>
      <c r="X1048" s="383"/>
      <c r="Y1048" s="383"/>
    </row>
  </sheetData>
  <drawing r:id="rId1"/>
</worksheet>
</file>